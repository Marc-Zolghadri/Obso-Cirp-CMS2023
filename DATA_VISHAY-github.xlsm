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3.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4.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5.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6.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8.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9.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0.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11.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12.xml" ContentType="application/vnd.openxmlformats-officedocument.drawing+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13.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14.xml" ContentType="application/vnd.openxmlformats-officedocument.drawing+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charts/chart76.xml" ContentType="application/vnd.openxmlformats-officedocument.drawingml.chart+xml"/>
  <Override PartName="/xl/charts/style76.xml" ContentType="application/vnd.ms-office.chartstyle+xml"/>
  <Override PartName="/xl/charts/colors76.xml" ContentType="application/vnd.ms-office.chartcolorstyle+xml"/>
  <Override PartName="/xl/drawings/drawing15.xml" ContentType="application/vnd.openxmlformats-officedocument.drawing+xml"/>
  <Override PartName="/xl/charts/chartEx1.xml" ContentType="application/vnd.ms-office.chartex+xml"/>
  <Override PartName="/xl/charts/style77.xml" ContentType="application/vnd.ms-office.chartstyle+xml"/>
  <Override PartName="/xl/charts/colors7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C:\Users\zolghadrim\_FichiersHorsLigne-pCloud\Documents\3Supmeca\2Recherche_appliquee\1Communications\CIRP CMS 2023 - Marc\donnees des eleves\for github\"/>
    </mc:Choice>
  </mc:AlternateContent>
  <bookViews>
    <workbookView xWindow="0" yWindow="0" windowWidth="29070" windowHeight="16020" firstSheet="9" activeTab="16"/>
  </bookViews>
  <sheets>
    <sheet name="Read me" sheetId="15" r:id="rId1"/>
    <sheet name="Graphiques" sheetId="17" r:id="rId2"/>
    <sheet name="VISHAY Composant" sheetId="5" r:id="rId3"/>
    <sheet name="Capacitors" sheetId="8" r:id="rId4"/>
    <sheet name="Diode " sheetId="1" r:id="rId5"/>
    <sheet name="Connectors" sheetId="10" r:id="rId6"/>
    <sheet name="Estimation durée de vie" sheetId="20" r:id="rId7"/>
    <sheet name="Délai composants" sheetId="19" r:id="rId8"/>
    <sheet name="Inductors" sheetId="11" r:id="rId9"/>
    <sheet name="ICS" sheetId="13" r:id="rId10"/>
    <sheet name="Modules" sheetId="12" r:id="rId11"/>
    <sheet name="Multilayer smd" sheetId="14" r:id="rId12"/>
    <sheet name="Optoelectronics" sheetId="9" r:id="rId13"/>
    <sheet name="Résistance" sheetId="2" r:id="rId14"/>
    <sheet name="Transistor" sheetId="3" r:id="rId15"/>
    <sheet name="VISHAY Extraction Ui Path" sheetId="6" r:id="rId16"/>
    <sheet name="Tous les composants" sheetId="18" r:id="rId17"/>
  </sheets>
  <definedNames>
    <definedName name="_xlnm._FilterDatabase" localSheetId="8" hidden="1">Inductors!$K$1:$K$49</definedName>
    <definedName name="_xlnm._FilterDatabase" localSheetId="12" hidden="1">Optoelectronics!$K$1:$K$115</definedName>
    <definedName name="_xlnm._FilterDatabase" localSheetId="13" hidden="1">Résistance!$A$1:$S$87</definedName>
    <definedName name="_xlnm._FilterDatabase" localSheetId="14" hidden="1">Transistor!$A$1:$T$68</definedName>
    <definedName name="_xlnm._FilterDatabase" localSheetId="2" hidden="1">'VISHAY Composant'!$C$1:$C$10000</definedName>
    <definedName name="_xlchart.v1.0" hidden="1">'Tous les composants'!$C$6:$C$13</definedName>
    <definedName name="_xlchart.v1.1" hidden="1">'Tous les composants'!$O$6:$O$13</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43" i="18" l="1"/>
  <c r="D17" i="19" l="1"/>
  <c r="E17" i="19"/>
  <c r="F17" i="19"/>
  <c r="G17" i="19"/>
  <c r="H17" i="19"/>
  <c r="D18" i="19"/>
  <c r="E18" i="19"/>
  <c r="F18" i="19"/>
  <c r="G18" i="19"/>
  <c r="H18" i="19"/>
  <c r="D19" i="19"/>
  <c r="E19" i="19"/>
  <c r="F19" i="19"/>
  <c r="G19" i="19"/>
  <c r="H19" i="19"/>
  <c r="D20" i="19"/>
  <c r="E20" i="19"/>
  <c r="F20" i="19"/>
  <c r="G20" i="19"/>
  <c r="H20" i="19"/>
  <c r="D21" i="19"/>
  <c r="E21" i="19"/>
  <c r="F21" i="19"/>
  <c r="G21" i="19"/>
  <c r="H21" i="19"/>
  <c r="C18" i="19"/>
  <c r="C19" i="19"/>
  <c r="C20" i="19"/>
  <c r="C21" i="19"/>
  <c r="C17" i="19"/>
  <c r="D12" i="19"/>
  <c r="E12" i="19"/>
  <c r="F12" i="19"/>
  <c r="G12" i="19"/>
  <c r="H12" i="19"/>
  <c r="C12" i="19"/>
  <c r="O9" i="18" l="1"/>
  <c r="O11" i="18"/>
  <c r="O8" i="18"/>
  <c r="O12" i="18"/>
  <c r="O7" i="18"/>
  <c r="O6" i="18"/>
  <c r="O13" i="18"/>
  <c r="O10" i="18"/>
  <c r="D14" i="18"/>
  <c r="E14" i="18"/>
  <c r="F14" i="18"/>
  <c r="G14" i="18"/>
  <c r="H14" i="18"/>
  <c r="I14" i="18"/>
  <c r="K14" i="18"/>
  <c r="L14" i="18"/>
  <c r="M14" i="18"/>
  <c r="N14" i="18"/>
  <c r="P3" i="12"/>
  <c r="P4" i="12"/>
  <c r="P5" i="12"/>
  <c r="P6" i="12"/>
  <c r="P7" i="12"/>
  <c r="P8" i="12"/>
  <c r="P9" i="12"/>
  <c r="P10" i="12"/>
  <c r="V7" i="10" l="1"/>
  <c r="W7" i="10" s="1"/>
  <c r="W6" i="10"/>
  <c r="V6" i="10"/>
  <c r="V5" i="10"/>
  <c r="W5" i="10" s="1"/>
  <c r="W4" i="10"/>
  <c r="V4" i="10"/>
  <c r="V3" i="10"/>
  <c r="W3" i="10" s="1"/>
  <c r="AK8" i="8"/>
  <c r="AK7" i="8"/>
  <c r="AJ7" i="8"/>
  <c r="AJ6" i="8"/>
  <c r="AJ5" i="8"/>
  <c r="AJ4" i="8"/>
  <c r="AJ3" i="8"/>
  <c r="AK3" i="8" s="1"/>
  <c r="S4" i="14"/>
  <c r="S4" i="12"/>
  <c r="T4" i="12" s="1"/>
  <c r="S3" i="11"/>
  <c r="T3" i="11" s="1"/>
  <c r="M173" i="5"/>
  <c r="M3" i="5"/>
  <c r="W20" i="3"/>
  <c r="V19" i="2"/>
  <c r="W19" i="1"/>
  <c r="P17" i="14"/>
  <c r="P16" i="14"/>
  <c r="P15" i="14"/>
  <c r="P14" i="14"/>
  <c r="P10" i="14"/>
  <c r="P9" i="14"/>
  <c r="P8" i="14"/>
  <c r="S7" i="14"/>
  <c r="T7" i="14" s="1"/>
  <c r="P7" i="14"/>
  <c r="S6" i="14"/>
  <c r="P6" i="14"/>
  <c r="S5" i="14"/>
  <c r="P5" i="14"/>
  <c r="P4" i="14"/>
  <c r="S3" i="14"/>
  <c r="T3" i="14" s="1"/>
  <c r="P3" i="14"/>
  <c r="P17" i="13"/>
  <c r="P16" i="13"/>
  <c r="P15" i="13"/>
  <c r="P14" i="13"/>
  <c r="P10" i="13"/>
  <c r="P9" i="13"/>
  <c r="P8" i="13"/>
  <c r="S7" i="13"/>
  <c r="T7" i="13" s="1"/>
  <c r="P7" i="13"/>
  <c r="S6" i="13"/>
  <c r="P6" i="13"/>
  <c r="S5" i="13"/>
  <c r="P5" i="13"/>
  <c r="S4" i="13"/>
  <c r="P4" i="13"/>
  <c r="S3" i="13"/>
  <c r="P3" i="13"/>
  <c r="S7" i="12"/>
  <c r="T7" i="12" s="1"/>
  <c r="S6" i="12"/>
  <c r="T6" i="12" s="1"/>
  <c r="S5" i="12"/>
  <c r="S3" i="12"/>
  <c r="T3" i="12" s="1"/>
  <c r="P17" i="12"/>
  <c r="P16" i="12"/>
  <c r="P15" i="12"/>
  <c r="P14" i="12"/>
  <c r="P18" i="12" s="1"/>
  <c r="P17" i="11"/>
  <c r="P16" i="11"/>
  <c r="P15" i="11"/>
  <c r="P14" i="11"/>
  <c r="P10" i="11"/>
  <c r="P9" i="11"/>
  <c r="P8" i="11"/>
  <c r="S7" i="11"/>
  <c r="T7" i="11" s="1"/>
  <c r="P7" i="11"/>
  <c r="S6" i="11"/>
  <c r="P6" i="11"/>
  <c r="S5" i="11"/>
  <c r="P5" i="11"/>
  <c r="S4" i="11"/>
  <c r="P4" i="11"/>
  <c r="P3" i="11"/>
  <c r="P17" i="10"/>
  <c r="P16" i="10"/>
  <c r="P15" i="10"/>
  <c r="P14" i="10"/>
  <c r="P18" i="10" s="1"/>
  <c r="P10" i="10"/>
  <c r="P9" i="10"/>
  <c r="P8" i="10"/>
  <c r="P7" i="10"/>
  <c r="P6" i="10"/>
  <c r="P5" i="10"/>
  <c r="P4" i="10"/>
  <c r="P3" i="10"/>
  <c r="P11" i="10" s="1"/>
  <c r="S7" i="9"/>
  <c r="S6" i="9"/>
  <c r="S5" i="9"/>
  <c r="S4" i="9"/>
  <c r="S3" i="9"/>
  <c r="T7" i="9"/>
  <c r="T3" i="9"/>
  <c r="P18" i="9"/>
  <c r="P17" i="9"/>
  <c r="P16" i="9"/>
  <c r="P15" i="9"/>
  <c r="P14" i="9"/>
  <c r="P10" i="9"/>
  <c r="P9" i="9"/>
  <c r="P8" i="9"/>
  <c r="P7" i="9"/>
  <c r="P6" i="9"/>
  <c r="P5" i="9"/>
  <c r="P4" i="9"/>
  <c r="P3" i="9"/>
  <c r="P11" i="9" s="1"/>
  <c r="P15" i="8"/>
  <c r="P16" i="8"/>
  <c r="P17" i="8"/>
  <c r="P14" i="8"/>
  <c r="P18" i="8"/>
  <c r="P4" i="8"/>
  <c r="P5" i="8"/>
  <c r="P6" i="8"/>
  <c r="P7" i="8"/>
  <c r="P8" i="8"/>
  <c r="P9" i="8"/>
  <c r="P10" i="8"/>
  <c r="P3" i="8"/>
  <c r="P10" i="5"/>
  <c r="P9" i="5"/>
  <c r="M73" i="5"/>
  <c r="M25" i="5"/>
  <c r="M13" i="5"/>
  <c r="M14" i="5"/>
  <c r="M15" i="5"/>
  <c r="M16" i="5"/>
  <c r="M17" i="5"/>
  <c r="M18" i="5"/>
  <c r="M19" i="5"/>
  <c r="M20" i="5"/>
  <c r="M21" i="5"/>
  <c r="M22" i="5"/>
  <c r="M23" i="5"/>
  <c r="M24"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13" i="5"/>
  <c r="M114" i="5"/>
  <c r="M115" i="5"/>
  <c r="M116" i="5"/>
  <c r="M117"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4" i="5"/>
  <c r="M5" i="5"/>
  <c r="M6" i="5"/>
  <c r="M7" i="5"/>
  <c r="M8" i="5"/>
  <c r="M9" i="5"/>
  <c r="M10" i="5"/>
  <c r="M11" i="5"/>
  <c r="M12" i="5"/>
  <c r="M2" i="5"/>
  <c r="C618" i="5" a="1"/>
  <c r="C618" i="5" s="1"/>
  <c r="P15" i="5"/>
  <c r="P16" i="5"/>
  <c r="P17" i="5"/>
  <c r="P14" i="5"/>
  <c r="S2" i="3"/>
  <c r="T2" i="3" s="1"/>
  <c r="P3" i="5"/>
  <c r="P4" i="5"/>
  <c r="P5" i="5"/>
  <c r="P6" i="5"/>
  <c r="P7" i="5"/>
  <c r="P8" i="5"/>
  <c r="W19" i="3"/>
  <c r="W21" i="3"/>
  <c r="W18" i="3"/>
  <c r="Q44" i="1"/>
  <c r="R44" i="1" s="1"/>
  <c r="Q43" i="1"/>
  <c r="R43" i="1" s="1"/>
  <c r="Q42" i="1"/>
  <c r="R42" i="1" s="1"/>
  <c r="Q41" i="1"/>
  <c r="R41" i="1" s="1"/>
  <c r="Q39" i="1"/>
  <c r="R39" i="1" s="1"/>
  <c r="Q38" i="1"/>
  <c r="R38" i="1" s="1"/>
  <c r="Q37" i="1"/>
  <c r="R37" i="1" s="1"/>
  <c r="Q36" i="1"/>
  <c r="Q35" i="1"/>
  <c r="R35" i="1" s="1"/>
  <c r="Q34" i="1"/>
  <c r="R34" i="1" s="1"/>
  <c r="Q31" i="1"/>
  <c r="R31" i="1" s="1"/>
  <c r="Q26" i="1"/>
  <c r="R26" i="1" s="1"/>
  <c r="Q25" i="1"/>
  <c r="R25" i="1" s="1"/>
  <c r="Q24" i="1"/>
  <c r="R24" i="1" s="1"/>
  <c r="Q23" i="1"/>
  <c r="R23" i="1" s="1"/>
  <c r="Q20" i="1"/>
  <c r="R20" i="1" s="1"/>
  <c r="Q18" i="1"/>
  <c r="R18" i="1" s="1"/>
  <c r="Q16" i="1"/>
  <c r="R16" i="1" s="1"/>
  <c r="Q15" i="1"/>
  <c r="R15" i="1" s="1"/>
  <c r="Q14" i="1"/>
  <c r="R14" i="1" s="1"/>
  <c r="Q10" i="1"/>
  <c r="R10" i="1" s="1"/>
  <c r="Q9" i="1"/>
  <c r="R9" i="1" s="1"/>
  <c r="Q6" i="1"/>
  <c r="R6" i="1" s="1"/>
  <c r="Q4" i="1"/>
  <c r="R4" i="1" s="1"/>
  <c r="Q3" i="1"/>
  <c r="R3" i="1" s="1"/>
  <c r="Q2" i="1"/>
  <c r="V18" i="2"/>
  <c r="V20" i="2"/>
  <c r="V17" i="2"/>
  <c r="W18" i="1"/>
  <c r="W20" i="1"/>
  <c r="W21" i="1" s="1"/>
  <c r="W17" i="1"/>
  <c r="W7" i="1"/>
  <c r="Q2" i="2"/>
  <c r="S3" i="3"/>
  <c r="T3" i="3" s="1"/>
  <c r="S6" i="3"/>
  <c r="S9" i="3"/>
  <c r="T9" i="3" s="1"/>
  <c r="S11" i="3"/>
  <c r="T11" i="3" s="1"/>
  <c r="S14" i="3"/>
  <c r="T14" i="3" s="1"/>
  <c r="S15" i="3"/>
  <c r="T15" i="3" s="1"/>
  <c r="S25" i="3"/>
  <c r="T25" i="3" s="1"/>
  <c r="S26" i="3"/>
  <c r="T26" i="3" s="1"/>
  <c r="S27" i="3"/>
  <c r="T27" i="3" s="1"/>
  <c r="S29" i="3"/>
  <c r="T29" i="3" s="1"/>
  <c r="S30" i="3"/>
  <c r="T30" i="3" s="1"/>
  <c r="S38" i="3"/>
  <c r="T38" i="3" s="1"/>
  <c r="S39" i="3"/>
  <c r="T39" i="3" s="1"/>
  <c r="S40" i="3"/>
  <c r="T40" i="3" s="1"/>
  <c r="S42" i="3"/>
  <c r="T42" i="3" s="1"/>
  <c r="S43" i="3"/>
  <c r="T43" i="3" s="1"/>
  <c r="S44" i="3"/>
  <c r="T44" i="3" s="1"/>
  <c r="S45" i="3"/>
  <c r="T45" i="3" s="1"/>
  <c r="S46" i="3"/>
  <c r="T46" i="3" s="1"/>
  <c r="S48" i="3"/>
  <c r="T48" i="3" s="1"/>
  <c r="S49" i="3"/>
  <c r="T49" i="3" s="1"/>
  <c r="S52" i="3"/>
  <c r="T52" i="3" s="1"/>
  <c r="S53" i="3"/>
  <c r="T53" i="3" s="1"/>
  <c r="S54" i="3"/>
  <c r="T54" i="3" s="1"/>
  <c r="S57" i="3"/>
  <c r="T57" i="3" s="1"/>
  <c r="S58" i="3"/>
  <c r="T58" i="3" s="1"/>
  <c r="S59" i="3"/>
  <c r="T59" i="3" s="1"/>
  <c r="S60" i="3"/>
  <c r="T60" i="3" s="1"/>
  <c r="S61" i="3"/>
  <c r="T61" i="3" s="1"/>
  <c r="S62" i="3"/>
  <c r="T62" i="3" s="1"/>
  <c r="S63" i="3"/>
  <c r="T63" i="3" s="1"/>
  <c r="S64" i="3"/>
  <c r="T64" i="3" s="1"/>
  <c r="S3" i="2"/>
  <c r="AJ12" i="2" s="1"/>
  <c r="S6" i="1"/>
  <c r="T6" i="1" s="1"/>
  <c r="S7" i="1"/>
  <c r="T7" i="1" s="1"/>
  <c r="S8" i="1"/>
  <c r="T8" i="1" s="1"/>
  <c r="S10" i="1"/>
  <c r="T10" i="1" s="1"/>
  <c r="S21" i="1"/>
  <c r="T21" i="1" s="1"/>
  <c r="S28" i="1"/>
  <c r="T28" i="1" s="1"/>
  <c r="S33" i="1"/>
  <c r="T33" i="1" s="1"/>
  <c r="S34" i="1"/>
  <c r="T34" i="1" s="1"/>
  <c r="S35" i="1"/>
  <c r="T35" i="1" s="1"/>
  <c r="S36" i="1"/>
  <c r="T36" i="1" s="1"/>
  <c r="S37" i="1"/>
  <c r="T37" i="1" s="1"/>
  <c r="S38" i="1"/>
  <c r="T38" i="1" s="1"/>
  <c r="S39" i="1"/>
  <c r="T39" i="1" s="1"/>
  <c r="S40" i="1"/>
  <c r="T40" i="1" s="1"/>
  <c r="S41" i="1"/>
  <c r="T41" i="1" s="1"/>
  <c r="S42" i="1"/>
  <c r="T42" i="1" s="1"/>
  <c r="S43" i="1"/>
  <c r="T43" i="1" s="1"/>
  <c r="S44" i="1"/>
  <c r="T44" i="1" s="1"/>
  <c r="S2" i="1"/>
  <c r="R36" i="1"/>
  <c r="Q40" i="1"/>
  <c r="R40" i="1" s="1"/>
  <c r="Q2" i="3"/>
  <c r="R2" i="3" s="1"/>
  <c r="Q3" i="2"/>
  <c r="R3" i="2" s="1"/>
  <c r="Q4" i="2"/>
  <c r="R4" i="2" s="1"/>
  <c r="Q5" i="2"/>
  <c r="R5" i="2" s="1"/>
  <c r="Q6" i="2"/>
  <c r="R6" i="2" s="1"/>
  <c r="Q7" i="2"/>
  <c r="R7" i="2" s="1"/>
  <c r="Q8" i="2"/>
  <c r="R8" i="2" s="1"/>
  <c r="Q9" i="2"/>
  <c r="R9" i="2" s="1"/>
  <c r="Q10" i="2"/>
  <c r="R10" i="2" s="1"/>
  <c r="Q11" i="2"/>
  <c r="R11" i="2" s="1"/>
  <c r="Q12" i="2"/>
  <c r="R12" i="2" s="1"/>
  <c r="Q13" i="2"/>
  <c r="R13" i="2" s="1"/>
  <c r="Q14" i="2"/>
  <c r="R14" i="2" s="1"/>
  <c r="Q15" i="2"/>
  <c r="R15" i="2" s="1"/>
  <c r="Q16" i="2"/>
  <c r="R16" i="2" s="1"/>
  <c r="Q17" i="2"/>
  <c r="R17" i="2" s="1"/>
  <c r="Q18" i="2"/>
  <c r="R18" i="2" s="1"/>
  <c r="Q19" i="2"/>
  <c r="R19" i="2" s="1"/>
  <c r="Q21" i="2"/>
  <c r="R21" i="2" s="1"/>
  <c r="Q22" i="2"/>
  <c r="R22" i="2" s="1"/>
  <c r="Q23" i="2"/>
  <c r="R23" i="2" s="1"/>
  <c r="Q24" i="2"/>
  <c r="R24" i="2" s="1"/>
  <c r="Q25" i="2"/>
  <c r="R25" i="2" s="1"/>
  <c r="Q26" i="2"/>
  <c r="R26" i="2" s="1"/>
  <c r="Q27" i="2"/>
  <c r="R27" i="2" s="1"/>
  <c r="Q28" i="2"/>
  <c r="R28" i="2" s="1"/>
  <c r="Q29" i="2"/>
  <c r="R29" i="2" s="1"/>
  <c r="Q32" i="2"/>
  <c r="R32" i="2" s="1"/>
  <c r="Q33" i="2"/>
  <c r="R33" i="2" s="1"/>
  <c r="Q34" i="2"/>
  <c r="R34" i="2" s="1"/>
  <c r="Q35" i="2"/>
  <c r="R35" i="2" s="1"/>
  <c r="Q36" i="2"/>
  <c r="R36" i="2" s="1"/>
  <c r="Q37" i="2"/>
  <c r="R37" i="2" s="1"/>
  <c r="Q38" i="2"/>
  <c r="R38" i="2" s="1"/>
  <c r="Q39" i="2"/>
  <c r="R39" i="2" s="1"/>
  <c r="Q40" i="2"/>
  <c r="R40" i="2" s="1"/>
  <c r="Q41" i="2"/>
  <c r="R41" i="2" s="1"/>
  <c r="Q42" i="2"/>
  <c r="R42" i="2" s="1"/>
  <c r="Q43" i="2"/>
  <c r="R43" i="2" s="1"/>
  <c r="Q44" i="2"/>
  <c r="R44" i="2" s="1"/>
  <c r="Q45" i="2"/>
  <c r="R45" i="2" s="1"/>
  <c r="Q46" i="2"/>
  <c r="R46" i="2" s="1"/>
  <c r="Q47" i="2"/>
  <c r="R47" i="2" s="1"/>
  <c r="Q49" i="2"/>
  <c r="R49" i="2" s="1"/>
  <c r="Q50" i="2"/>
  <c r="R50" i="2" s="1"/>
  <c r="Q51" i="2"/>
  <c r="R51" i="2" s="1"/>
  <c r="Q53" i="2"/>
  <c r="R53" i="2" s="1"/>
  <c r="Q54" i="2"/>
  <c r="R54" i="2" s="1"/>
  <c r="Q55" i="2"/>
  <c r="R55" i="2" s="1"/>
  <c r="Q57" i="2"/>
  <c r="R57" i="2" s="1"/>
  <c r="Q58" i="2"/>
  <c r="R58" i="2" s="1"/>
  <c r="Q59" i="2"/>
  <c r="R59" i="2" s="1"/>
  <c r="Q60" i="2"/>
  <c r="R60" i="2" s="1"/>
  <c r="Q61" i="2"/>
  <c r="R61" i="2" s="1"/>
  <c r="Q62" i="2"/>
  <c r="R62" i="2" s="1"/>
  <c r="Q63" i="2"/>
  <c r="R63" i="2" s="1"/>
  <c r="Q64" i="2"/>
  <c r="R64" i="2" s="1"/>
  <c r="Q65" i="2"/>
  <c r="R65" i="2" s="1"/>
  <c r="Q66" i="2"/>
  <c r="R66" i="2" s="1"/>
  <c r="Q67" i="2"/>
  <c r="R67" i="2" s="1"/>
  <c r="Q68" i="2"/>
  <c r="R68" i="2" s="1"/>
  <c r="Q69" i="2"/>
  <c r="R69" i="2" s="1"/>
  <c r="Q70" i="2"/>
  <c r="R70" i="2" s="1"/>
  <c r="Q71" i="2"/>
  <c r="R71" i="2" s="1"/>
  <c r="Q72" i="2"/>
  <c r="R72" i="2" s="1"/>
  <c r="Q73" i="2"/>
  <c r="R73" i="2" s="1"/>
  <c r="Q74" i="2"/>
  <c r="R74" i="2" s="1"/>
  <c r="Q75" i="2"/>
  <c r="R75" i="2" s="1"/>
  <c r="Q76" i="2"/>
  <c r="R76" i="2" s="1"/>
  <c r="Q77" i="2"/>
  <c r="R77" i="2" s="1"/>
  <c r="Q78" i="2"/>
  <c r="R78" i="2" s="1"/>
  <c r="Q79" i="2"/>
  <c r="R79" i="2" s="1"/>
  <c r="Q80" i="2"/>
  <c r="R80" i="2" s="1"/>
  <c r="Q82" i="2"/>
  <c r="R82" i="2" s="1"/>
  <c r="Q83" i="2"/>
  <c r="R83" i="2" s="1"/>
  <c r="Q64" i="3"/>
  <c r="R64" i="3" s="1"/>
  <c r="Q46" i="3"/>
  <c r="R46" i="3" s="1"/>
  <c r="Q47" i="3"/>
  <c r="R47" i="3" s="1"/>
  <c r="Q48" i="3"/>
  <c r="R48" i="3" s="1"/>
  <c r="Q49" i="3"/>
  <c r="R49" i="3" s="1"/>
  <c r="Q50" i="3"/>
  <c r="R50" i="3" s="1"/>
  <c r="Q51" i="3"/>
  <c r="R51" i="3" s="1"/>
  <c r="Q52" i="3"/>
  <c r="R52" i="3" s="1"/>
  <c r="Q53" i="3"/>
  <c r="R53" i="3" s="1"/>
  <c r="Q54" i="3"/>
  <c r="R54" i="3" s="1"/>
  <c r="Q55" i="3"/>
  <c r="R55" i="3" s="1"/>
  <c r="Q56" i="3"/>
  <c r="R56" i="3" s="1"/>
  <c r="Q57" i="3"/>
  <c r="R57" i="3" s="1"/>
  <c r="Q58" i="3"/>
  <c r="R58" i="3" s="1"/>
  <c r="Q59" i="3"/>
  <c r="R59" i="3" s="1"/>
  <c r="Q60" i="3"/>
  <c r="R60" i="3" s="1"/>
  <c r="Q61" i="3"/>
  <c r="R61" i="3" s="1"/>
  <c r="Q62" i="3"/>
  <c r="R62" i="3" s="1"/>
  <c r="Q63" i="3"/>
  <c r="R63" i="3" s="1"/>
  <c r="Q45" i="3"/>
  <c r="R45" i="3" s="1"/>
  <c r="Q44" i="3"/>
  <c r="R44" i="3" s="1"/>
  <c r="Q43" i="3"/>
  <c r="R43" i="3" s="1"/>
  <c r="Q42" i="3"/>
  <c r="R42" i="3" s="1"/>
  <c r="Q40" i="3"/>
  <c r="R40" i="3" s="1"/>
  <c r="Q39" i="3"/>
  <c r="R39" i="3" s="1"/>
  <c r="Q38" i="3"/>
  <c r="R38" i="3" s="1"/>
  <c r="Q37" i="3"/>
  <c r="R37" i="3" s="1"/>
  <c r="Q36" i="3"/>
  <c r="R36" i="3" s="1"/>
  <c r="Q35" i="3"/>
  <c r="R35" i="3" s="1"/>
  <c r="Q34" i="3"/>
  <c r="R34" i="3" s="1"/>
  <c r="Q33" i="3"/>
  <c r="R33" i="3" s="1"/>
  <c r="Q32" i="3"/>
  <c r="R32" i="3" s="1"/>
  <c r="Q30" i="3"/>
  <c r="R30" i="3" s="1"/>
  <c r="Q29" i="3"/>
  <c r="R29" i="3" s="1"/>
  <c r="Q28" i="3"/>
  <c r="R28" i="3" s="1"/>
  <c r="Q27" i="3"/>
  <c r="R27" i="3" s="1"/>
  <c r="Q26" i="3"/>
  <c r="R26" i="3" s="1"/>
  <c r="Q25" i="3"/>
  <c r="R25" i="3" s="1"/>
  <c r="Q24" i="3"/>
  <c r="R24" i="3" s="1"/>
  <c r="Q23" i="3"/>
  <c r="R23" i="3" s="1"/>
  <c r="Q22" i="3"/>
  <c r="R22" i="3" s="1"/>
  <c r="Q21" i="3"/>
  <c r="R21" i="3" s="1"/>
  <c r="Q20" i="3"/>
  <c r="R20" i="3" s="1"/>
  <c r="Q19" i="3"/>
  <c r="R19" i="3" s="1"/>
  <c r="Q18" i="3"/>
  <c r="R18" i="3" s="1"/>
  <c r="Q17" i="3"/>
  <c r="R17" i="3" s="1"/>
  <c r="Q16" i="3"/>
  <c r="R16" i="3" s="1"/>
  <c r="Q15" i="3"/>
  <c r="R15" i="3" s="1"/>
  <c r="Q14" i="3"/>
  <c r="R14" i="3" s="1"/>
  <c r="Q13" i="3"/>
  <c r="R13" i="3" s="1"/>
  <c r="Q12" i="3"/>
  <c r="R12" i="3" s="1"/>
  <c r="Q11" i="3"/>
  <c r="R11" i="3" s="1"/>
  <c r="Q9" i="3"/>
  <c r="R9" i="3" s="1"/>
  <c r="Q8" i="3"/>
  <c r="R8" i="3" s="1"/>
  <c r="Q7" i="3"/>
  <c r="R7" i="3" s="1"/>
  <c r="Q6" i="3"/>
  <c r="R6" i="3" s="1"/>
  <c r="Q4" i="3"/>
  <c r="R4" i="3" s="1"/>
  <c r="Q3" i="3"/>
  <c r="R3" i="3" s="1"/>
  <c r="Q5" i="1"/>
  <c r="R5" i="1" s="1"/>
  <c r="Q7" i="1"/>
  <c r="R7" i="1" s="1"/>
  <c r="Q8" i="1"/>
  <c r="R8" i="1" s="1"/>
  <c r="Q17" i="1"/>
  <c r="R17" i="1" s="1"/>
  <c r="Q19" i="1"/>
  <c r="R19" i="1" s="1"/>
  <c r="Q21" i="1"/>
  <c r="R21" i="1" s="1"/>
  <c r="Q22" i="1"/>
  <c r="R22" i="1" s="1"/>
  <c r="Q27" i="1"/>
  <c r="R27" i="1" s="1"/>
  <c r="Q28" i="1"/>
  <c r="R28" i="1" s="1"/>
  <c r="Q29" i="1"/>
  <c r="R29" i="1" s="1"/>
  <c r="Q30" i="1"/>
  <c r="R30" i="1" s="1"/>
  <c r="Q32" i="1"/>
  <c r="R32" i="1" s="1"/>
  <c r="Q33" i="1"/>
  <c r="R33" i="1" s="1"/>
  <c r="V8" i="2"/>
  <c r="V9" i="2"/>
  <c r="V10" i="2"/>
  <c r="V11" i="2"/>
  <c r="V12" i="2"/>
  <c r="V13" i="2"/>
  <c r="V7" i="2"/>
  <c r="W9" i="3"/>
  <c r="W10" i="3"/>
  <c r="W11" i="3"/>
  <c r="W12" i="3"/>
  <c r="W13" i="3"/>
  <c r="W14" i="3"/>
  <c r="W8" i="3"/>
  <c r="W8" i="1"/>
  <c r="W9" i="1"/>
  <c r="W10" i="1"/>
  <c r="W11" i="1"/>
  <c r="W12" i="1"/>
  <c r="W13" i="1"/>
  <c r="P18" i="13" l="1"/>
  <c r="T5" i="13"/>
  <c r="W8" i="10"/>
  <c r="AK6" i="8"/>
  <c r="AK5" i="8"/>
  <c r="AK4" i="8"/>
  <c r="T5" i="12"/>
  <c r="V21" i="2"/>
  <c r="T6" i="14"/>
  <c r="P18" i="14"/>
  <c r="P11" i="14"/>
  <c r="T5" i="14"/>
  <c r="T4" i="14"/>
  <c r="T6" i="13"/>
  <c r="P11" i="13"/>
  <c r="T4" i="13"/>
  <c r="T8" i="13" s="1"/>
  <c r="T3" i="13"/>
  <c r="P18" i="11"/>
  <c r="T8" i="12"/>
  <c r="P11" i="12"/>
  <c r="P11" i="5"/>
  <c r="P18" i="5"/>
  <c r="T5" i="11"/>
  <c r="T4" i="11"/>
  <c r="T6" i="11"/>
  <c r="P11" i="11"/>
  <c r="T4" i="9"/>
  <c r="T5" i="9"/>
  <c r="T6" i="9"/>
  <c r="P11" i="8"/>
  <c r="Z23" i="3"/>
  <c r="Z24" i="3"/>
  <c r="AA24" i="3" s="1"/>
  <c r="Z17" i="3"/>
  <c r="Z21" i="3"/>
  <c r="Z18" i="3"/>
  <c r="Z22" i="3"/>
  <c r="Z20" i="3"/>
  <c r="Z19" i="3"/>
  <c r="W22" i="3"/>
  <c r="AA17" i="3"/>
  <c r="T6" i="3"/>
  <c r="R68" i="3"/>
  <c r="Z12" i="3"/>
  <c r="AA12" i="3" s="1"/>
  <c r="W15" i="3"/>
  <c r="AG14" i="3"/>
  <c r="AH14" i="3" s="1"/>
  <c r="AG12" i="3"/>
  <c r="R65" i="3"/>
  <c r="AG13" i="3"/>
  <c r="R66" i="3"/>
  <c r="R67" i="3"/>
  <c r="R2" i="2"/>
  <c r="R86" i="2" s="1"/>
  <c r="R85" i="2"/>
  <c r="V14" i="2"/>
  <c r="S85" i="2"/>
  <c r="AJ9" i="2"/>
  <c r="Q84" i="2"/>
  <c r="Q85" i="2"/>
  <c r="AJ13" i="2"/>
  <c r="AK13" i="2" s="1"/>
  <c r="Q86" i="2"/>
  <c r="S86" i="2"/>
  <c r="AJ10" i="2"/>
  <c r="Q87" i="2"/>
  <c r="S87" i="2"/>
  <c r="AJ7" i="2"/>
  <c r="AK7" i="2" s="1"/>
  <c r="AJ11" i="2"/>
  <c r="AK12" i="2" s="1"/>
  <c r="S84" i="2"/>
  <c r="AJ8" i="2"/>
  <c r="AK9" i="2" s="1"/>
  <c r="T2" i="1"/>
  <c r="AF7" i="1"/>
  <c r="AG7" i="1" s="1"/>
  <c r="R2" i="1"/>
  <c r="AF8" i="1"/>
  <c r="T48" i="1"/>
  <c r="T47" i="1"/>
  <c r="Q46" i="1"/>
  <c r="AF11" i="1"/>
  <c r="Z8" i="1"/>
  <c r="Z11" i="1"/>
  <c r="W14" i="1"/>
  <c r="AF12" i="1"/>
  <c r="Z10" i="1"/>
  <c r="S46" i="1"/>
  <c r="AF9" i="1"/>
  <c r="AF13" i="1"/>
  <c r="AG13" i="1" s="1"/>
  <c r="Z7" i="1"/>
  <c r="AA7" i="1" s="1"/>
  <c r="Z9" i="1"/>
  <c r="S47" i="1"/>
  <c r="AF10" i="1"/>
  <c r="Q45" i="1"/>
  <c r="S45" i="1"/>
  <c r="S48" i="1"/>
  <c r="Q48" i="1"/>
  <c r="Q47" i="1"/>
  <c r="AG11" i="3"/>
  <c r="AG10" i="3"/>
  <c r="AG9" i="3"/>
  <c r="AG8" i="3"/>
  <c r="AH8" i="3" s="1"/>
  <c r="Q68" i="3"/>
  <c r="Q67" i="3"/>
  <c r="Q66" i="3"/>
  <c r="Q65" i="3"/>
  <c r="S68" i="3"/>
  <c r="S67" i="3"/>
  <c r="S66" i="3"/>
  <c r="S65" i="3"/>
  <c r="Z11" i="3"/>
  <c r="Z10" i="3"/>
  <c r="Z9" i="3"/>
  <c r="Z8" i="3"/>
  <c r="AA8" i="3" s="1"/>
  <c r="Y11" i="2"/>
  <c r="Z11" i="2" s="1"/>
  <c r="Y10" i="2"/>
  <c r="Y9" i="2"/>
  <c r="Y8" i="2"/>
  <c r="Y7" i="2"/>
  <c r="Z7" i="2" s="1"/>
  <c r="AK10" i="2" l="1"/>
  <c r="T8" i="11"/>
  <c r="AA22" i="3"/>
  <c r="T8" i="14"/>
  <c r="T8" i="9"/>
  <c r="Y24" i="2"/>
  <c r="Y23" i="2"/>
  <c r="Y22" i="2"/>
  <c r="Y21" i="2"/>
  <c r="Y20" i="2"/>
  <c r="Y19" i="2"/>
  <c r="Y18" i="2"/>
  <c r="Y17" i="2"/>
  <c r="Z17" i="2" s="1"/>
  <c r="AA19" i="3"/>
  <c r="T45" i="1"/>
  <c r="AF23" i="1"/>
  <c r="AG23" i="1" s="1"/>
  <c r="AF22" i="1"/>
  <c r="AF21" i="1"/>
  <c r="AF20" i="1"/>
  <c r="AF19" i="1"/>
  <c r="AF18" i="1"/>
  <c r="AG18" i="1" s="1"/>
  <c r="Z24" i="2"/>
  <c r="AA20" i="3"/>
  <c r="AG24" i="3"/>
  <c r="AH24" i="3" s="1"/>
  <c r="AG20" i="3"/>
  <c r="AG22" i="3"/>
  <c r="AG21" i="3"/>
  <c r="AG23" i="3"/>
  <c r="AG19" i="3"/>
  <c r="AH19" i="3" s="1"/>
  <c r="AA23" i="3"/>
  <c r="AA11" i="3"/>
  <c r="AH10" i="3"/>
  <c r="AA21" i="3"/>
  <c r="T66" i="3"/>
  <c r="AA18" i="3"/>
  <c r="AH13" i="3"/>
  <c r="T68" i="3"/>
  <c r="T65" i="3"/>
  <c r="T67" i="3"/>
  <c r="AA9" i="3"/>
  <c r="AA10" i="3"/>
  <c r="AH12" i="3"/>
  <c r="AH9" i="3"/>
  <c r="AH11" i="3"/>
  <c r="R84" i="2"/>
  <c r="R87" i="2"/>
  <c r="AK8" i="2"/>
  <c r="Z9" i="2"/>
  <c r="Z10" i="2"/>
  <c r="AK11" i="2"/>
  <c r="Z8" i="2"/>
  <c r="AG9" i="1"/>
  <c r="R46" i="1"/>
  <c r="Z20" i="1"/>
  <c r="AA20" i="1" s="1"/>
  <c r="Z19" i="1"/>
  <c r="Z18" i="1"/>
  <c r="Z17" i="1"/>
  <c r="Z16" i="1"/>
  <c r="AA16" i="1" s="1"/>
  <c r="T46" i="1"/>
  <c r="AG10" i="1"/>
  <c r="R48" i="1"/>
  <c r="R45" i="1"/>
  <c r="R47" i="1"/>
  <c r="AG12" i="1"/>
  <c r="AA10" i="1"/>
  <c r="AG8" i="1"/>
  <c r="AA9" i="1"/>
  <c r="AG11" i="1"/>
  <c r="AA8" i="1"/>
  <c r="AH23" i="3" l="1"/>
  <c r="AH22" i="3"/>
  <c r="AA13" i="3"/>
  <c r="AA25" i="3"/>
  <c r="AA19" i="1"/>
  <c r="Z18" i="2"/>
  <c r="Z19" i="2"/>
  <c r="Z20" i="2"/>
  <c r="Z21" i="2"/>
  <c r="Z22" i="2"/>
  <c r="Z23" i="2"/>
  <c r="AG19" i="1"/>
  <c r="AG20" i="1"/>
  <c r="AG21" i="1"/>
  <c r="AG22" i="1"/>
  <c r="AH21" i="3"/>
  <c r="AH20" i="3"/>
  <c r="AH15" i="3"/>
  <c r="AK14" i="2"/>
  <c r="Z12" i="2"/>
  <c r="AA17" i="1"/>
  <c r="AA18" i="1"/>
  <c r="AG14" i="1"/>
  <c r="AA12" i="1"/>
  <c r="AH25" i="3" l="1"/>
  <c r="AA21" i="1"/>
  <c r="AG24" i="1"/>
  <c r="Z25" i="2"/>
  <c r="C619" i="5"/>
  <c r="K35" i="18"/>
  <c r="K43" i="18"/>
  <c r="K37" i="18"/>
  <c r="K39" i="18"/>
  <c r="K38" i="18"/>
  <c r="K40" i="18"/>
  <c r="K36" i="18"/>
  <c r="K42" i="18"/>
  <c r="K41" i="18"/>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<sst xmlns="http://schemas.openxmlformats.org/spreadsheetml/2006/main" count="15076" uniqueCount="4917">
  <si>
    <t>Fournisseur</t>
  </si>
  <si>
    <t>Type de composant</t>
  </si>
  <si>
    <t>Nom du composant</t>
  </si>
  <si>
    <t>Fiche technique</t>
  </si>
  <si>
    <t>Caractéristique mécaniques et électriques</t>
  </si>
  <si>
    <t>Initial Release</t>
  </si>
  <si>
    <t>Date la plus ancienne trouvée</t>
  </si>
  <si>
    <t xml:space="preserve">PDN </t>
  </si>
  <si>
    <t>Last order acceptance</t>
  </si>
  <si>
    <t>Last shipment date</t>
  </si>
  <si>
    <t>Composant remplacant</t>
  </si>
  <si>
    <t>Nouvelle fiche technique</t>
  </si>
  <si>
    <t>Raison du changement</t>
  </si>
  <si>
    <t>Date PDN</t>
  </si>
  <si>
    <t>Catégorie du changement</t>
  </si>
  <si>
    <t>Responsable du changement</t>
  </si>
  <si>
    <t>Délais (en mois) entre la sortie du PDN et la dernière date pour commander</t>
  </si>
  <si>
    <t>Délais (en années) entre la sortie du PDN et la dernière date pour commander</t>
  </si>
  <si>
    <t>Estimation de la durée de vie (en mois) entre la date de dernière commande et la date de la fiche technique</t>
  </si>
  <si>
    <t>Estimation de la durée de vie (en années) entre la date de dernière commande et la date de la fiche technique</t>
  </si>
  <si>
    <t>VISHAY</t>
  </si>
  <si>
    <t>Diode</t>
  </si>
  <si>
    <t>Voir PDN</t>
  </si>
  <si>
    <t>/</t>
  </si>
  <si>
    <t>https://www.vishay.com/quality/pcn-doc/PCN-DD-001-2012-Rev-00/DD-001-2012%20Rev0.pdf/</t>
  </si>
  <si>
    <t>Realignment of product nomenclature vs. Vishay standard</t>
  </si>
  <si>
    <t>27/02/2012</t>
  </si>
  <si>
    <t>Standardisation</t>
  </si>
  <si>
    <t>Entreprise</t>
  </si>
  <si>
    <t>https://www.mouser.fr/datasheet/2/427/VISH_S_A0004199314_1-2569437.pdf</t>
  </si>
  <si>
    <t>https://www.vishay.com/quality/pcn-doc/PCN-DD-002-2012-Rev-00/DD-002-2012%20Rev0.pdf/</t>
  </si>
  <si>
    <t>Portfolio Consolidation</t>
  </si>
  <si>
    <t>https://www.mouser.fr/datasheet/2/427/vs_10mq040ntrpbf-1769235.pdf</t>
  </si>
  <si>
    <t>https://www.vishay.com/quality/pcn-doc/PCN-DD-002-2015-Rev-0/PCN-DD-002-2015%20Rev%200_Product%20Discontinuation%20for%20Surface%20Mount%20Schottky%20Products.pdf/</t>
  </si>
  <si>
    <t>Discontinuation of: DO-214AA (SMB) and DO-214AB (SMC) – PBF part numbers DO-214AC (SMA) bulk packaging</t>
  </si>
  <si>
    <t>14/01/2015</t>
  </si>
  <si>
    <t>Arrêt de production</t>
  </si>
  <si>
    <t>https://www.mouser.fr/datasheet/2/427/vs_6cwh02fn-2487082.pdf</t>
  </si>
  <si>
    <t>https://www.vishay.com/quality/pcn-doc/PCN-DD-003-2012-Rev-00/DD-003-2012%20Rev0.pdf/</t>
  </si>
  <si>
    <t>Harmonization of product portfolio</t>
  </si>
  <si>
    <t>https://www.vishay.com/docs/86012/bym36.pdf</t>
  </si>
  <si>
    <t>https://www.vishay.com/quality/pcn-doc/PCN-DD-005-2016-Rev-0/DD-005-2016%20Rev0.pdf/</t>
  </si>
  <si>
    <t>21/03/2016</t>
  </si>
  <si>
    <t>Délais (en mois) entre le PDN et la dernière date pour commander</t>
  </si>
  <si>
    <t>Cumulé</t>
  </si>
  <si>
    <t>Non cumulé</t>
  </si>
  <si>
    <t>VS-8S2TH06I-M</t>
  </si>
  <si>
    <t>https://pdf1.alldatasheet.net/datasheet-pdf/view/598033/VISHAY/VS-8S2TH06I-M.html</t>
  </si>
  <si>
    <t>https://www.vishay.com/quality/pcn-doc/PCN-DD-008-2015-Rev-0/DD-008-2015%20Rev0.pdf/</t>
  </si>
  <si>
    <t>Discontinuation of TO-220-2L INSULATED</t>
  </si>
  <si>
    <t>1 à 3</t>
  </si>
  <si>
    <t>1 à 20</t>
  </si>
  <si>
    <t>https://www.electronics-chip.fr/pdf-8e/VS-8AF2RPP.pdf</t>
  </si>
  <si>
    <t>https://www.vishay.com/quality/pcn-doc/PCN-DD-010-2012-Rev-00/DD-010-2012%20Rev%200.pdf/</t>
  </si>
  <si>
    <t>Vishay product portfolio rationalization.</t>
  </si>
  <si>
    <t>Nouvelle technologie</t>
  </si>
  <si>
    <t>4 à 6</t>
  </si>
  <si>
    <t>20 à 40</t>
  </si>
  <si>
    <t>https://www.vishay.com/quality/pcn-doc/PCN-DD-011-2013-Rev-0/PCN-DD-011-2013%20Rev%200_Product%20Discontinuation.pdf/</t>
  </si>
  <si>
    <t>19/08/2013</t>
  </si>
  <si>
    <t>Fermeture d'un site de production</t>
  </si>
  <si>
    <t>7 à  9</t>
  </si>
  <si>
    <t>40 à 60</t>
  </si>
  <si>
    <t>1N4148WFL-G3-08, 1N4148WSFL-G3-08</t>
  </si>
  <si>
    <t>https://www.vishay.com/docs/81139/1n4148w-g.pdf</t>
  </si>
  <si>
    <t>https://www.vishay.com/quality/pcn-doc/PCN-DD-011-2016-Rev-1/DD-011-2016%20Rev%201.pdf/</t>
  </si>
  <si>
    <t>28/06/2016</t>
  </si>
  <si>
    <t>10 à 12</t>
  </si>
  <si>
    <t>60 à 80</t>
  </si>
  <si>
    <t>1N4148WFL-G3-08, 1N4148WSFL-G3-09</t>
  </si>
  <si>
    <t>https://www.vishay.com/quality/pcn-doc/PCN-DD-012-2015-Rev-0/PCN-DD-012-2015%20Rev%200_Product%20Discontinuance%20Notice%20of%20Rectifier%20Products.pdf/</t>
  </si>
  <si>
    <t>31/09/2015</t>
  </si>
  <si>
    <t>Low Marketing Demand</t>
  </si>
  <si>
    <t>Faible demande</t>
  </si>
  <si>
    <t>Client</t>
  </si>
  <si>
    <t>Obsolescence d'une technologie</t>
  </si>
  <si>
    <t>12 ou +</t>
  </si>
  <si>
    <t>80 à 100</t>
  </si>
  <si>
    <t>https://www.vishay.com/quality/pcn-doc/PCN-DD-013-2016-Rev-0/DD-013-2016%20Rev%200.pdf/</t>
  </si>
  <si>
    <t>Low customer demand</t>
  </si>
  <si>
    <t>Total</t>
  </si>
  <si>
    <t>100 à 120</t>
  </si>
  <si>
    <t>https://www.vishay.com/quality/pcn-doc/PCN-DD-013-2016-Rev-01/DD-013-2016%20Rev%201.pdf/</t>
  </si>
  <si>
    <t>Low production volume</t>
  </si>
  <si>
    <t>120 ou +</t>
  </si>
  <si>
    <t>https://www.vishay.com/quality/pcn-doc/PCN-DD-015-2012-Rev-00/DD-015-2012%20rev%200.pdf/</t>
  </si>
  <si>
    <t>13/08/2012</t>
  </si>
  <si>
    <t>https://www.vishay.com/quality/pcn-doc/PCN-DD-016-2015-Rev-0/PCN-DD-016-2015%20Rev%200_Discontinuation%20of%20P4KA%20and%20P6KA%20PAR%20TVS.pdf/</t>
  </si>
  <si>
    <t>Product end of life</t>
  </si>
  <si>
    <t>14/04/2015</t>
  </si>
  <si>
    <t>Délais (en années) entre le PDN et la dernière date pour commander</t>
  </si>
  <si>
    <t>https://www.vishay.com/quality/pcn-doc/PCN-DD-017-2015-Rev-00/DD-017-2015%20Rev0.pdf/</t>
  </si>
  <si>
    <t>Low sales, harmonization of product portfolio</t>
  </si>
  <si>
    <t>22/05/2015</t>
  </si>
  <si>
    <t>0 à 0,2</t>
  </si>
  <si>
    <t>https://www.vishay.com/quality/pcn-doc/PCN-DD-017-2016-Rev-0/DD-017-2016%20Rev_0.pdf/</t>
  </si>
  <si>
    <t>Rationalization of product nomenclature and product portfolio</t>
  </si>
  <si>
    <t>0,2 à 0,4</t>
  </si>
  <si>
    <t>https://www.vishay.com/quality/pcn-doc/PCN-DD-019-2015-Rev-00/DD-019-2015%20rev.0.pdf/</t>
  </si>
  <si>
    <t>29/06/2015</t>
  </si>
  <si>
    <t>0,4 à 0,6</t>
  </si>
  <si>
    <t>0 à 2</t>
  </si>
  <si>
    <t>https://www.vishay.com/quality/pcn-doc/PCN-DD-020-2012-Rev-00/DD-020-2012%20Rev0.pdf/</t>
  </si>
  <si>
    <t>Technologie</t>
  </si>
  <si>
    <t>0,6 à 0,8</t>
  </si>
  <si>
    <t>2 à 4</t>
  </si>
  <si>
    <t>https://www.vishay.com/quality/pcn-doc/PCN-DD-020-2015-Rev-00/DD-020-2015%20Rev_0.pdf/</t>
  </si>
  <si>
    <t>Voir DPN</t>
  </si>
  <si>
    <t>Product nomenclature rationalization</t>
  </si>
  <si>
    <t>0,8 et + (max 1)</t>
  </si>
  <si>
    <t>https://www.mouser.fr/datasheet/2/427/Vishay_10UT10-1211370.pdf</t>
  </si>
  <si>
    <t>https://www.vishay.com/quality/pcn-doc/PCN-DD-021-2012-Rev-00/DD-021-2012%20Rev0.pdf/</t>
  </si>
  <si>
    <t>6 à 8</t>
  </si>
  <si>
    <t>https://www.mouser.fr/datasheet/2/427/mbr10xx-1147412.pdf</t>
  </si>
  <si>
    <t>https://www.vishay.com/quality/pcn-doc/PCN-DD-021-2016-Rev-0/PCN-DD-021-2016%20Rev%200_Product%20Discontinuance%20Notice%20of%20TVS%20and%20Rectifier%20Products.pdf/</t>
  </si>
  <si>
    <t>Low Sales</t>
  </si>
  <si>
    <t xml:space="preserve">8 à 10 </t>
  </si>
  <si>
    <t>https://www.vishay.com/quality/pcn-doc/PCN-DD-023-2012-Rev-0/PCN-DD-023-2012%20Rev%200_Discontinuation%20of%20Commercial%20Grade%20PAR%20TVS.pdf/</t>
  </si>
  <si>
    <t>30/11/2013</t>
  </si>
  <si>
    <t>Part number consolidation to suffix HE3 for automotive PAR® TVS series</t>
  </si>
  <si>
    <t>20/11/2012</t>
  </si>
  <si>
    <t>10 et + (max 12)</t>
  </si>
  <si>
    <t>https://www.vishay.com/quality/pcn-doc/PCN-HPP-001-2011-Rev-00/PCN-HPP%20001-2011%20Rev0.pdf/</t>
  </si>
  <si>
    <t>Obsolete products</t>
  </si>
  <si>
    <t>28/02/2011</t>
  </si>
  <si>
    <t>S1342</t>
  </si>
  <si>
    <t>https://www.vishay.com/quality/pcn-doc/PCN-HPP-006-2010-Rev-00/PCN-HPP%20006-2010%20Rev0%20.pdf/</t>
  </si>
  <si>
    <t>Single-Phase In Line Bridge Product Consolidation</t>
  </si>
  <si>
    <t>14/07/2010</t>
  </si>
  <si>
    <t>S1343</t>
  </si>
  <si>
    <t>https://www.vishay.com/docs/94888/vs-10ets08s.pdf</t>
  </si>
  <si>
    <t>https://www.vishay.com/quality/pcn-doc/PCN-HPP-007-2010-Rev-00/PCN-HPP%20007-2010%20Rev0.pdf/</t>
  </si>
  <si>
    <t>https://www.vishay.com/quality/pcn-doc/PCN-HPP-007-2011-Rev-00/HPP-007-2011%20Rev0.pdf/</t>
  </si>
  <si>
    <t>Product Portfolio Rationalization</t>
  </si>
  <si>
    <t>https://www.mouser.com/datasheet/2/427/Vishay_20CJQ030-1211588.pdf</t>
  </si>
  <si>
    <t>https://www.vishay.com/quality/pcn-doc/PCN-HPP-011-2009-Rev-00/PCN-HPP%20011-2009%20Rev0.pdf/</t>
  </si>
  <si>
    <t>https://www.vishay.com/docs/95729/vs-10ctq150s-m3.pdf</t>
  </si>
  <si>
    <t>https://www.vishay.com/quality/pcn-doc/PCN-HPP-012-2009-Rev-00/PCN-HPP%20012-2009%20Rev0.pdf/</t>
  </si>
  <si>
    <t>https://www.vishay.com/quality/pcn-doc/PCN-HPP-012-2011-Rev-00/HPP-012-2011%20Rev0.pdf/</t>
  </si>
  <si>
    <t>Product consolidation</t>
  </si>
  <si>
    <t>https://www.vishay.com/docs/96734/vs-50mt060phtapbf.pdf</t>
  </si>
  <si>
    <t>https://www.vishay.com/quality/pcn-doc/PCN-HPP-013-2011-Rev-00/HPP-013-2011%20Rev.0.pdf/</t>
  </si>
  <si>
    <t>Obsolescence of specific IGBT dice used in these modules.</t>
  </si>
  <si>
    <t>19/12/2011</t>
  </si>
  <si>
    <t>https://www.vishay.com/docs/85782/sml4738.pdf</t>
  </si>
  <si>
    <t>https://www.vishay.com/quality/pcn-doc/PCN-SSP-443-2010-Rev-1/ssp_443_2010_rev1.pdf/</t>
  </si>
  <si>
    <t>Process and Production Consolidation</t>
  </si>
  <si>
    <t>https://www.vishay.com/docs/96611/vs-e5th3012-m3.pdf</t>
  </si>
  <si>
    <t>https://www.vishay.com/quality/pcn-doc/PTN-DD-00002-2021-Rev-0/DD-002-2021%20Rev%2000.pdf/</t>
  </si>
  <si>
    <t>Portfolio consolidation</t>
  </si>
  <si>
    <t>https://docs.rs-online.com/89f6/0900766b80e4bbcf.pdf</t>
  </si>
  <si>
    <t>https://www.vishay.com/quality/pcn-doc/PTN-DD-00003-2018-Rev-0/DD-003-2018%20Rev%200.pdf/</t>
  </si>
  <si>
    <t>19/01/2018</t>
  </si>
  <si>
    <t>https://www.vishay.com/docs/88301/15ke.pdf</t>
  </si>
  <si>
    <t>https://www.vishay.com/quality/pcn-doc/PTN-DD-00004-2021-Rev-0/PCN-DD-004-2021%20Rev%200_Product%20Discontinuation%20of%20RCT%20and%20TVS%20Products.pdf/</t>
  </si>
  <si>
    <t>Low sales</t>
  </si>
  <si>
    <t>26/02/2021</t>
  </si>
  <si>
    <t>https://www.vishay.com/docs/85909/vcut03e1-sd0.pdf</t>
  </si>
  <si>
    <t>https://www.vishay.com/quality/pcn-doc/PTN-DD-00010-2020-Rev-0/DD-010-2020%20Rev%200.pdf/</t>
  </si>
  <si>
    <t>18/06/2020</t>
  </si>
  <si>
    <t>https://www.vishay.com/docs/85908/vbus03b1-sd0.pdf</t>
  </si>
  <si>
    <t>https://www.vishay.com/quality/pcn-doc/PTN-DD-00013-2020-Rev-0/DD-013-2020%20Rev%200.pdf/</t>
  </si>
  <si>
    <t>Low business and Portfolio Consolidation</t>
  </si>
  <si>
    <t>26/06/2020</t>
  </si>
  <si>
    <t>https://www.vishay.com/docs/85529/ba679ba.pdf</t>
  </si>
  <si>
    <t>https://www.vishay.com/quality/pcn-doc/PTN-DD-00015-2017-Rev-0/PCN-DD-015-2017%20Rev%200_Product%20Discontinuation%20for%20Ultrafast%20Diodes.pdf/</t>
  </si>
  <si>
    <t>Low sales, Product portfolio optimization</t>
  </si>
  <si>
    <t>https://www.vishay.com/quality/pcn-doc/PTN-DD-00015-2019-Rev-0/DD-015-2019%20Rev%200.pdf/</t>
  </si>
  <si>
    <t>Low / No sales, Portfolio Consolidation</t>
  </si>
  <si>
    <t>18/07/2019</t>
  </si>
  <si>
    <t>https://www.vishay.com/docs/85816/1n4728a.pdf</t>
  </si>
  <si>
    <t>https://www.vishay.com/quality/pcn-doc/PTN-DD-00019-2021-Rev-0/DD-019-2021%20Rev%200.pdf/</t>
  </si>
  <si>
    <t>Low sales, Portfolio Consolidation</t>
  </si>
  <si>
    <t>https://www.vishay.com/docs/94379/vs-110rkipb.pdf</t>
  </si>
  <si>
    <t>https://www.vishay.com/quality/pcn-doc/PTN-DD-00020-2018-Rev-00/DD-020-2018%20Rev%200.pdf/</t>
  </si>
  <si>
    <t>25/09/2018</t>
  </si>
  <si>
    <t>https://www.vishay.com/quality/pcn-doc/PTN-DD-00020-2019-Rev-00/DD-020-2019%20Rev%200.pdf/</t>
  </si>
  <si>
    <t>Nomenclature alignement</t>
  </si>
  <si>
    <t>13/09/2019</t>
  </si>
  <si>
    <t>https://www.vishay.com/docs/85527/ba479g.pdf</t>
  </si>
  <si>
    <t>https://www.vishay.com/quality/pcn-doc/PTN-DD-00021-2021-Rev-0/DD-021-2021%20Rev%200.pdf/</t>
  </si>
  <si>
    <t>Low/no demand in automotive markets/applications</t>
  </si>
  <si>
    <t>16/11/2021</t>
  </si>
  <si>
    <t>https://www.vishay.com/docs/85651/bas40-02v.pdf</t>
  </si>
  <si>
    <t>https://www.vishay.com/quality/pcn-doc/PTN-DD-00022-2020-Rev-0/DD-022-2020%20Rev%200.pdf/</t>
  </si>
  <si>
    <t>Production line consolidation.</t>
  </si>
  <si>
    <t>30/11/2020</t>
  </si>
  <si>
    <t>MOYENNE</t>
  </si>
  <si>
    <t>MEDIANE</t>
  </si>
  <si>
    <t>ETENDUE</t>
  </si>
  <si>
    <t>ECART TYPE</t>
  </si>
  <si>
    <t>Vishay Dale</t>
  </si>
  <si>
    <t>Resistors</t>
  </si>
  <si>
    <t> </t>
  </si>
  <si>
    <t>https://www.vishay.com/quality/pcn-doc/PCN-DBR-004-2010-Rev-1/PCN-DBR-004-2010.pdf/</t>
  </si>
  <si>
    <t>Unviable manufacturing due to very low demand</t>
  </si>
  <si>
    <t>Vishay Draloric</t>
  </si>
  <si>
    <t>https://www.vishay.com/docs/20011/dcrcwhr.pdf</t>
  </si>
  <si>
    <t>https://www.vishay.com/quality/pcn-doc/PCN-DBR-004-2016-Rev-0/PTN-DBR-004-2016%20Rev0.pdf/</t>
  </si>
  <si>
    <t>Very low demand. Rarely used</t>
  </si>
  <si>
    <t>https://www.vishay.com/quality/pcn-doc/PCN-DBR-005-2010-Rev-01/PCN-DBR-005-2010%20RevB.pdf/</t>
  </si>
  <si>
    <t>Withdrawal of coating raw material due to environmental reasons. The new environmentally friendly lacquering system ensures the function of fusible resistor up to 9R1 only.</t>
  </si>
  <si>
    <t>https://www.vishay.com/quality/pcn-doc/PCN-DBR-005-2010-Rev-2/PCN-DBR-005-2010-REVB.pdf/</t>
  </si>
  <si>
    <t>Vishay BCcomponents</t>
  </si>
  <si>
    <t>Professional Metal Film Leaded Resistors</t>
  </si>
  <si>
    <t>https://www.vishay.com/docs/28766/mbxsma.pdf</t>
  </si>
  <si>
    <t>https://www.vishay.com/quality/pcn-doc/PCN-DBR-005-2016-Rev-0/PCN-DBR-005-2016%20Rev0.pdf/</t>
  </si>
  <si>
    <t>https://www.vishay.com/quality/pcn-doc/PCN-DBR-006-2016-Rev-0/PTN-DBR-006-2016%20Rev0.pdf/</t>
  </si>
  <si>
    <t>High voltage surge resistor LSR37</t>
  </si>
  <si>
    <t>https://www.vishay.com/quality/pcn-doc/PCN-DBR-007-2010-Rev-0/PCN-DBR-007-2010.pdf/</t>
  </si>
  <si>
    <t>Unviable and non profitable manufacturing due to low market demand</t>
  </si>
  <si>
    <t>High voltage surge resistor LSR38</t>
  </si>
  <si>
    <t>https://www.vishay.com/quality/pcn-doc/PCN-DBR-008-2009-Rev-2/PCN-DBR-008-2009-REVB.pdf/</t>
  </si>
  <si>
    <t>Optimisation of leaded fixed film resistors portfolio by withdrawing unprofitable product lines and consolidating standard case sizes</t>
  </si>
  <si>
    <t>CRA12E16-03</t>
  </si>
  <si>
    <t>https://www.vishay.com/quality/pcn-doc/PCN-DBR-009-2010-Rev-0/PCN-DBR-009-2010.pdf/</t>
  </si>
  <si>
    <t>Discontinuation due to low demand.</t>
  </si>
  <si>
    <t>SR37</t>
  </si>
  <si>
    <t>https://www.vishay.com/quality/pcn-doc/PCN-DBR-033-2009-Rev-1/PCN-DBR-033-2009.pdf/</t>
  </si>
  <si>
    <t>LSR37</t>
  </si>
  <si>
    <t>Optimisation of leaded fixed film resistors portfolio</t>
  </si>
  <si>
    <t>MCT 0603 HF</t>
  </si>
  <si>
    <t>https://www.vishay.com/quality/pcn-doc/PCN-DBR-034-2009-Rev-1/PCN-DBR-034-2009.pdf/</t>
  </si>
  <si>
    <t>Low business volume</t>
  </si>
  <si>
    <t>https://www.vishay.com/quality/pcn-doc/PCN-DBR-035-2009-Rev-0/PCN-DBR-035-2009.pdf/</t>
  </si>
  <si>
    <t>Discontinuation due to low demand</t>
  </si>
  <si>
    <t>https://www.vishay.com/quality/pcn-doc/PCN-DR-001-2013-Rev-0/PCN-DR-001-2013%20Rev%200.pdf/</t>
  </si>
  <si>
    <t>Raw Material Obsolescence of the Glass Cane that was used to manufacture the FP, FP..P and C6 products. As the remaining Glass Cane is consumed, alternatives will be suggested for those affected orders. Certain value ranges and products are already not available.</t>
  </si>
  <si>
    <t>https://www.vishay.com/quality/pcn-doc/PCN-DR-004-2014-Rev-0/PTN-DR-004-2014%20Rev%200.pdf/</t>
  </si>
  <si>
    <t>Technology and Raw Material Obsolescence</t>
  </si>
  <si>
    <t>https://www.vishay.com/quality/pcn-doc/PCN-DR-008-2016-Rev-0/CRCA%20CRCC%20EOL%20PCN_rl060116.pdf/</t>
  </si>
  <si>
    <t>Market for the CRCA and CRCC products have become too small to continue production</t>
  </si>
  <si>
    <t>https://www.vishay.com/quality/pcn-doc/PCN-DR-010-2015-Rev-0/PTN-DR-010-2015%20Rev0.pdf/</t>
  </si>
  <si>
    <t>Dale and Huntington have similar tubular wirewound product offering – this consolidation allows for commonizing raw materials and marketing just one brand name for the each wattage type</t>
  </si>
  <si>
    <t>https://www.vishay.com/quality/pcn-doc/PCN-DR-011-2016-Rev-0/PTN-DR-011-2016%20Rev%200.pdf/</t>
  </si>
  <si>
    <t>Market for the RS1/8 has become too small to continue production.</t>
  </si>
  <si>
    <t>WSC0001, WSN0001</t>
  </si>
  <si>
    <t>https://www.vishay.com/quality/pcn-doc/PCN-DR-013-2015-Rev-0/PCN-DR-013-2015%20Rev%200.pdf/</t>
  </si>
  <si>
    <t>The WSC0001 / WSN0001 is the original design of the 1W surface mount wirewound product; refer to page 5 of Conversion guide (link above). The WSC2515 / WSN2515 is an improvement in product and manufacturing design that provides for a more reliable assembly with reduced failure modes. Due to consolidation of floor space and manufacturing locations – the WSC0001/WSN0001 manufacturing equipment is being eliminated.</t>
  </si>
  <si>
    <t>https://www.vishay.com/quality/pcn-doc/PCN-DR-015-2016-Rev-0/PTN-DR-015-2016%20(11.10.2016).pdf/</t>
  </si>
  <si>
    <t>The video controllers used for the below affected OLED displays with TAB construction are no longer available due to material supply termination. Please see attached for more details.</t>
  </si>
  <si>
    <t>https://www.vishay.com/quality/pcn-doc/PCN-DR-016-2015-Rev-0/PCN-DR-016-2015%20Rev%200.pdf/</t>
  </si>
  <si>
    <t>Vishay DALE’s vendor has discontinued the Y5U material we had used for the CRCA and CRCC products with capacitance values from 270pF to 1800pF. So, we no longer have the Y5U capacitor dielectric material needed to build CRCA and CRCC parts with capacitance values above 270pF.</t>
  </si>
  <si>
    <t>0,8 à 1,0</t>
  </si>
  <si>
    <t>https://www.vishay.com/quality/pcn-doc/PCN-DR-017-2015-Rev-0/PTN-DR-017-2015.pdf/</t>
  </si>
  <si>
    <t>Market for the HVW and HVX series’ -1 and -2 sizes have become too small to continue production.</t>
  </si>
  <si>
    <t>1,0 à 1,2</t>
  </si>
  <si>
    <t>https://www.vishay.com/quality/pcn-doc/PCN-DR-017-2016-Rev-0/PTN-DR-017-2016%20Rev%200.pdf/</t>
  </si>
  <si>
    <t>Vishay is standardizing on a single terminal construction to improve manufacturability and performance. The crimped construction has been identified as the preferred termination. Note the image below for a comparison of the two (2) terminal constructions (note that the crimp lines are only slightly visible on the actual product and will not impact performance).</t>
  </si>
  <si>
    <t>1,2 à 1,4</t>
  </si>
  <si>
    <t>https://www.vishay.com/quality/pcn-doc/PCN-DR-018-2015-Rev-0/PTN-DR-018-2015.pdf/</t>
  </si>
  <si>
    <t>Market for the CP002M has become too small to continue production.</t>
  </si>
  <si>
    <t>1,4 ou + (1,5 max)</t>
  </si>
  <si>
    <t>https://www.vishay.com/quality/pcn-doc/PCN-DR-019-2015-Rev-0/PTN-DR-019-2015%20Rev%200.pdf/</t>
  </si>
  <si>
    <t>The Huntington MTL and Dale LVR are very similar – this consolidation allows for use of one common set of raw materials and marketing one brand name / product type. This aligns with the overall manufacturing strategy in order to support continuous improvement to deliver and service.</t>
  </si>
  <si>
    <t>https://www.vishay.com/quality/pcn-doc/PCN-DR-021-2015-Rev-0/PTN-DR-021-2015.pdf/</t>
  </si>
  <si>
    <t>Production volume for the CP Quick Connect, CL, and PCT has become too small to continue the manufacturing of these series</t>
  </si>
  <si>
    <t>Vishay Huntington</t>
  </si>
  <si>
    <t>https://www.vishay.com/quality/pcn-doc/PCN-DR-022-2015-Rev-0/PTN-DR-022-2015.pdf/</t>
  </si>
  <si>
    <t>Due to the duplication of the Vishay Dale ceramic boated wirewound resistor series and low sales volume, these Vishay Huntington and Vishay Mills series will be discontinued.</t>
  </si>
  <si>
    <t>https://www.vishay.com/quality/pcn-doc/PCN-DR-028-2015-Rev-0/PTN-DR-028-2015%20Rev%200%20WSH2818.pdf/</t>
  </si>
  <si>
    <t>The WSH2818 is the original conformal coated design of high power 5W 2818 size part, we have since developed an improved molded design that allows for higher power 7W capability and a lower priced part. The WSHM2818 is a drop-in replacement to the WSH2818</t>
  </si>
  <si>
    <t>Vishay Cera-Mite</t>
  </si>
  <si>
    <t>PTC305C11C03</t>
  </si>
  <si>
    <t>https://www.vishay.com/quality/pcn-doc/PCN-NLR-001-2016-Rev-0/PTN-NLR-001-2016%20Rev0.pdf/</t>
  </si>
  <si>
    <t>PTC305C11L03A</t>
  </si>
  <si>
    <t>Auxiliary material, mounting bracket has been obsoleted.</t>
  </si>
  <si>
    <t>https://www.vishay.com/quality/pcn-doc/PCN-NLR-005-2016-Rev-0/PTN-NLR-005-2016%20Rev0.pdf/</t>
  </si>
  <si>
    <t>End Of Life of raw materials</t>
  </si>
  <si>
    <t>VISHAY SFERNICE</t>
  </si>
  <si>
    <t>https://www.vishay.com/quality/pcn-doc/PCN-SF-088-2009-Rev-1/PCN%20SF%20088.pdf/</t>
  </si>
  <si>
    <t>Non moving items (no sales)</t>
  </si>
  <si>
    <t>https://www.vishay.com/quality/pcn-doc/PCN-SF-089-2009-Rev-0/PCN%20SF%20FL089%202009%20T19P.pdf/</t>
  </si>
  <si>
    <t>Decreasing demand.</t>
  </si>
  <si>
    <t>https://www.vishay.com/quality/pcn-doc/PCN-SF-101-2011-Rev-1/PCN%20SF101%20Rev%201.pdf/</t>
  </si>
  <si>
    <t>Non moving items</t>
  </si>
  <si>
    <t>https://www.vishay.com/quality/pcn-doc/PCN-SF-105-2011-Rev-0/PCN%20SF105%20Rev%200.pdf/</t>
  </si>
  <si>
    <t>Standard Product PHT now available with enhanced performances</t>
  </si>
  <si>
    <t>R0033</t>
  </si>
  <si>
    <t>https://www.vishay.com/quality/pcn-doc/PCN-SF-108-2011-Rev-0/PCN%20SF108%20Rev%200.pdf/</t>
  </si>
  <si>
    <t>Thermoformed tape is now standard (no more option needed)</t>
  </si>
  <si>
    <t>https://www.vishay.com/quality/pcn-doc/PCN-SF-122-2012-Rev-1/PCN%20SF122%20Change%20of%20codification%20P%20option%200079.pdf/</t>
  </si>
  <si>
    <t>Option 0079 was intended to offer a 5ppm/°C tempe rature coefficient (-55°C; +155°C) which is now offered in standard: TCR: “C”</t>
  </si>
  <si>
    <t>https://www.vishay.com/quality/pcn-doc/PCN-SF-146-2014-Rev-0/PTN%20SF%20FL146%202014%20Sfernice%20Metal%20Film%20NK%20NY%20NP%20NT%20SL%20obsolescence.pdf/</t>
  </si>
  <si>
    <t>Low demand</t>
  </si>
  <si>
    <t>Vishay Thin Film</t>
  </si>
  <si>
    <t>https://www.vishay.com/quality/pcn-doc/PCN-TF-002-2015-Rev-0/PCN-TF-002-2015%20Rev%200%2020150330.pdf/</t>
  </si>
  <si>
    <t>Declining sales volume and discontinuation of molding services by 3rd party mold house</t>
  </si>
  <si>
    <t>Vishay Beyschlag</t>
  </si>
  <si>
    <t>https://www.vishay.com/quality/pcn-doc/PTN-DBR-00000-2019-Rev-0/PTN-DBR-00007-2019%20Rev0.pdf/</t>
  </si>
  <si>
    <t>Unviable and non-profitable manufacturing due to low market demand.</t>
  </si>
  <si>
    <t>https://www.vishay.com/quality/pcn-doc/PTN-DBR-00002-2018-Rev-0/PTN-DBR-002-2018%20Rev0.pdf/</t>
  </si>
  <si>
    <t>Lack of market demand.</t>
  </si>
  <si>
    <t>https://www.vishay.com/quality/pcn-doc/PTN-DBR-00002-2019-Rev-0/PTN-DBR-00002-2019%20Rev0.pdf/</t>
  </si>
  <si>
    <t>https://www.vishay.com/quality/pcn-doc/PTN-DBR-00003-2019-Rev-0/PTN-DBR-00003-2019%20Rev0.pdf/</t>
  </si>
  <si>
    <t>https://www.vishay.com/quality/pcn-doc/PTN-DBR-00005-2019-Rev-0/PTN-DBR-00005-2019%20Rev0.pdf/</t>
  </si>
  <si>
    <t>https://www.vishay.com/quality/pcn-doc/PTN-DBR-00007-2019-Rev-0/PTN-DBR-0007-2019%20Rev0.pdf/</t>
  </si>
  <si>
    <t>Vishay</t>
  </si>
  <si>
    <t>https://www.vishay.com/quality/pcn-doc/PTN-DBR-00009-2018-Rev-0/PTN-DBR-00009-2018%20Rev0.pdf/</t>
  </si>
  <si>
    <t>Increasing processability requirements do not enable us to improve the current products.</t>
  </si>
  <si>
    <t>https://www.vishay.com/quality/pcn-doc/PTN-DR-00001-2018-Rev-1/PTN-DR-00001-2018%20Rev%201.pdf/</t>
  </si>
  <si>
    <t>The WSL…E is a “Flip Chip” “Extended Range” product that is being discontinued because of very small sales and the cost to continue to offer this very special part.</t>
  </si>
  <si>
    <t>https://www.vishay.com/quality/pcn-doc/PTN-DR-00002-2020-Rev-0/PTN_CP_CPR_CPSM_CPCx_CA%20Commercial%20Resistors.pdf/</t>
  </si>
  <si>
    <t>The market for these products is in decline. Vishay is focusing its engineering resources on other products.</t>
  </si>
  <si>
    <t>https://www.vishay.com/quality/pcn-doc/PTN-DR-00004-2019-Rev-0/PTN-DR-00004-2019%20REV%200%20WSMS2906%20WSMS3124.pdf/</t>
  </si>
  <si>
    <t>These products are being obsoleted due to no sales on either product for over 3 years.</t>
  </si>
  <si>
    <t>WSK0612</t>
  </si>
  <si>
    <t>https://www.vishay.com/quality/pcn-doc/PTN-DR-00004-2021-REV-0/PTN-DR-00004-2021-REV-0.pdf/</t>
  </si>
  <si>
    <t>The welded construction of the WSKW0612 is superior to the clad construction of the WSK0612 by providing improved in circuit mounted resistance value</t>
  </si>
  <si>
    <t>Vishay Techno</t>
  </si>
  <si>
    <t>https://www.vishay.com/quality/pcn-doc/PTN-DR-00006-2017-Rev-0/http___www.vishay.com_quality_pcn-doc_PCN-DR-006-2017-Rev-0_PTN-DR-006-2017-Rev-0.pdf/</t>
  </si>
  <si>
    <t>The AA and CA terminal styles in conjunction with 'S', 'E', 'D' and 'F' solder
termination codes were originally offered as non-magnetic terminations with limited solderability
performance. We have since developed a much improved process utilizing the AF terminal style with
'E' or 'T' termination material combinations which is more cost effective and with improved reliability.
Additionally, we also offer other non-magnetic terminations. For a list of all available terminal styles
and termination codes, refer to the table on page 3 of the CRHV datasheet.</t>
  </si>
  <si>
    <t>https://www.vishay.com/quality/pcn-doc/PTN-DR-00006-2020-Rev-0/PTN-DR-00006-2020%20Rev%200%20(RCWK0306)%20(002).pdf/</t>
  </si>
  <si>
    <t>The RCWK0306 thick film, surface mount, current sense series will be discontinued due to very small sales.</t>
  </si>
  <si>
    <t>MR703</t>
  </si>
  <si>
    <t>https://www.vishay.com/docs/31818/mr700.pdf</t>
  </si>
  <si>
    <t>https://www.vishay.com/quality/pcn-doc/PTN-DR-00010-2019-Rev-0/MR703_PTN.pdf/</t>
  </si>
  <si>
    <t>MR602</t>
  </si>
  <si>
    <t>https://www.vishay.com/docs/31817/mr600.pdf</t>
  </si>
  <si>
    <t>Due to a lack of availability of raw materials the MR703 will no longer be offered. We will continue to offer the MR702 (0.125W), MR705 (0.3W) and MR706 (0.5W) resistors.</t>
  </si>
  <si>
    <t>https://www.vishay.com/quality/pcn-doc/PTN-DR-00010-2020-Rev-0/PTN_PH%20Resistors_Final.pdf/</t>
  </si>
  <si>
    <t>The PH series is terminated due to the difficulty in procuring raw materials and aging equipment. This PTN is issued to formally communicate this message.</t>
  </si>
  <si>
    <t>https://www.vishay.com/quality/pcn-doc/PTN-DR-00011-2018-Rev-0/2018_PTN-DR-00011-Rev0.pdf/</t>
  </si>
  <si>
    <t>Market for the CCF-50 and FRJ-50 products have become too small to continue production.</t>
  </si>
  <si>
    <t>https://www.vishay.com/quality/pcn-doc/PTN-DR-00011-2020-Rev-0/PTN-DR-00011-2020,%20Rev%200%20(05May2020-final).pdf/</t>
  </si>
  <si>
    <t>End of Life for the RAiO RA8822 video controller used on certain Vishay LCD modules</t>
  </si>
  <si>
    <t>https://www.vishay.com/docs/31067/sr.pdf</t>
  </si>
  <si>
    <t>https://www.vishay.com/quality/pcn-doc/PTN-DR-00012-2018-Rev-0/Product%20Termination%20of%20SR1.pdf/</t>
  </si>
  <si>
    <t>There have been no sales on this product for the last two years. The market for the 1.0W current sense series has most likely shifted to surface mount current sense resistors. Vishay is focusing its engineering resources on other products. We will continue to offer the SR3 (3.0W) and SR5 (5.0W) resistors</t>
  </si>
  <si>
    <t>https://www.vishay.com/docs/30104/wsf.pdf</t>
  </si>
  <si>
    <t>https://www.vishay.com/quality/pcn-doc/PTN-DR-00013-2018-Rev-0/PTN-DR-00013-2018%20Rev%200%20(WSF2012).pdf/</t>
  </si>
  <si>
    <t>The WSF2012 Metal Film, Power, Surface Mount product is being discontinued because the internal sub-assembly is being discontinued due to very small sales and the increased cost to continue to offer this part.</t>
  </si>
  <si>
    <t>https://www.vishay.com/docs/31826/pcqc.pdf</t>
  </si>
  <si>
    <t>https://www.vishay.com/quality/pcn-doc/PTN-DR-00013-2020-Rev-0/PTN-DR-00013%202020%20Rev%200.pdf/</t>
  </si>
  <si>
    <t>https://www.vishay.com/docs/30224/spr2213.pdf</t>
  </si>
  <si>
    <t>Production volume for the PC Quick Connect has become too small to continue the manufacturing of the series.</t>
  </si>
  <si>
    <t>https://www.vishay.com/quality/pcn-doc/PTN-DR-00015-2018-Rev-0/Product%20Termination%20of%20CPR07_JE66(2).pdf/</t>
  </si>
  <si>
    <t>CPR07..XX is a commercial product with very little volume. Vishay is focusing its engineering resources on other products.</t>
  </si>
  <si>
    <t>Vishay Milwaukee</t>
  </si>
  <si>
    <t>https://www.vishay.com/quality/pcn-doc/PTN-DR-00015-2020-Rev-0/PTN-DR-00015%202020%20Rev%200.pdf/</t>
  </si>
  <si>
    <t>Production volume for the HEXF &amp; HEXA Power Resistors has become too small to continue the manufacturing of the series.</t>
  </si>
  <si>
    <t>https://www.vishay.com/quality/pcn-doc/PTN-DR-00016-2020-Rev-0/PTN-DR-00016-2020%20Rev%200%20(03Sept2020-TIP%20products)%20(002).pdf/</t>
  </si>
  <si>
    <t>End of life / termination of production and repair.  </t>
  </si>
  <si>
    <t>https://www.vishay.com/quality/pcn-doc/PTN-DR-00020-2020-Rev-1/PTN_LVR%20Resistors_PTN-DR-00020%20Rev%201.pdf/</t>
  </si>
  <si>
    <t>Production volume for LVR01, LVR02, LVR03 and LVR05 resistors has become too small to continue manufacturing. The market has shifted towards surface mount products.Vishay will continue to offer LVR10 size.</t>
  </si>
  <si>
    <t>https://www.vishay.com/quality/pcn-doc/PTN-DR-00021-2020-Rev-0/PTN_CPL_CPSL_CPCL_Resistors_PTN-DR-00021%202020%20Rev%200.pdf/</t>
  </si>
  <si>
    <t>Production volume for CPL, CPCL, CPSL resistors has become too small to continue manufacturing.</t>
  </si>
  <si>
    <t>https://www.vishay.com/quality/pcn-doc/PTN-DR-00022-2020-Rev-0/PTN_M49465%20Resistors_PTN_-DR-00022%202020%20Rev%200.pdf/</t>
  </si>
  <si>
    <t>Production volume for M4946506 (RLV30) and M4946507 (RLV31) sizes has become too small to continue manufacturing. Vishay will continue to offer M4946501 (RLV10).</t>
  </si>
  <si>
    <t>https://www.vishay.com/quality/pcn-doc/PTN-DR-00024-2020-Rev-0/PTN-DR-00024-2020%20Rev%200%20(December%202020-EOL%20of%20Plasma%20displays).pdf/</t>
  </si>
  <si>
    <t>Termination of production.   </t>
  </si>
  <si>
    <t>https://www.vishay.com/quality/pcn-doc/PTN-DR-00025-2020-Rev-0/PTN_ROX_RNX_RJU_Resistors_PTN-DR-00025%202020%20Rev%200.pdf/</t>
  </si>
  <si>
    <t>Production volume for ROX, RNX, RDX and RJU metal oxide resistors has become too small to continue manufacturing.</t>
  </si>
  <si>
    <t>https://www.vishay.com/quality/pcn-doc/PTN-DR-00027-2020-Rev-0/PTN-DR-00027%20Rev%200_CZA_CZB.pdf/</t>
  </si>
  <si>
    <t>Production volume for CZA and CZB has become too small to continue manufacturing</t>
  </si>
  <si>
    <t>https://www.vishay.com/quality/pcn-doc/PTN-NLR-00003-2019-Rev-0/PTN-NLR-003-2019%20Withdrawal%20of%20MCT%20series%20curve%207.pdf/</t>
  </si>
  <si>
    <t>Lack of market demand and the obsolescence of the ceramic raw material</t>
  </si>
  <si>
    <t>https://www.vishay.com/quality/pcn-doc/PTN-NLR-00003-2019-Rev-1/PTN-NLR-003-2019%20Withdrawal%20of%20MCT%20series%20curve%207%20Rev1.pdf/</t>
  </si>
  <si>
    <t>https://www.vishay.com/quality/pcn-doc/PTN-NLR-00003-2019-Rev-2/PTN-NLR-003-2019%20Withdrawal%20of%20TMC%20series%20curve%207%20Rev2.pdf/</t>
  </si>
  <si>
    <t>https://www.vishay.com/quality/pcn-doc/PTN-NLR-00004-2018-Rev-0/PTN-NLR-004-2018%20Withdrawal%20of%20PTCS%20sensing%20product%20series%20Rev0.pdf/</t>
  </si>
  <si>
    <t>https://www.vishay.com/quality/pcn-doc/PTN-NLR-00005-2020-Rev-0/PTN-NLR-005-2020%20Rev0%20ProductWithdrawal_Curve4.pdf/</t>
  </si>
  <si>
    <t>Demand Decrease</t>
  </si>
  <si>
    <t>https://www.vishay.com/quality/pcn-doc/PTN-NLR-00005-2020-Rev-1/PTN-NLR-005-2020%20Rev1%20ProductWithdrawal_Curve4.pdf/</t>
  </si>
  <si>
    <t>https://www.vishay.com/quality/pcn-doc/PTN-NLR-00006-2018-Rev-0/PTN-NLR-006-2018%20Withdrawal%20of%20NTHS1012%20Rev0.pdf/</t>
  </si>
  <si>
    <t>NTCSTFPTNTHSPTSLAB</t>
  </si>
  <si>
    <t>https://www.vishay.com/quality/pcn-doc/PTN-NLR-00006-2020-Rev-0/PTN-NLR-006-2020%20Rev0%20Withdrawal_SampleKit.pdf/</t>
  </si>
  <si>
    <t>New version of sample kits will be available in Q3/2021</t>
  </si>
  <si>
    <t>https://www.vishay.com/quality/pcn-doc/PTN-SF-00219-2018-Rev-0/PTN%20SF%20FL219%202018%20Sfernice%20Rheostats%20RT500%20RT230%20RT100%20DRT55CC%20obsolescence.pdf/</t>
  </si>
  <si>
    <t>Low demand.</t>
  </si>
  <si>
    <t>https://www.vishay.com/quality/pcn-doc/PTN-SF-00220-2018-Rev-0/PTN%20SF%20AD220%202018%20Sfernice%20JAUGE-G022%20JAUGE-G096%20obsolescence.pdf/</t>
  </si>
  <si>
    <t>Low demand, End of Life of the production line</t>
  </si>
  <si>
    <t>https://www.vishay.com/quality/pcn-doc/PTN-SF-00243-2019-Rev-0/PTN%20SF243%202019%20Sfernice%20models%20RWM%204X10%204X22%205X26%206X22%208X26%20Obsolescence.pdf/</t>
  </si>
  <si>
    <t>https://www.vishay.com/quality/pcn-doc/PTN-SF-00251-2020-Rev-0/PTN%20SF%20AD251%202020%20Sfernice%20TFS%20SA%20SB%20SC%20obsolescence.pdf/</t>
  </si>
  <si>
    <t>Low demand, Rationalization of the product range in line with the market trend.</t>
  </si>
  <si>
    <t>https://www.vishay.com/quality/pcn-doc/PTN-SF-00253-2020-Rev-0/PTN%20SF%20AD253%202020%20Sfernice%20CN1579%20CN1581%20obsolescence.pdf/</t>
  </si>
  <si>
    <t>Low demand, Rationalization of the product range for industrial efficiency.</t>
  </si>
  <si>
    <t>https://www.vishay.com/quality/pcn-doc/PTN-SF-266-2021-REV-0/PTN-SF-266-2021-REV-0.pdf/</t>
  </si>
  <si>
    <t>High decreasing demand for more than 5 years</t>
  </si>
  <si>
    <t>https://www.vishay.com/quality/pcn-doc/PTN-TF-00001-2017-Rev-01/PTN%20-%2055342%20Ta2N%20082417.pdf/</t>
  </si>
  <si>
    <t>Tamelox film QPL approved chip resistor already offered</t>
  </si>
  <si>
    <t>MOSFET</t>
  </si>
  <si>
    <t>Voir PCN</t>
  </si>
  <si>
    <t>72064-1765636.pdf (mouser.fr)</t>
  </si>
  <si>
    <t>Additional Assmebly/Test Capacity for Analog Switching Products (vishay.com)</t>
  </si>
  <si>
    <t>Migration to newer Silicon Die Technologies</t>
  </si>
  <si>
    <t>2n70000k.pdf (vishay.com)</t>
  </si>
  <si>
    <t>https://www.vishay.com/quality/pcn-doc/PCN-SIL-0042010/PCN-SIL-0042010%20TO92%20Obsolescence.pdf/</t>
  </si>
  <si>
    <t>Termination of captive production line for TO-92 products</t>
  </si>
  <si>
    <t>SQ3427EEV‐T1‐GE3</t>
  </si>
  <si>
    <t>https://www.vishay.com/quality/pcn-doc/PCN-SIL-005-2015-Rev-1/PCN-SIL-0052015 Auto SQ3427EEV PTN.pdf/</t>
  </si>
  <si>
    <t>Closure of Fab at Santa Clara</t>
  </si>
  <si>
    <t xml:space="preserve">V50300 </t>
  </si>
  <si>
    <t>https://www.vishay.com/quality/pcn-doc/PCN-SIL-0072010/PCN-SIL-0072010%20V50300%20EOL.pdf/</t>
  </si>
  <si>
    <t>SYM110N04-04-E3</t>
  </si>
  <si>
    <t>New technology : cf PDN</t>
  </si>
  <si>
    <t>https://www.mouser.fr/datasheet/2/427/si1411dh-1766242.pdf</t>
  </si>
  <si>
    <t>Migration to advanced Silicon Die Technologies</t>
  </si>
  <si>
    <t>72987-1765929.pdf (mouser.fr)</t>
  </si>
  <si>
    <t>Termination of production for PPAK2x5 products</t>
  </si>
  <si>
    <t>si2302ad-1765796.pdf (mouser.fr)</t>
  </si>
  <si>
    <t>si7356ad-1766103.pdf (mouser.fr)</t>
  </si>
  <si>
    <t>SI5853CDC-T1-E3</t>
  </si>
  <si>
    <t>SI5853CD-1765240.pdf (mouser.fr)</t>
  </si>
  <si>
    <t>SI5853DDC-T1-E3</t>
  </si>
  <si>
    <t>Upgrade to new Silicon die technologies</t>
  </si>
  <si>
    <t>SQM110N04-02L-GE3</t>
  </si>
  <si>
    <t>https://www.vishay.com/docs/64731/sqm110n0.pdf</t>
  </si>
  <si>
    <t>https://www.vishay.com/quality/pcn-doc/PCN-SIL-014-2014-Rev-1/PCN-SIL-0142014%20Change%20to%20SQM120N04-1m7L-GE3%20Rev1.pdf/</t>
  </si>
  <si>
    <t>SQM120N04-1m7L-GE3</t>
  </si>
  <si>
    <t>SYD50P04-13L-E3 / SYD50P04-15-E3</t>
  </si>
  <si>
    <t>https://www.vishay.com/quality/pcn-doc/PCN-SIL-015-2014-Rev-1/PCN-SIL-0152014%20EOL%20with%20Replacement%20Rev1.pdf/</t>
  </si>
  <si>
    <t>SQD50P04-13L-GE3</t>
  </si>
  <si>
    <t>SQ7414EN-T1-E3</t>
  </si>
  <si>
    <t>https://www.mouser.fr/datasheet/2/427/sq7414en-1766528.pdf</t>
  </si>
  <si>
    <t>https://www.vishay.com/quality/pcn-doc/PCN-SIL-017-2014-Rev-2/PCN-SIL-0172014%20Rev2%20EOL%20SQ7414EN%20with%20Replacement.pdf/</t>
  </si>
  <si>
    <t>SQ7414AEN-T1-GE3 / SQ7414AENW-T1-GE3</t>
  </si>
  <si>
    <t>sihg47n60s-1768754.pdf (mouser.fr)</t>
  </si>
  <si>
    <t>https://www.vishay.com/quality/pcn-doc/PCN-SIL-017-2015-Rev-0/PCN-SIL-0172015%20Commercial%20HVM%20End%20of%20Life.pdf/</t>
  </si>
  <si>
    <t>https://www.vishay.com/quality/pcn-doc/PCN-SIL-018-2015-Rev-0/PCN-SIL-0182015%20EOL%20Q2%20Pb%20Lead%20Finish%20Rev0.pdf/</t>
  </si>
  <si>
    <t>Obsolescence of Sn-Pb products</t>
  </si>
  <si>
    <t>SY3457AKGD</t>
  </si>
  <si>
    <t>SQ3457KGD</t>
  </si>
  <si>
    <t>DV (vishay.com)</t>
  </si>
  <si>
    <t>Closure of assembly &amp; test operations</t>
  </si>
  <si>
    <t>SY4435BDFFR / SY4435BKGD</t>
  </si>
  <si>
    <t>https://www.vishay.com/quality/pcn-doc/PCN-SIL-021-2014-Rev-1/PCN-SIL-0212014%20EOL%20with%20Replacement.pdf/</t>
  </si>
  <si>
    <t>SQ4435CKGD</t>
  </si>
  <si>
    <t>50np0462.pdf (vishay.com)</t>
  </si>
  <si>
    <t>Termination of production for select commercial Low Voltage MOSFET products</t>
  </si>
  <si>
    <t>SYC45P03-15AKGD / SYC45P03-15BKGD</t>
  </si>
  <si>
    <t>SQC45P03-12AKGD</t>
  </si>
  <si>
    <t>SY7461DFFR / SI7461DFFR</t>
  </si>
  <si>
    <t>SQC461KGD</t>
  </si>
  <si>
    <t>SY7463DFFR</t>
  </si>
  <si>
    <t>SQC463KGD</t>
  </si>
  <si>
    <t>10 et + (max 11)</t>
  </si>
  <si>
    <t>https://www.mouser.fr/datasheet/2/427/si4563dy-1766107.pdf</t>
  </si>
  <si>
    <t>70742-1765344.pdf (mouser.fr)</t>
  </si>
  <si>
    <t>Migration to newer process technologies</t>
  </si>
  <si>
    <t>sq4946ey-1766526.pdf (mouser.fr)</t>
  </si>
  <si>
    <t>The applicable parts use MOSFET processes that are 18 years old</t>
  </si>
  <si>
    <t>SYM40N10-30-E3</t>
  </si>
  <si>
    <t>SQM40N10-30-GE3</t>
  </si>
  <si>
    <t>sihfl014-1768651.pdf (mouser.fr)</t>
  </si>
  <si>
    <t>Obsolescence of Tube Pack Option</t>
  </si>
  <si>
    <t>SQM120N04-2M1-GE3</t>
  </si>
  <si>
    <t>sqm120n0.pdf (vishay.com)</t>
  </si>
  <si>
    <t>SQM120N04-1M9-GE3</t>
  </si>
  <si>
    <t>Closure of Fab at Santa Clara and Global Foundries</t>
  </si>
  <si>
    <t>71166-1765704.pdf (mouser.fr)</t>
  </si>
  <si>
    <t>SI1402DH-1766097.pdf (mouser.fr)</t>
  </si>
  <si>
    <t>Migration to newer Silicon Die Technologies; obsolescence of Lead-plated products</t>
  </si>
  <si>
    <t>SYD50N04-05L-E3</t>
  </si>
  <si>
    <t>SQD50N04-4M5L-GE3</t>
  </si>
  <si>
    <t>sud50n04-1764970.pdf (mouser.fr)</t>
  </si>
  <si>
    <t>71937-1765798.pdf (mouser.fr)</t>
  </si>
  <si>
    <t>09/12/+2017</t>
  </si>
  <si>
    <t>sqd35n05-1765280.pdf (mouser.fr)</t>
  </si>
  <si>
    <t>https://www.vishay.com/quality/pcn-doc/PCN-SIL-043-2014-Rev-2/PCN-SIL-0432014 Rev2 EOL with 45M Replacement.pdf/</t>
  </si>
  <si>
    <t>sq4401dy-1765085.pdf (mouser.fr)</t>
  </si>
  <si>
    <t>https://www.vishay.com/quality/pcn-doc/PCN-SIL-045-2014-Rev-3/PCN-SIL-0452014 Rev3 EOL with 90M Replacement.pdf/</t>
  </si>
  <si>
    <t>sq4936ey-1764823.pdf (mouser.fr)</t>
  </si>
  <si>
    <t>https://www.vishay.com/quality/pcn-doc/PCN-SIL-047-2014-Rev-1/PCN-SIL-0472014 Rev1 EOL with 300M Replacement.pdf/</t>
  </si>
  <si>
    <t>sq1912ee.pdf (vishay.com)</t>
  </si>
  <si>
    <t>https://www.vishay.com/quality/pcn-doc/PCN-SIL-051-2014-Rev-1/PCN-SIL-0512014 EOL with 300M Replacement.pdf/</t>
  </si>
  <si>
    <t>sqs466ee.pdf (vishay.com)</t>
  </si>
  <si>
    <t>https://www.vishay.com/quality/pcn-doc/PCN-SIL-053-2014-Rev-1/PCN-SIL-0532014 Auto PTN with 45M Replacement.pdf/</t>
  </si>
  <si>
    <t>https://www.mouser.fr/datasheet/2/427/sqd50n03-1765171.pdf</t>
  </si>
  <si>
    <t>VISH_S_A0001222646_1-2567301.pdf (mouser.fr)</t>
  </si>
  <si>
    <t>Improvement in operating efficiency</t>
  </si>
  <si>
    <t>si1046r-1766529.pdf (mouser.fr)</t>
  </si>
  <si>
    <t>72019-1765886.pdf (mouser.fr)</t>
  </si>
  <si>
    <t>sqm110n0-1765082.pdf (mouser.fr)</t>
  </si>
  <si>
    <t>https://www.vishay.com/quality/pcn-doc/PCN-SIL-081-2014-Rev-1/PCN-SIL-0812014 Auto PTN with 300M Replacement.pdf/</t>
  </si>
  <si>
    <t>SQ2361EES-T1-GE3</t>
  </si>
  <si>
    <t>sq2361ees-1765392.pdf (mouser.fr)</t>
  </si>
  <si>
    <t>https://www.vishay.com/quality/pcn-doc/PCN-SIL-085-2014-Rev-3/PCN-SIL-0852014 Rev3 Auto SQ2361EES PTN.pdf/</t>
  </si>
  <si>
    <t>TNCB2DWF</t>
  </si>
  <si>
    <t>Si4420BDWF</t>
  </si>
  <si>
    <t>si1539dl-1765561.pdf (mouser.fr)</t>
  </si>
  <si>
    <t>VISH_S_A0001121990_1-2567183.pdf (mouser.fr)</t>
  </si>
  <si>
    <t>VISH_S_A0001142048_1-2567156.pdf (mouser.fr)</t>
  </si>
  <si>
    <t>SI1400DL-1765743.pdf (mouser.fr)</t>
  </si>
  <si>
    <t xml:space="preserve">V50383-E3 </t>
  </si>
  <si>
    <t>Microsoft Word - PCN SIL-0172019 EOL V50383-E3.docx (vishay.com)</t>
  </si>
  <si>
    <t>V50382-E3</t>
  </si>
  <si>
    <t>Termination of TO-247AC 80mil LF product</t>
  </si>
  <si>
    <t>V961-0007-E3</t>
  </si>
  <si>
    <t>Microsoft Word - PCN SIL-0182019 EOL V961-0007-E3_ver1.docx (vishay.com)</t>
  </si>
  <si>
    <t>IRFP460PBF</t>
  </si>
  <si>
    <t>Termination of TO-247AC product at Xi’an manufacturing</t>
  </si>
  <si>
    <t>SQS423EN-T1_GE3</t>
  </si>
  <si>
    <t>VISH_S_A0003419864_1-2568941.pdf (mouser.fr)</t>
  </si>
  <si>
    <t>https://www.vishay.com/quality/pcn-doc/PTN-SIL-003-2021-REV-0/PTN-SIL-003-2021-REV-0.pdf/</t>
  </si>
  <si>
    <t>SQS423ENW-T1_GE3</t>
  </si>
  <si>
    <t>Standardization of materials</t>
  </si>
  <si>
    <t>SQS401EN-T1_GE3</t>
  </si>
  <si>
    <t>VISH_S_A0001185100_1-2567244.pdf (mouser.fr)</t>
  </si>
  <si>
    <t>https://www.vishay.com/quality/pcn-doc/PTN-SIL-013-2021-REV-0/PTN-SIL-013-2021-REV-0-VERSION-2403.pdf/</t>
  </si>
  <si>
    <t>SQS411ENW-T1_GE3</t>
  </si>
  <si>
    <t>SQS401ENW-T1_GE3</t>
  </si>
  <si>
    <t>VISH_S_A0001811137_1-2567652.pdf (mouser.fr)</t>
  </si>
  <si>
    <t>https://www.vishay.com/quality/pcn-doc/PTN-SIL-014-2021-REV-0/PTN-SIL-014-2021-REV-0.pdf/</t>
  </si>
  <si>
    <t>VISH_S_A0001234431_1-2567492.pdf (mouser.fr)</t>
  </si>
  <si>
    <t>https://www.vishay.com/quality/pcn-doc/PTN-SIL-020-2021-REV-0/PTN-SIL-020-2021-REV-0.pdf/</t>
  </si>
  <si>
    <t>SQJ912DEP-T1_GE3</t>
  </si>
  <si>
    <t>SQ7415AENW-T1_GE3</t>
  </si>
  <si>
    <t>VISH_S_A0003419857_1-2568873.pdf (mouser.fr)</t>
  </si>
  <si>
    <t>https://www.vishay.com/quality/pcn-doc/PTN-SIL-030-2021-REV-0/PTN-SIL-030-2021-REV-0.pdf/</t>
  </si>
  <si>
    <t>SQ7415CENW-T1_GE3</t>
  </si>
  <si>
    <t>VISH_S_A0001185333_1-2567160.pdf (mouser.fr)</t>
  </si>
  <si>
    <t>https://www.vishay.com/quality/pcn-doc/PTN-SIL-032-2021-REV-0/PTN-SIL-032-2021-REV-0.pdf/</t>
  </si>
  <si>
    <t>VISH_S_A0001785392_1-2567659.pdf (mouser.fr)</t>
  </si>
  <si>
    <t>https://www.vishay.com/quality/pcn-doc/PTN-SIL-035-2021-REV-0/PTN-SIL-035-2021-REV-0.pdf/</t>
  </si>
  <si>
    <t>End of Life to TO-220 Package</t>
  </si>
  <si>
    <t>VISH_S_A0001221802_1-2567260.pdf (mouser.fr)</t>
  </si>
  <si>
    <t>https://www.vishay.com/quality/pcn-doc/PTN-SIL-036-2021-REV-0/PTN-SIL-036-2021-REV-0.pdf/</t>
  </si>
  <si>
    <t>End of Life to TO-262 Package</t>
  </si>
  <si>
    <t>PCN</t>
  </si>
  <si>
    <t>Lien du PCN</t>
  </si>
  <si>
    <t>Category</t>
  </si>
  <si>
    <t>Brand</t>
  </si>
  <si>
    <t>Short Description</t>
  </si>
  <si>
    <t>Parts</t>
  </si>
  <si>
    <t>Date</t>
  </si>
  <si>
    <t>LastOrderAcceptance</t>
  </si>
  <si>
    <t>LastShipmentDate</t>
  </si>
  <si>
    <t>PCN-AC-001-2015</t>
  </si>
  <si>
    <t>https://www.vishay.com/quality/pcn-doc/PCN-AC-001-2015-Rev-0/PCN-AC-001-2015_Rev0.pdf/</t>
  </si>
  <si>
    <t>Capacitors</t>
  </si>
  <si>
    <t>Vishay BCcomponents&gt;</t>
  </si>
  <si>
    <t>Product Termination 123 SAL-A and 128 SAL-RPM series aluminum electrolytic capacitors</t>
  </si>
  <si>
    <t>Series affected123 SAL-A and 128 SAL-RPM_x000D_
All part numbers starting with MAL2123* and MAL2128*_x000D_
(see detailed part number list attached)</t>
  </si>
  <si>
    <t>Non trouvée</t>
  </si>
  <si>
    <t xml:space="preserve"> Market for these series has become too small to continue production.
</t>
  </si>
  <si>
    <t>PCN-AC-003-2010</t>
  </si>
  <si>
    <t>https://www.vishay.com/quality/pcn-doc/PCN-AC-003-2010-Rev-0/PCN-AC-003-2010%20Rev%200.pdf/</t>
  </si>
  <si>
    <t>End of Life for 175 TMP series</t>
  </si>
  <si>
    <t>175 TMP Series (MAL217563479 MAL217574159E3 MAL217577228E3 MAL217564229 MAL217574229E3 MAL217578688E3 MAL217564479 MAL217574479E3 MAL217590001E3 MAL217566109 MAL217576109E3 MAL217590002E3 MAL217566478 MAL217576338E3 MAL217590003E3 MAL217567108 MAL217576478E3 MAL217590004E3 MAL217572689E3 MAL217576688E3 MAL217590005E3 MAL217573339E3 MAL217577108E3 MAL217590006E3 MAL217573479E3)</t>
  </si>
  <si>
    <t xml:space="preserve"> Insufficient demand
</t>
  </si>
  <si>
    <t>Indisponibilité/Obsolescence des matières premières</t>
  </si>
  <si>
    <t>En particulier Automotive crash of 2008/2009 (The automotive crash of 2008/09 was the major contributor to
this product family’s demise. Without enough orders to load
our lines we have been forced to subsidize this production
model and therefore have not been able to earmark investment
funds for maintenance and expansion of this product type’s
unique production machinery._x000D_)</t>
  </si>
  <si>
    <t>PCN-AC-005-2011</t>
  </si>
  <si>
    <t>https://www.vishay.com/quality/pcn-doc/PCN-AC-005-2011-Rev-1/PCN-AC-005-2011_Rev1.pdf/</t>
  </si>
  <si>
    <t>End of Lifesome special parts of the 123 SAL A series</t>
  </si>
  <si>
    <t>NBPart numbers not mentioned below remain unaffected and stay available as before. _x000D_
MAL212385681 MAL212385681E3 MAL212365681 MAL212365681E3 MAL212315681 MAL212315681E3 MAL212325681 MAL212325681E3 MAL212386331 MAL212386331E3 MAL212366331 MAL212366331E3 MAL212316331 MAL212316331E3 MAL212326331 MAL212326331E3 MAL212383152 MAL212383152E3 MAL212363152 MAL212363152E3 MAL212313152 MAL212313152E3 MAL212323152 MAL212323152E3</t>
  </si>
  <si>
    <t xml:space="preserve">N/A
</t>
  </si>
  <si>
    <t xml:space="preserve"> Low demand over the past 3 years
</t>
  </si>
  <si>
    <t>PCN-AC-502-2013</t>
  </si>
  <si>
    <t>https://www.vishay.com/quality/pcn-doc/PCN-AC-502-2013-Rev-0/PCN-AC-502-2013-rev-0.pdf/</t>
  </si>
  <si>
    <t>Vishay BCC Aluminum Capacitors Discontinuance notice of small case sizes and low capacitance values</t>
  </si>
  <si>
    <t>MAL2013x1157E3_x000D_
MAL2013x1227E3_x000D_
MAL2013x1337E3_x000D_
MAL2013x1477E3_x000D_
MAL2013x1687E3_x000D_
MAL2013x1108E3_x000D_
MAL2013x6108E3_x000D_
MAL2013x6157E3_x000D_
MAL2013x6227E3_x000D_
MAL2013x6337E3_x000D_
MAL2013x6477E3_x000D_
MAL2013x6687E3_x000D_
MAL201390327E3_x000D_
MAL201390362E3_x000D_
MAL2021x8227E3_x000D_
MAL2021x8337E3_x000D_
MAL2021x8477E3_x000D_
MAL2021x8687E3_x000D_
MAL2030x8687E3_x000D_
MAL2030x8477E3_x000D_
MAL2030x8337E3_x000D_
MAL2030x9477E3_x000D_
MAL2036x8157E3_x000D_
MAL2036x8108E3_x000D_
MAL2036x8227E3_x000D_
MAL2036x8337E3_x000D_
MAL2036x8477E3_x000D_
MAL2036x8687E3_x000D_
MAL203690037E3_x000D_
MAL203690038E3_x000D_
MAL203690042E3_x000D_
MAL203690173E3_x000D_
MAL203690286E3_x000D_
MAL203690298E3_x000D_
MAL203690351E3_x000D_
MAL203690382E3_x000D_
MAL203690383E3_x000D_
MAL203690403E3_x000D_
MAL203693103E3_x000D_
MAL2038x8107E3_x000D_
MAL2038x8227E3_x000D_
MAL2038x8337E3_x000D_
MAL2038x8477E3_x000D_
MAL2038x8108E3_x000D_
MAL2038x9477E3_x000D_
MAL2038x9108E3_x000D_
MAL203897001E3_x000D_
MAL203897002E3_x000D_
MAL204690226E3_x000D_
MAL204690232E3_x000D_
MAL2116x1108E3_x000D_
MAL2116x1477E3_x000D_
MAL2116x1687E3_x000D_
MAL2116x9228E3_x000D_
MAL211690035E3_x000D_
MAL211690037E3_x000D_
MAL211690044E3_x000D_
MAL211690051E3_x000D_
MAL211690052E3_x000D_
MAL211690061E3_x000D_
MAL2118x8228E3_x000D_
MAL2118x8158E3_x000D_
MAL2118x8108E3_x000D_
MAL2137x9228E3_x000D_
MAL2137x9338E3_x000D_
MAL2137x8228E3_x000D_
MAL2138x8227E3_x000D_
MAL2138x8337E3_x000D_
MAL2138x8477E3_x000D_
MAL2138x8687E3_x000D_
MAL2138x9227E3_x000D_
MAL2138x9477E3_x000D_
MAL213968227E3_x000D_
MAL213968477E3_x000D_
MAL213969227E3_x000D_
MAL213969477E3_x000D_
MAL2142x9108E3</t>
  </si>
  <si>
    <t xml:space="preserve">Low market demand
</t>
  </si>
  <si>
    <t>PCN-AC-503-2011</t>
  </si>
  <si>
    <t>https://www.vishay.com/quality/pcn-doc/PCN-AC-503-2011-Rev-0/PCN-AC-503-2011%20rev0.pdf/</t>
  </si>
  <si>
    <t>Withdrawal of Alu Caps 165 RHT</t>
  </si>
  <si>
    <t>165 RHT series, comprising following part numbersMAL216536331E3 MAL216536221E3 MAL216554332E3 MAL216560331E3 MAL216566102E3 MAL216590508E3 MAL216530101E3 MAL216536471E3 MAL216554471E3 MAL216560471E3 MAL216566152E3 MAL216590509E3 MAL216530331E3 MAL216537101E3 MAL216555102E3 MAL216561101E3 MAL216566221E3 MAL216590512E3 MAL216530471E3 MAL216537221E3 MAL216555152E3 MAL216561221E3 MAL216566331E3 MAL216590516E3 MAL216531101E3 MAL216537331E3 MAL216555221E3 MAL216561229E3 MAL216566471E3 MAL216590517E3 MAL216531221E3 MAL216537471E3 MAL216555222E3 MAL216561331E3 MAL216567101E3 MAL216590521E3 MAL216531229E3 MAL216537479E3 MAL216555331E3 MAL216561339E3 MAL216567102E3 MAL216590522E3 MAL216531331E3 MAL216550101E3 MAL216555471E3 MAL216561471E3 MAL216567221E3 MAL216590523E3 MAL216531339E3 MAL216550152E3 MAL216556101E3 MAL216561479E3 MAL216567331E3 MAL216590526E3 MAL216531479E3 MAL216550331E3 MAL216556102E3 MAL216564152E3 MAL216567471E3 MAL216590527E3 MAL216534152E3 MAL216550471E3 MAL216556152E3 MAL216564221E3 MAL216567479E3 MAL216590529E3 MAL216534221E3 MAL216551101E3 MAL216556221E3 MAL216564222E3 MAL216590001E3 MAL216590532E3 MAL216534222E3 MAL216551221E3 MAL216556331E3 MAL216564331E3 MAL216590002E3 MAL216590534E3 MAL216534331E3 MAL216551229E3 MAL216556471E3 MAL216564332E3 MAL216590004E3 MAL216590535E3 MAL216534471E3 MAL216551331E3 MAL216557101E3 MAL216564471E3 MAL216590006E3 MAL216590536E3 MAL216535102E3 MAL216551339E3 MAL216557102E3 MAL216565102E3 MAL216590008E3 MAL216536101 MAL216535152E3 MAL216551471E3 MAL216557221E3 MAL216565152E3 MAL216590502E3 MAL216550331 MAL216535221E3 MAL216551479E3 MAL216557331E3 MAL216565221E3 MAL216590503E3 MAL216535331E3 MAL216554152E3 MAL216557471E3 MAL216565222E3 MAL216590504E3 MAL216535471E3 MAL216554221E3 MAL216557479E3 MAL216565331E3 MAL216590505E3 MAL216536101E3 MAL216554222E3 MAL216560101E3 MAL216565471E3 MAL216590506E3 MAL216536102E3 MAL216554331E3 MAL216560152E3 MAL216566101E3 MAL216590507E3</t>
  </si>
  <si>
    <t>_x001D_ Series 165 RHT is out of date, replacement series lead to improved cost / performance rati</t>
  </si>
  <si>
    <t>PCN-AC-503-2014</t>
  </si>
  <si>
    <t>https://www.vishay.com/quality/pcn-doc/PCN-AC-503-2014-Rev-0/PCN-AC-503-2014-rev-0.pdf/</t>
  </si>
  <si>
    <t>Vishay BCcomponents, Vishay Roederstein&gt;</t>
  </si>
  <si>
    <t>Vishay BCC Aluminum Capacitors Discontinuance notice of low capacitance values</t>
  </si>
  <si>
    <t>MAL203690294E3	MAL204190015E3	MAL213325228E3_x000D_
MAL203690302E3	MAL204190017E3	MAL213325478E3_x000D_
MAL203690333E3	MAL204190021E3	MAL213331109E3_x000D_
MAL203690334E3	MAL211890537E3	MAL213331159E3_x000D_
MAL203690336E3	MAL211890538E3	MAL213331228E3_x000D_
MAL203690337E3	MAL211890539E3	MAL213331338E3_x000D_
MAL203690338E3	MAL211890541E3	MAL213331478E3_x000D_
MAL203690341E3	MAL211890542E3	MAL213333109E3_x000D_
MAL204121478E3	MAL211890543E3	MAL213333228E3_x000D_
MAL204123109E3	MAL211890551E3	MAL213333478E3_x000D_
MAL204123228E3	MAL211990507E3	MAL213335108E3_x000D_
MAL204123478E3	MAL211990508E3	MAL213335228E3_x000D_
MAL204125478E3	MAL211990509E3	MAL213335478E3_x000D_
MAL204128108E3	MAL211990511E3	MAL213829108E3_x000D_
MAL204128228E3	MAL211990521E3	MAL213839108E3_x000D_
MAL204128478E3	MAL211990524E3	MALAEB000FL147MB0W_x000D_
MAL204131478E3	MAL213239158E3	MALAEBC00DL122MB0W_x000D_
MAL204133109E3	MAL213321109E3	MALAEBC00FL122NB0W_x000D_
MAL204133228E3	MAL213321228E3	MALAEBC00GD210NB0W_x000D_
MAL204133478E3	MAL213321478E3	MALAEBC00GL210MB0W_x000D_
MAL204135478E3	MAL213323109E3	MALAEBC00FL147MB0W_x000D_
MAL204138108E3	MAL213323228E3	MALAEBC00GL147NB0W_x000D_
MAL204138228E3	MAL213323478E3	_x000D_
MAL204138478E3	MAL213325108E3</t>
  </si>
  <si>
    <t>PCN-AC-503-2016</t>
  </si>
  <si>
    <t>https://www.vishay.com/quality/pcn-doc/PCN-AC-503-2016-Rev-0/PCN-AC-503-2016%20rev0.pdf/</t>
  </si>
  <si>
    <t>Product Termination / Discontinuance of 137 ABA / 137 92 AB series</t>
  </si>
  <si>
    <t>137ABA 13792AB</t>
  </si>
  <si>
    <t xml:space="preserve">Low market demand and no further material availability
</t>
  </si>
  <si>
    <t>PCN-AC-507-2010</t>
  </si>
  <si>
    <t>https://www.vishay.com/quality/pcn-doc/PCN-AC-507-2010/PCN-AC-507-2010.pdf/</t>
  </si>
  <si>
    <t>Vishay Roederstein&gt;</t>
  </si>
  <si>
    <t>Discontinuance notice for polarized SMD series ECB</t>
  </si>
  <si>
    <t>see attachement in PCN</t>
  </si>
  <si>
    <t>PCN-AC-507-2011</t>
  </si>
  <si>
    <t>https://www.vishay.com/quality/pcn-doc/PCN-AC-507-2011-Rev-0/PCN-AC-507-2011.pdf/</t>
  </si>
  <si>
    <t>Discontinuance notice for special part numbers in series 150 RMI</t>
  </si>
  <si>
    <t>MAL215090019E3 MAL215090133E3 MAL215090021E3 MAL215090143E3 MAL215090128E3 MAL215090147E3 MAL215090071E3 MAL215090096E3</t>
  </si>
  <si>
    <t xml:space="preserve">No market demand
</t>
  </si>
  <si>
    <t>Qualité</t>
  </si>
  <si>
    <t>PCN-AC-508-2010</t>
  </si>
  <si>
    <t>https://www.vishay.com/quality/pcn-doc/PCN-AC-508-2010/PCN-AC-508-2010.pdf/</t>
  </si>
  <si>
    <t>Discontinuance notice for bi-polar radial series EKSU</t>
  </si>
  <si>
    <t xml:space="preserve">Insufficient market demand
</t>
  </si>
  <si>
    <t>PCN-AC-509-2010</t>
  </si>
  <si>
    <t>https://www.vishay.com/quality/pcn-doc/PCN-AC-509-2010/PCN-AC-509-2010.pdf/</t>
  </si>
  <si>
    <t>Discontinuance notice for polarized radial series EKX</t>
  </si>
  <si>
    <t>PCN-AC-509-2011</t>
  </si>
  <si>
    <t>https://www.vishay.com/quality/pcn-doc/PCN-AC-509-2011-Rev-1/PCN-AC-509-2011-rev-1.pdf/</t>
  </si>
  <si>
    <t>Vishay ROE Aluminum Capacitors Discontinuance notice of axial Series EL/EB</t>
  </si>
  <si>
    <t>complete series EL/EB_x000D_
MALAEL..._x000D_
MALAEB...</t>
  </si>
  <si>
    <t>Acteurs du changement</t>
  </si>
  <si>
    <t>PCN-AC-510-2010</t>
  </si>
  <si>
    <t>https://www.vishay.com/quality/pcn-doc/PCN-AC-510-2010-Rev-1/PCN-AC-510-2010-rev-1.pdf/</t>
  </si>
  <si>
    <t>Vishay BCC Aluminum Capacitors Discontinuance of SMD case size 10x10x12mm of Series 153 CLV+CRV</t>
  </si>
  <si>
    <t>MAL215360221E3_x000D_
MAL215370221E3_x000D_
MAL215390002E3_x000D_
MAL215363681E3_x000D_
MAL215373681E3_x000D_
MAL215390005E3_x000D_
MAL215364471E3_x000D_
MAL215374471E3_x000D_
MAL215391106E3_x000D_
MAL215365331E3_x000D_
MAL215375331E3_x000D_
MAL215391107E3_x000D_
MAL215366221E3_x000D_
MAL215376221E3_x000D_
MAL215368479E3_x000D_
MAL215378479E3_x000D_
MAL215369109E3_x000D_
MAL215379109E3_x000D_
MAL215369229E3_x000D_
MAL215379229E3</t>
  </si>
  <si>
    <t xml:space="preserve">Standardization.
</t>
  </si>
  <si>
    <t>PCN-AC-510-2011</t>
  </si>
  <si>
    <t>https://www.vishay.com/quality/pcn-doc/PCN-AC-510-2011-Rev-1/PCN-AC-510-2011-rev-1.pdf/</t>
  </si>
  <si>
    <t>Vishay BCcomponents Aluminum Capacitors Discontinuance notice of SMD Series 085 CS</t>
  </si>
  <si>
    <t>complete SMD series 085 CS_x000D_
MAL2085...</t>
  </si>
  <si>
    <t>PCN-AC-511-2011</t>
  </si>
  <si>
    <t>https://www.vishay.com/quality/pcn-doc/PCN-AC-511-2011-Rev-0/PCN-AC-511-2011.pdf/</t>
  </si>
  <si>
    <t>Discontinuance notice of radial types with special lead bending</t>
  </si>
  <si>
    <t>MALREKA06* MALREKA09* MALREKB06* MALREKB09* MALREKE06* MALREKE09* MALREKV06* MALREKV09*</t>
  </si>
  <si>
    <t>PCN-AC-901-2010</t>
  </si>
  <si>
    <t>https://www.vishay.com/quality/pcn-doc/PCN-AC-901-2010-Rev-0/PCN-AC-901-2010.pdf/</t>
  </si>
  <si>
    <t>Vishay Sprague&gt;</t>
  </si>
  <si>
    <t>Discontinuance notice of Vishay Sprague tubular radial types</t>
  </si>
  <si>
    <t>U673D 673D	U674D 674D	U676D  676D U677D 677D	U767D 767D	U787D 787D</t>
  </si>
  <si>
    <t>The automotive crash of 2008/09 was the major contributor to
this product family’s demise. Without enough orders to load
our lines we have been forced to subsidize this production
model and therefore have not been able to earmark investment
funds for maintenance and expansion of this product type’s
unique production machinery._x000D_</t>
  </si>
  <si>
    <t>PCN-AC-901-2011</t>
  </si>
  <si>
    <t>https://www.vishay.com/quality/pcn-doc/PCN-AC-901-2011-Rev-0/PCN-AC-901-2011%20eliminate%204%20and%205%20suffix%2039D.pdf/</t>
  </si>
  <si>
    <t>Partnumber Correction for 39D series - eliminate sleeve codes "4" and "5"</t>
  </si>
  <si>
    <t>39D series</t>
  </si>
  <si>
    <t xml:space="preserve">Partnumber correction
</t>
  </si>
  <si>
    <t>PCN-AC-901-2012</t>
  </si>
  <si>
    <t>https://www.vishay.com/quality/pcn-doc/PCN-AC-901-2012-Rev-0/PCN-AC-901-2012%20Discontinuation%203%20PNs%20ST%20Sprague.pdf/</t>
  </si>
  <si>
    <t>Discontinuation 3 PNs Sprague Screw Terminal</t>
  </si>
  <si>
    <t>36DX422F350DG2B 36DX261F350AB2A 36DY822F350DJ2A</t>
  </si>
  <si>
    <t xml:space="preserve">Raw material obsolescence
</t>
  </si>
  <si>
    <t>PCN-AC-901-2016</t>
  </si>
  <si>
    <t>https://www.vishay.com/quality/pcn-doc/PCN-AC-901-2016-Rev-0/PCN-AC-901-2016-Rev%200%20-%2094SVP%2025V%20discontinue.pdf/</t>
  </si>
  <si>
    <t>Discontinuation 94SVP Oscon 25V rating</t>
  </si>
  <si>
    <t>94SVP685X0025C6_x000D_
94SVP106X0025E7_x000D_
94SVP226X0025F8_x000D_
94SVP336X0025E12_x000D_
94SVP566X0025F12</t>
  </si>
  <si>
    <t xml:space="preserve"> Market demand – material availability. Products marked as “not for new designs" since 2014
</t>
  </si>
  <si>
    <t>PCN-AC-902-2001</t>
  </si>
  <si>
    <t>https://www.vishay.com/quality/pcn-doc/PCN-AC-902-2001-Rev-0/PCN-AC-902-2012%20Discontinuation%201%20PN%20Oscon.pdf/</t>
  </si>
  <si>
    <t>Vishay OS-CON&gt;</t>
  </si>
  <si>
    <t>Discontinuation 94SVP157X0004E7</t>
  </si>
  <si>
    <t>94SVP157X0004E7</t>
  </si>
  <si>
    <t>Raw material obsolescence</t>
  </si>
  <si>
    <t>PCN-AC-902-2010</t>
  </si>
  <si>
    <t>https://www.vishay.com/quality/pcn-doc/PCN-AC-902-2010-Rev-0/PCN-AC-902-2010.pdf/</t>
  </si>
  <si>
    <t>Discontinuance notice of Os-Con radial organic semi-conductive types</t>
  </si>
  <si>
    <t>94SA 94SC 94SF 94SH 94SL 94SP 94SS</t>
  </si>
  <si>
    <t>PCN-AC-902-2012</t>
  </si>
  <si>
    <t>https://www.vishay.com/quality/pcn-doc/PCN-AC-902-2012-Rev-0/PCN-AC-902-2012%20Rev%200%20-%20Discontinuation%201%20PN%20Oscon.pdf/</t>
  </si>
  <si>
    <t>PCN-AC-902-2016</t>
  </si>
  <si>
    <t>https://www.vishay.com/quality/pcn-doc/PCN-AC-902-2016-Rev-0/PCN-AC-902-2016-Rev%200%20-%20515D%207mm%20height%20discontinue.pdf/</t>
  </si>
  <si>
    <t>Discontinuation 515D products with 7mm height</t>
  </si>
  <si>
    <t>515D104M050HW6AE3 _x000D_
515D105M050HW6AE3 _x000D_
515D106M016HW6AE3 _x000D_
515D106M016HW8PE3 _x000D_
515D106M035JW6AE3 _x000D_
515D106M035JW8PE3 _x000D_
515D106M050AW6AE3 _x000D_
515D107M6R3AW6AE3 _x000D_
515D225M050HW6AE3 _x000D_
515D226M010JW6AE3 _x000D_
515D226M016JW6AE3 _x000D_
515D226M025AW6AE3 _x000D_
515D226M035AW6AE3 _x000D_
515D226M6R3HW6AE3 _x000D_
515D334M050HW6AE3 _x000D_
515D335M050HW6AE3 _x000D_
515D336M010JW6AE3 _x000D_
515D336M025AW6AE3 _x000D_
515D336M025AW8PE3 _x000D_
515D336M6R3JW6AE3 _x000D_
515D474M050HW6AE3 _x000D_
515D475M035HW6AE3 _x000D_
515D475M050JW6AE3 _x000D_
515D476M016AW6AE3 _x000D_
515D476M016AW8PE3 _x000D_
515D476M6R3JW6AE3</t>
  </si>
  <si>
    <t xml:space="preserve"> Market demand – material availability.
</t>
  </si>
  <si>
    <t>PCN-AC-903-2010</t>
  </si>
  <si>
    <t>https://www.vishay.com/quality/pcn-doc/PCN-AC-903-2010/PCN-AC-903-2010.pdf/</t>
  </si>
  <si>
    <t>Discontinuance notice of UFL / UFLN series</t>
  </si>
  <si>
    <t>PCN-AC-903-2011</t>
  </si>
  <si>
    <t>https://www.vishay.com/quality/pcn-doc/PCN-AC-903-2011-Rev-0/PCN-AC-903-2011%20eliminate%204,%205%20and%206%20suffix%20601D.pdf/</t>
  </si>
  <si>
    <t>PN correction for 601D series - eliminate 4; 5 and 6 sleeve codes</t>
  </si>
  <si>
    <t>601D series (all PNs)</t>
  </si>
  <si>
    <t xml:space="preserve">Product Obsolescence
</t>
  </si>
  <si>
    <t>PCN-AC-903-2016</t>
  </si>
  <si>
    <t>https://www.vishay.com/quality/pcn-doc/PCN-AC-903-2016-Rev-0/PTN-AC-903-2016-Rev0%20-%20TVA1720.pdf/</t>
  </si>
  <si>
    <t>Product Termination TVA1720 electrolytic capacitors</t>
  </si>
  <si>
    <t>TVA1720</t>
  </si>
  <si>
    <t xml:space="preserve"> No more availability of raw material. Tool to manufacture the disk used for this
</t>
  </si>
  <si>
    <t>PCN-AC-904-2010</t>
  </si>
  <si>
    <t>https://www.vishay.com/quality/pcn-doc/PCN-AC-904-2010/PCN-AC-904-2010.pdf/</t>
  </si>
  <si>
    <t>Discontinuance notice of Snap-In’s with straight wire lead molded cover with standoffs</t>
  </si>
  <si>
    <t xml:space="preserve">No market demand on Pb containing lead plating constructions
</t>
  </si>
  <si>
    <t>PCN-AC-905-2010</t>
  </si>
  <si>
    <t>https://www.vishay.com/quality/pcn-doc/PCN-AC-905-2010/PCN-AC-905-2010.pdf/</t>
  </si>
  <si>
    <t>Discontinuance notice of Snap-In’s</t>
  </si>
  <si>
    <t>Weak bussiness demand/Economic reason</t>
  </si>
  <si>
    <t>PCN-AC-906-2010</t>
  </si>
  <si>
    <t>https://www.vishay.com/quality/pcn-doc/PCN-AC-906-2010/PCN-AC-906-2010.pdf/</t>
  </si>
  <si>
    <t>Discontinuance notice of radial types of U678D series</t>
  </si>
  <si>
    <t>NotApplica</t>
  </si>
  <si>
    <t>PCN-AC-907-2010</t>
  </si>
  <si>
    <t>https://www.vishay.com/quality/pcn-doc/PCN-AC-907-2010/PCN-AC-907-2010.pdf/</t>
  </si>
  <si>
    <t>Discontinuance notice of screw types of 747D series</t>
  </si>
  <si>
    <t>PCN-AC-908-2010</t>
  </si>
  <si>
    <t>https://www.vishay.com/quality/pcn-doc/PCN-AC-908-2010/PCN-AC-908-2010.pdf/</t>
  </si>
  <si>
    <t>Discontinuance notice of axial leaded MIL parts</t>
  </si>
  <si>
    <t>PCN-AC-909-2010</t>
  </si>
  <si>
    <t>https://www.vishay.com/quality/pcn-doc/PCN-AC-909-2010/PCN-AC-909-2010.pdf/</t>
  </si>
  <si>
    <t>Discontinuance notice of Compulytic and Powerlytic screw terminal products</t>
  </si>
  <si>
    <t>PCN-CC-001-2014</t>
  </si>
  <si>
    <t>https://www.vishay.com/quality/pcn-doc/PCN-CC-001-2014-Rev-00/PCN-CC-001-2014%20Rev0.pdf/</t>
  </si>
  <si>
    <t>Withdrawal of 1 kV S series with TCC NP0 from BCc</t>
  </si>
  <si>
    <t>S100J25C0GN63J5R, S101J47C0GN6VJ5R, S330K29C0GN65K6R, S470J39C0GN6VJ5R, S479C25C0HN65J6R, S509D25C0HN6TL5R, S560J39C0GN6VJ5R, S820J43C0GN6VJ5R, S829D25C0HN6TJ5R, S829D25C0HN6UJ5R</t>
  </si>
  <si>
    <t>Basic material is no longer available, so the 1 kV S series (TCC NP0) products from Vishay BCc can’t be produced any longer</t>
  </si>
  <si>
    <t>PCN-CC-002-2010</t>
  </si>
  <si>
    <t>https://www.vishay.com/quality/pcn-doc/PCN-CC-002-2010-Rev-0/PCN%20CC-02-2010.pdf/</t>
  </si>
  <si>
    <t>Withdrawal of low DF (0.5%, Y5P) series from BCc</t>
  </si>
  <si>
    <t>All types starting with a "F" and having the TCC "Y5P" at the 8th to the 10th digit pf the partnumber (F******Y5P******)</t>
  </si>
  <si>
    <t xml:space="preserve"> EOL of powder from the supplier. Consolidation of Product Groups.
</t>
  </si>
  <si>
    <t>PCN-CC-002-2013</t>
  </si>
  <si>
    <t>https://www.vishay.com/quality/pcn-doc/PCN-CC-002-2013-Rev-00/PCN-CC-002-2013%20Rev0.pdf/</t>
  </si>
  <si>
    <t>Withdrawal of D series with TCC NP0 from BCc</t>
  </si>
  <si>
    <t>All Vishay BCcomponents types starting with D and having a NP0 code in the part number (C0G, C0J, C0K, C0H) (see 8th to 10th digit of the part number). Please refer to appendix of PCN for detailed list._x000D_
P/ND......C0G......, P/ND......C0J......, P/ND......C0K......, P/ND......C0H......</t>
  </si>
  <si>
    <t xml:space="preserve">Basic material is no longer available, so the D series (TCC NP0) products
</t>
  </si>
  <si>
    <t>PCN-CC-004-2014</t>
  </si>
  <si>
    <t>https://www.vishay.com/quality/pcn-doc/PCN-CC-004-2014-Rev-00/PCN-CC-004-2014%20Rev0.pdf/</t>
  </si>
  <si>
    <t>Vishay Draloric&gt;</t>
  </si>
  <si>
    <t>Discontinuation of Small Tubular Feed-Through and Filter Capacitors</t>
  </si>
  <si>
    <t>DDLK, DDML, DDMZ, DDNL, DDZL, DDZZ, DEEQ, DUML, DVML, DVZL, DZML, MDLL, MDLT, RDLL, RDLQ, RDLT, RDPT, RDQL, RDQT detailed list see attached on page 2 ff of this PCN.</t>
  </si>
  <si>
    <t xml:space="preserve">Due to low demand a cost efficient production of small single layer tubular
</t>
  </si>
  <si>
    <t>PCN-CC-010-2009</t>
  </si>
  <si>
    <t>https://www.vishay.com/quality/pcn-doc/PCN-CC-010-2009-Rev-0/PCN%202009-010%20Withdrawal%20of%20DN%20series.pdf/</t>
  </si>
  <si>
    <t>Withdrawal of DN..series</t>
  </si>
  <si>
    <t>All types starting with S AND having a S at the 11th digit of the partnumber.</t>
  </si>
  <si>
    <t xml:space="preserve"> EOL of powder from the supplier. Consolidation of Product groups.
</t>
  </si>
  <si>
    <t>PCN-DBR-004-2010</t>
  </si>
  <si>
    <t>Vishay Dale&gt;</t>
  </si>
  <si>
    <t>CCF07, CCF55:discontinuation of non-standard specifications related to Packing; TCR and Tolerance</t>
  </si>
  <si>
    <t>CCF07; CCF55PackingR33, R332; A5; M14; R62; S18; S22; S27
TC/TolN=200ppm/K with G=2% tol; H=50ppm/K with F=1% tol.</t>
  </si>
  <si>
    <t>PCN-DBR-004-2016</t>
  </si>
  <si>
    <t>https://www.vishay.com/quality/pcn-doc/PCN-DBR-004-2016-Rev-0/PCN-DBR-004-2016%20Rev0.pdf/</t>
  </si>
  <si>
    <t>Discontinuation of CECC qualified thick film chip resistors CRCW..EN802 and D..EN802 series</t>
  </si>
  <si>
    <t>D1208050AXXXXJXXE6 D1208050AXXXXJXXE0 D1208050BXXXXFXXE6  D1208050BXXXXFXXE0 D1208050CXXXXFXXE6 D1208050CXXXXFXXE0 _x000D_
D1208050000000XXE6 D1208050000000XXE0 D2512060AXXXXJXXE6 D2512060AXXXXJXXE0 D2512060BXXXXFXXE6 D2512060BXXXXFXXE0 D2512060CXXXXFXXE6 D2512060CXXXXFXXE0 D2512060000000XXE6 _x000D_
D2512060000000XXE0 CRCW0805XXXXJNEAE6 CRCW0805XXXXJNEAE0 _x000D_
CRCW0805XXXXFKEAE6 CRCW0805XXXXFKEAE0 CRCW0805XXXXFHEAE6 CRCW0805XXXXFHEAE0 CRCW08050000Z0EAE6 CRCW08050000Z0EAE0 _x000D_
CRCW1206XXXXJNEAE6 CRCW1206XXXXJNEAE0 CRCW1206XXXXFKEAE6 _x000D_
CRCW1206XXXXFKEAE0  CRCW1206XXXXFHEAE6 CRCW1206XXXXFHEAE0 _x000D_
CRCW12060000Z0EAE6 CRCW12060000Z0EAE0</t>
  </si>
  <si>
    <t>PCN-DBR-005-2010</t>
  </si>
  <si>
    <t>https://www.vishay.com/quality/pcn-doc/PCN-DBR-005-2010/PCN-DBR-005-2010-REVB.pdf/</t>
  </si>
  <si>
    <t>Fusible Carbon Film Resistor LCM0207 SI,
Discontinuation of Value Range 10R … 1K0</t>
  </si>
  <si>
    <t>LCM0207 SI,      LCM0207B0xxxxJBP00,     ‘xxxx’ for resistance values 10R and larger</t>
  </si>
  <si>
    <t>PCN-DBR-005-20101</t>
  </si>
  <si>
    <t>Fusible Carbon Film Resistor LCM0207 SI, Discontinuation of Value Range 10R up to 1K0</t>
  </si>
  <si>
    <t>LCM0207 SI,      LCM0207B0xxxxJBP00,     xxxx for resistance values 10R and larger</t>
  </si>
  <si>
    <t>PCN-DBR-005-2016</t>
  </si>
  <si>
    <t>SFR16S, Standard Metal Film Leaded ResistorsChange in available maximum ohmic value</t>
  </si>
  <si>
    <t>SFR16S000xxx4Fxx00</t>
  </si>
  <si>
    <t>PCN-DBR-006-2016</t>
  </si>
  <si>
    <t>https://www.vishay.com/quality/pcn-doc/PCN-DBR-006-2016-Rev-0/PCN-DBR-006-2016%20Rev0.pdf/</t>
  </si>
  <si>
    <t>Withdrawal of UCA0414, UCS0414 - Unlacquered Carbon Film Leaded Resistor</t>
  </si>
  <si>
    <t>UCA0414xxxxxxxxxxx UCS0414xxxxxxxxxxx</t>
  </si>
  <si>
    <t>PCN-DBR-007-2010</t>
  </si>
  <si>
    <t>LSR37:product discontinuation</t>
  </si>
  <si>
    <t>LSR370000xxxxxxxxx</t>
  </si>
  <si>
    <t>https://www.vishay.com/quality/pcn-doc/PCN-DBR-007-2010-Rev-1/PCN-DBR-007-2010.pdf/</t>
  </si>
  <si>
    <t>PCN-DBR-008-2009</t>
  </si>
  <si>
    <t>https://www.vishay.com/quality/pcn-doc/PCN-DBR-008-2009/PCN-DBR-008-2009-REVB.pdf/</t>
  </si>
  <si>
    <t>Product Discontinuation – LCA0204, LCA0207 variants,
LCA0411, LCA0414 variants Carbon film resistors</t>
  </si>
  <si>
    <t>LCA0204
LCA0207…NA, LCA0207…P, LCA0207…HF, LCE0207,
LCA0207(26mm taping), LCA0414(73mm taping)
LCE0207…LD LCR0207, LCR0207…P, LCS0207, LCV0207, Specials (BV)
LCA0411, LCA0411…HF, LCA0411…P, LCA0411…IF, Specials (BV)
LCA0411…NA, LCA0411…IN, LCA0411…NN, LCE0411, LCL0411, LCV0411, LCS0411
LCS0414, LCV0414, LCA0414…P</t>
  </si>
  <si>
    <t>PCN-DBR-009-2010</t>
  </si>
  <si>
    <t>Discontinuation of Thick Film Chip Arrays CRA12E16-03</t>
  </si>
  <si>
    <t xml:space="preserve">Discontinuation due to low demand.
</t>
  </si>
  <si>
    <t>https://www.vishay.com/quality/pcn-doc/PCN-DBR-009-2010-Rev-1/PCN-DBR-009-2010.pdf/</t>
  </si>
  <si>
    <t>PCN-DBR-033-2009</t>
  </si>
  <si>
    <t>Product Discontinuation – SR37 
Surge metal film leaded resistor</t>
  </si>
  <si>
    <t>Optimisation of leaded fixed film resistors portfolio.</t>
  </si>
  <si>
    <t>PCN-DBR-034-2009</t>
  </si>
  <si>
    <t>Vishay Beyschlag&gt;</t>
  </si>
  <si>
    <t>Discontinuation of MCT 0603 HF</t>
  </si>
  <si>
    <t>MCT 0603 HF, all types, all values</t>
  </si>
  <si>
    <t>PCN-DBR-035-2009</t>
  </si>
  <si>
    <t>Discontinuation of Thick Film Chip Arrays CRA12E04 01/02/03/20, CRA12E16 01/02/20, CRA12S08-03</t>
  </si>
  <si>
    <t>CRA12E04-01/02/03/20, CRA12E16-01/02/20, CRA12S08-03</t>
  </si>
  <si>
    <t>PCN-DD-001-2012</t>
  </si>
  <si>
    <t>Diodes</t>
  </si>
  <si>
    <t>Vishay Semiconductors&gt;</t>
  </si>
  <si>
    <t>Product Discontinuation</t>
  </si>
  <si>
    <t>VS-30CPF02PBF, VS-30CPF04PBF, VS-30CPF06PBF, VS-30CPF10PBF, VS-30CPF12PBF, VS-60CPF02PBF, VS-60CPF04PBF, ... , see complete P/N list inside the PCN document.</t>
  </si>
  <si>
    <t xml:space="preserve"> Realignment of product nomenclature vs. Vishay standard
</t>
  </si>
  <si>
    <t>PCN-DD-002-2012</t>
  </si>
  <si>
    <t>1N4148GPS, 1N4148W-IN-V-GS18, 1N4150-A, 1N4150-T, 1N4151-A, 1N4151GPS, ... see complete P/N list inside the PCN document.</t>
  </si>
  <si>
    <t xml:space="preserve"> Portfolio Consolidation
</t>
  </si>
  <si>
    <t>PCN-DD-002-2015</t>
  </si>
  <si>
    <t>Product Discontinuation for Surface Mount Schottky Products</t>
  </si>
  <si>
    <t>Diodes, Schottky</t>
  </si>
  <si>
    <t>PCN-DD-003-2012</t>
  </si>
  <si>
    <t>VS-6CWH02FNPBF, VS-6CWH02FNTRPBF, ... , VS-8S2TH06FP, VS-8STH06FP, VS-8E2TX06-E, VS-8E2TH06-E, ... , VS-8E2TX06FP-E, VS-8E2TH06FP-E, ... , see complete P/N list inside the PCN document.</t>
  </si>
  <si>
    <t xml:space="preserve"> Harmonization of product portfolio
</t>
  </si>
  <si>
    <t>PCN-DD-003-2014</t>
  </si>
  <si>
    <t>https://www.vishay.com/quality/pcn-doc/PCN-DD-003-2014-Rev-00/DD-003-2014%20Rev.0.pdf/</t>
  </si>
  <si>
    <t>Modules</t>
  </si>
  <si>
    <t>Product Obsolence</t>
  </si>
  <si>
    <t>VS-UFL60FA60P, VS-UFL200FA60P, VS-UFL200CB60P, VS-UFL120FA60P, VS-UFB60FA60P, .... , see complete P/N list inside the PCN document.</t>
  </si>
  <si>
    <t>Introduction of new generation with enhanced thermal and electrical performances</t>
  </si>
  <si>
    <t>PCN-DD-005-2016</t>
  </si>
  <si>
    <t>Product Discontinuation for Small Signal Products</t>
  </si>
  <si>
    <t>See complete part number list inside the PCN document</t>
  </si>
  <si>
    <t xml:space="preserve">Portfolio Consolidation
</t>
  </si>
  <si>
    <t>PCN-DD-006-2015</t>
  </si>
  <si>
    <t>https://www.vishay.com/quality/pcn-doc/PCN-DD-006-2015-Rev-00/DD-006-2015%20Rev0.pdf/</t>
  </si>
  <si>
    <t>VS-GT100NA120UX, VS-GT100LA120UX, VS-GB70NA60UF, VS-GB70LA60UF, VS-GB50NA120UX, VS-GB50LA120UX, VS-UFB210FA40P</t>
  </si>
  <si>
    <t xml:space="preserve">  Introduction of new generation of products
</t>
  </si>
  <si>
    <t>PCN-DD-006-2016</t>
  </si>
  <si>
    <t>https://www.vishay.com/quality/pcn-doc/PCN-DD-006-2016-Rev-00/DD-006-2016%20Rev0.pdf/</t>
  </si>
  <si>
    <t>Product Obsolescence</t>
  </si>
  <si>
    <t>VS-GA200HS60S1, VS-GA200HS60S1PBF, VS-GA100TS60SFPBF, VS-GA100TS60SF, ... see complete Part Number list inside PCN document</t>
  </si>
  <si>
    <t xml:space="preserve">  Product rationalization
</t>
  </si>
  <si>
    <t>PCN-DD-006-2017</t>
  </si>
  <si>
    <t>https://www.vishay.com/quality/pcn-doc/PCN-DD-006-2017-Rev-0/PCN-DD-006-2017%20Rev%200_Product%20Discontinuance%20of%20KBPM%20Bridge%20Rectifier.pdf/</t>
  </si>
  <si>
    <t>Vishay General Semiconductor&gt;</t>
  </si>
  <si>
    <t>Product Discontinuance of KBPM Bridge Rectifier</t>
  </si>
  <si>
    <t>2KNPxxM, 3KBPxxM, 3N24X~3N25X and KBPxxM</t>
  </si>
  <si>
    <t xml:space="preserve"> Raw material supplying issue
</t>
  </si>
  <si>
    <t>PCN-DD-007-2019</t>
  </si>
  <si>
    <t>https://www.vishay.com/quality/pcn-doc/PTN-DD-00007-2019-Rev-00/DD-007-2019%20Rev%200.pdf/</t>
  </si>
  <si>
    <t>VS-GB100LP120N, VS-GB100TP120N,... see complete Part Number list inside the PCN document</t>
  </si>
  <si>
    <t xml:space="preserve">  Discontinued supply of IGBT die
</t>
  </si>
  <si>
    <t>PCN-DD-008-2012</t>
  </si>
  <si>
    <t>https://www.vishay.com/quality/pcn-doc/PCN-DD-008-2012-Rev-0/PCN-DD-008-2012%20Rev%200_EOL%20of%20Superectifier%20Products%20with%20PKG%20Code%2053.pdf/</t>
  </si>
  <si>
    <t>EOL of Superectifier Products with PKG Code /53</t>
  </si>
  <si>
    <t>1N5059GP ~ 62GP-E3/HE3, 1N5391GP ~ 99GP-E3/HE3, GP15A ~ M-E3/HE3, RGP15A~M-E3/HE3</t>
  </si>
  <si>
    <t>Vishay Diodes Division will discontinue the supplying of DO-204AC packaged Superectifier®
products
with package code /53 (26mm horizontal taping and ammo box packing) due to low demand.</t>
  </si>
  <si>
    <t>PCN-DD-008-2013</t>
  </si>
  <si>
    <t>https://www.vishay.com/quality/pcn-doc/PCN-DD-008-2013-Rev-0/DD-008-2013%20rev%200.pdf/</t>
  </si>
  <si>
    <t>Product obsolescence</t>
  </si>
  <si>
    <t>VS-GB05XP120KTPBF, VS-GB15XP120KTPBF, VS-UFH60GA60P, _x000D_
VS-CPV363M4KPBF, VS-403CMQ100</t>
  </si>
  <si>
    <t>PCN-DD-008-2015</t>
  </si>
  <si>
    <t>Product Discontinuation for TO-220-2L INSULATED</t>
  </si>
  <si>
    <t xml:space="preserve">  Discontinuation of TO-220-2L INSULATED
</t>
  </si>
  <si>
    <t>PCN-DD-008-2017</t>
  </si>
  <si>
    <t>https://www.vishay.com/quality/pcn-doc/PCN-DD-008-2017-Rev-0/DD-008-2017Rev%200.pdf/</t>
  </si>
  <si>
    <t>VS-GT105LA120UX VS-GT105NA120UX</t>
  </si>
  <si>
    <t xml:space="preserve"> Discontinued supply of the IGBT die
</t>
  </si>
  <si>
    <t>PCN-DD-008-2018</t>
  </si>
  <si>
    <t>https://www.vishay.com/quality/pcn-doc/PTN-DD-00008-2018-Rev-00/DD-008-2018%20Rev%200.pdf/</t>
  </si>
  <si>
    <t>VS-GT175DA120U</t>
  </si>
  <si>
    <t>PCN-DD-010-2012</t>
  </si>
  <si>
    <t>8AF Product Obsolescense</t>
  </si>
  <si>
    <t>VS-8AF1NPP, VS-8AF4RLV, VS-I629, VS-IC15, VS-8AF1RPP, VS-8AF4RPF, VS-I739, VS-IC29, ... see complete P/N list inside the PCN document</t>
  </si>
  <si>
    <t xml:space="preserve">Vishay product portfolio rationalization.
</t>
  </si>
  <si>
    <t>PCN-DD-011-2013</t>
  </si>
  <si>
    <t>Schottky</t>
  </si>
  <si>
    <t xml:space="preserve">  Harmonization of product portfolio
</t>
  </si>
  <si>
    <t>PCN-DD-011-2016</t>
  </si>
  <si>
    <t>1N4148WFL-G3-08 1N4148WSFL-G3-08</t>
  </si>
  <si>
    <t>PCN-DD-012-2012</t>
  </si>
  <si>
    <t>https://www.vishay.com/quality/pcn-doc/PCN-DD-012-2012-Rev-0/PCN-DD-012-2012%20Rev%200_EOL%20Bridge%20Rectifier%20of%20VSIB6A%20to%2025%20series.pdf/</t>
  </si>
  <si>
    <t>EOL Bridge Rectifier of VSIB6A to 25 series</t>
  </si>
  <si>
    <t>VSIB6A ~ 25 series</t>
  </si>
  <si>
    <t>https://www.vishay.com/quality/pcn-doc/PCN-DD-012-2012-Rev-1/PCN-DD-012-2012%20Rev%201_EOL%20Bridge%20Rectifier%20of%20VSIB6A%20to%2025%20series.pdf/</t>
  </si>
  <si>
    <t>Bridge rectifier</t>
  </si>
  <si>
    <t>PCN-DD-012-2015</t>
  </si>
  <si>
    <t>Product Discontinuance Notice of Rectifier Products</t>
  </si>
  <si>
    <t>UG06A-E3/54, UG06B-E3/54, UG06C-E3/54, UG06D-E3/54, USB260-E3/52T, USB260-E3/5BT, USB260HE3/52T, USB260HE3/5BT, M100A-E3/54, M100A-E3/73, M100B-E3/54, M100B-E3/73, M100D-E3/54, M100D-E3/73, M100G-E3/54, M100G-E3/73, M100J-E3/54, M100J-E3/73, M100K-E3/54, M100K-E3/54, M100M-E3/54, M100M-E3/54, RGP10ME-5010E3/53, GBPC1510W-802E4/51</t>
  </si>
  <si>
    <t xml:space="preserve"> Low Marketing Demand
</t>
  </si>
  <si>
    <t>PCN-DD-013-2016</t>
  </si>
  <si>
    <t>Product Discontinuation for TO220 and TO247 Schottky GEN5 Products</t>
  </si>
  <si>
    <t>VS-18TT045-F VS-20TT100 VS-30CTT100 VS-43CTT100 VS-63CPT100</t>
  </si>
  <si>
    <t xml:space="preserve"> Low customer demand
</t>
  </si>
  <si>
    <t>PCN-DD-013-20161</t>
  </si>
  <si>
    <t>Discontinuation of Schottky GEN5 Products</t>
  </si>
  <si>
    <t>Schottky Diodes Gen.5.0 in TO220, TO247, DPAK package_x000D_
see complete Part Number list inside the PCN document</t>
  </si>
  <si>
    <t xml:space="preserve"> Low production volume
</t>
  </si>
  <si>
    <t>PCN-DD-015-2012</t>
  </si>
  <si>
    <t>GMF05C-HS3-GS08, GMF05LC-HS3-GS08, VBUS054B-HS3-GS08, VBUS054CV-HS3-GS08, VEMI255A-HS3-GS08, VESD05A5A-HS3-GS08</t>
  </si>
  <si>
    <t>PCN-DD-016-2014</t>
  </si>
  <si>
    <t>https://www.vishay.com/quality/pcn-doc/PCN-DD-016-2014-Rev-00/DD-016-2014%20Rev%200.pdf/</t>
  </si>
  <si>
    <t>VS-54MT80KPBF, VS-54MT120KPBF, VS-54MT160KPBF, ... , see complete P/N list inside the PCN document</t>
  </si>
  <si>
    <t xml:space="preserve"> Product rationalization
</t>
  </si>
  <si>
    <t>PCN-DD-016-2015</t>
  </si>
  <si>
    <t>Discontinuation of P4KA and P6KA PAR TVS Series</t>
  </si>
  <si>
    <t>P4KAxxHE3, P6KAxxHE3</t>
  </si>
  <si>
    <t xml:space="preserve">Product end of life
</t>
  </si>
  <si>
    <t>PCN-DD-017-2013</t>
  </si>
  <si>
    <t>https://www.vishay.com/quality/pcn-doc/PCN-DD-017-2013-Rev-0/PCN-DD-017-2013%20Rev%200_EOL%20of%20Rectifier%20and%20TVS%20Products.pdf/</t>
  </si>
  <si>
    <t>EOL of Rectifier and TVS Products</t>
  </si>
  <si>
    <t>5KP5.0AHE3, 5KP6.0AHE3, 5KP6.5AHE3, 5KP7.0AHE3, 5KP7.5AHE3, 5KP8.0AHE3, BY296P-E3, BY297P-E3, BY298P-E3, BY299P-E3, BY396P-E3, BY397P-E3, BY398P-E3, BY399P-E3, BY500-100-E3, BY500-200-E3, BY500-400-E3, BY500-600-E3, BY500-800-E3, GHR16-E3, GI820-E3, GI821-E3, GI822-E3, GI824-E3, GI826-E3, GI828-E3, GI850-E3, GI851-E3, GI852-E3, GI854-E3, GI856-E3, GI858-E3, GI910-E3, GI911-E3, GI912-E3, GI914-E3, GI916-E3, GI917-E3, GUR460-E3, LCE10A-E3, LCE11A-E3, LCE12A-E3, LCE13A-E3, LCE14A-E3, LCE15A-E3, LCE16A-E3, LCE17A-E3, LCE18A-E3, LCE19A-E3, LCE20A-E3, LCE22A-E3, LCE24A-E3, LCE26A-E3, LCE28A-E3, LCE6.5A-E3, LCE7.0A-E3, LCE7.5A-E3, LCE8.0A-E3, LCE8.5A-E3, LCE9.0A-E3, MP493-E3, MP521-E3, MP685-E3, MP7069-E3, MP7078-E3, MP738-E3, MP740-E3, MP805-E3, MP820-E3, MP838-E3, SB2H100HE3, SB320S-E3, SB330S-E3, SB340S-E3, SB350S-E3, SB360S-E3, SRP100A-E3, SRP100B-E3, SRP100D-E3, SRP100G-E3, SRP100J-E3, SRP100K-E3, SRP300A-E3, SRP300B-E3, SRP300C-E3, SRP300D-E3, SRP300G-E3, SRP300J-E3, SRP300K-E3, SRP600A-E3, SRP600B-E3, SRP600D-E3, SRP600G-E3, SRP600J-E3, SRP600K-E3, Z4KE100AHE3, Z4KE110AHE3, Z4KE120AHE3, Z4KE130AHE3, Z4KE140AHE3, Z4KE150AHE3, Z4KE160AHE3, Z4KE170AHE3, Z4KE180AHE3, Z4KE190AHE3, Z4KE200AHE3</t>
  </si>
  <si>
    <t>PCN-DD-017-2015</t>
  </si>
  <si>
    <t>Product Discontinuation Notice</t>
  </si>
  <si>
    <t>SML4728 - SML4737 series, see complete Part Number list inside the PTN document</t>
  </si>
  <si>
    <t xml:space="preserve"> Low sales, harmonization of product portfolio
</t>
  </si>
  <si>
    <t>PCN-DD-017-2016</t>
  </si>
  <si>
    <t>Product discontinuation</t>
  </si>
  <si>
    <t>VS-HFA04SD60SPBF,VS-HFA04SD60STRLP, VS-HFA04SD60STRPBF...._x000D_
VS-10WQ045FNPBF, VS-10WQ045FNTRLPBF, VS-10WQ045FNTRPBF ...._x000D_
VS-8EWF02SPBF, VS-8EWF02STRLPBF, VS-8EWF02STRPBF ..._x000D_
See complete Part Number List inside the PCN document</t>
  </si>
  <si>
    <t xml:space="preserve"> Rationalization of product nomenclature and product portfolio
</t>
  </si>
  <si>
    <t>PCN-DD-018-2013</t>
  </si>
  <si>
    <t>https://www.vishay.com/quality/pcn-doc/PCN-DD-018-2013-Rev-0/PCN-DD-018-2013%20Rev%200_EOL%20of%20GPP60%20and%20GPP100%20Products.pdf/</t>
  </si>
  <si>
    <t>EOL of GPP60 and GPP100 Products</t>
  </si>
  <si>
    <t>GPP60 and GPP100 series</t>
  </si>
  <si>
    <t>Due to the fact that the existing supplier of solder wafer is having problems to meet production requirements, Vishay Diodes Division will discontinue the supply of GPP60, GPP100 &amp; GPP100MS products in P600 case outline as shown below. Meanwhile, Vishay Diodes Division will start developing the following new products as the possible alternatives to meet the application requirements.</t>
  </si>
  <si>
    <t>PCN-DD-019-2015</t>
  </si>
  <si>
    <t>BAND SWITCHING DIODE_x000D_
BA282x, BA283x, BA682x, BA683x, BA782x, BA782Sx, BA783x, BA783Sx, BA982x, BA983x_x000D_
CAPACITANCE/TUNING DIODE_x000D_
BB814-1x, BB814-2x, BB824-3x</t>
  </si>
  <si>
    <t xml:space="preserve">  Low sales, harmonization of product portfolio
</t>
  </si>
  <si>
    <t>PCN-DD-020-2012</t>
  </si>
  <si>
    <t>VS-6CWT04FN, VS-6CWT04FNTR, ... , VS-10UT10, VS-20CUT10, ... see complete P/N list inside the PCN Document.</t>
  </si>
  <si>
    <t xml:space="preserve">Low customer demand
</t>
  </si>
  <si>
    <t>PCN-DD-020-2015</t>
  </si>
  <si>
    <t>Product Discontinuation of SMF serie W</t>
  </si>
  <si>
    <t>VS-1EFH02WHM3-18, VS-1EFH02W-M3-18, VS-1EFH01WHM3-18, VS-1EFH01W-M3-18</t>
  </si>
  <si>
    <t xml:space="preserve">              Product nomenclature rationalization
</t>
  </si>
  <si>
    <t>PCN-DD-020-2019</t>
  </si>
  <si>
    <t>Product Obsolescence for TO-247 Part Numbers</t>
  </si>
  <si>
    <t>VS-30CPH03PBF, VS-30CPU04PBF, VS-30EPH03PBF, VS-30EPH06PBF, VS-60APU02PBF, ... see complete part number list inside PCN document.</t>
  </si>
  <si>
    <t xml:space="preserve"> Nomenclature alignement
</t>
  </si>
  <si>
    <t>PCN-DD-021-2012</t>
  </si>
  <si>
    <t>VS-10WT10FN, VS-10WT10FNTR, ... , VS-20WT04FN, VS-20WT04FNTR, ... see complete P/N list inside the PCN document.</t>
  </si>
  <si>
    <t>Due to the support is in risk in the market of 5” silicon material and 5” wafer processing
equipments, Vishay has planned to convert the HPS Trench Gen 5 wafer process from
5” to 6”, however, the wafer fab is not able to process both 5” and 6” wafers
simultaneously, therefore, Vishay Diodes will have to shut down and discontinue the
HPS Trench Gen 5 products currently running with the 5” wafers. The required 5” wafer
buffer stock has been prepared to support the running demand. By end of 2013, Vishay
shall finish the 6” wafer + in-house back-end qualification for these materials to enable
the continuous delivery support to customers demand._x000D_</t>
  </si>
  <si>
    <t>PCN-DD-021-2016</t>
  </si>
  <si>
    <t>Product Discontinuance Notice of TVS and Rectifier Products</t>
  </si>
  <si>
    <t>refer to PCN</t>
  </si>
  <si>
    <t xml:space="preserve"> Low Sales
</t>
  </si>
  <si>
    <t>PCN-DD-023-2012</t>
  </si>
  <si>
    <t>Discontinuation of Commercial Grade PAR TVS</t>
  </si>
  <si>
    <t>PAR TVS</t>
  </si>
  <si>
    <t>PCN-DD-031-2012</t>
  </si>
  <si>
    <t>https://www.vishay.com/quality/pcn-doc/PCN-DD-031-2012-Rev-0/PCN-DD-031-2012%20Rev%200_EOL%20of%20Rectifier%20Products.pdf/</t>
  </si>
  <si>
    <t>End of Life of Rectifier Products</t>
  </si>
  <si>
    <t>EOL by Product Family_x000D_
BYD13DGP ~ MGP-E3/HE3, BYD33DGP ~ MGP-E3/HE3, 1N5614GP ~ 22GP-E3/HE3, BY229(X,B)-200 ~ 800-E3/HE3_x000D_
_x000D_
EOL Euroform Packaging code /4F,/90, /92_x000D_
1N4001 ~ 4007-E3, 1N4001~ 4007GPE-E3/HE3, GP10AE ~ YE-E3/HE3, _x000D_
RGP10AE ~ ME-E3/HE3, RGP02-12E ~ 20E-E3/HE3</t>
  </si>
  <si>
    <t>PCN-DD-031-2015</t>
  </si>
  <si>
    <t>https://www.vishay.com/quality/pcn-doc/PCN-DD-031-2015-Rev-0/PCN-DD-031-2015%20Rev%200_Product%20Discontinuance%20of%20Rectifier%20Product.pdf/</t>
  </si>
  <si>
    <t>Product Discontinuance of Rectifier Product</t>
  </si>
  <si>
    <t>the detail please refer PCN form</t>
  </si>
  <si>
    <t xml:space="preserve">Low business volume
</t>
  </si>
  <si>
    <t>PCN-DD-032-2015</t>
  </si>
  <si>
    <t>https://www.vishay.com/quality/pcn-doc/PCN-DD-032-2015-Rev-0/PCN-DD-032-2015%20Rev%200_Product%20Discontinuance%20of%20Superectifier%20Products%20for%20Automotive%20Grade.pdf/</t>
  </si>
  <si>
    <t>Product Discontinuance of Superectifier Products for Automotive Grade</t>
  </si>
  <si>
    <t>Superectifier Products</t>
  </si>
  <si>
    <t xml:space="preserve"> Spacing expansion for Front-end process.
</t>
  </si>
  <si>
    <t>PCN-DI-018-2010</t>
  </si>
  <si>
    <t>https://www.vishay.com/quality/pcn-doc/PCN-DI-018-2010-Rev-0/PCN-DI-088-2010.pdf/</t>
  </si>
  <si>
    <t>Timing devices</t>
  </si>
  <si>
    <t>XT57C Obsolescence</t>
  </si>
  <si>
    <t>XT5716A10M  XT5716A24M576  XT5716H10M  XT5718A20M  XT5720H20M  XT57NLA14M7456  XT5720A16M  XT5720H16M</t>
  </si>
  <si>
    <t xml:space="preserve"> Raw material is no longer available.
</t>
  </si>
  <si>
    <t>PCN-DI-082-2010</t>
  </si>
  <si>
    <t>https://www.vishay.com/quality/pcn-doc/PCN-DI-082-2010-Rev-0/PCN-DI-082-2010.pdf/</t>
  </si>
  <si>
    <t>Inductors</t>
  </si>
  <si>
    <t>Tin/Lead (SnPb) Parts becoming Obsolete.</t>
  </si>
  <si>
    <t>ILBB0402RK ILBB0603RK ILBB0805RK ILB1206RK ILBB1210RK ILBB1806RK ILBB1812RK ILHB0603RK ILHB0805RK ILHB1206RK ILHB1806RK ILHB1812RK ILSB0603RK ILSB0805RK ILSB1206RK ILC0805RK ILAS1206RK</t>
  </si>
  <si>
    <t xml:space="preserve"> Limited sales activity, materials and process issues have made it impractical
</t>
  </si>
  <si>
    <t>PCN-DI-087-2010</t>
  </si>
  <si>
    <t>https://www.vishay.com/quality/pcn-doc/PCN-DI-087-2010-Rev-0/PCN-DI-087-2010.pdf/</t>
  </si>
  <si>
    <t>XT26T and XT38T Obsolescence</t>
  </si>
  <si>
    <t>XT26TTA32K768_x000D_
XT38TTA32K768</t>
  </si>
  <si>
    <t xml:space="preserve"> Product is unavailable.
</t>
  </si>
  <si>
    <t>PCN-DI-089-2010</t>
  </si>
  <si>
    <t>https://www.vishay.com/quality/pcn-doc/PCN-DI-089-2010-Rev-0/PCN-DI-089-2010.pdf/</t>
  </si>
  <si>
    <t>XT49SL and XT49ML Obsolescence</t>
  </si>
  <si>
    <t>XT9SL*_x000D_
XT9ML*</t>
  </si>
  <si>
    <t>PCN-DI-093-2010</t>
  </si>
  <si>
    <t>https://www.vishay.com/quality/pcn-doc/PCN-DI-093-2010-Rev-0/PCN-DI-093-2010.pdf/</t>
  </si>
  <si>
    <t>Timing Devices</t>
  </si>
  <si>
    <t>XOVC-23 Obsolescence</t>
  </si>
  <si>
    <t>XOVC-23 Series, all values, all options.</t>
  </si>
  <si>
    <t>PCN-DI-108-2010</t>
  </si>
  <si>
    <t>https://www.vishay.com/quality/pcn-doc/PCN-DI-108-2010-Rev-0/PCN-DI-108-2010.pdf/</t>
  </si>
  <si>
    <t>IMS-5WD-40 high values no longer available</t>
  </si>
  <si>
    <t>IMS05WDBH104K40</t>
  </si>
  <si>
    <t>PCN-DI-118-2011</t>
  </si>
  <si>
    <t>https://www.vishay.com/quality/pcn-doc/PCN-DI-118-2011-Rev-1/PCN-DI-118-2011.pdf/</t>
  </si>
  <si>
    <t>IHLP1616ABER47NM11 Obsolescence</t>
  </si>
  <si>
    <t>IHLP1616ABER47NM11</t>
  </si>
  <si>
    <t>10/28/11</t>
  </si>
  <si>
    <t>PCN-DI-127-2011</t>
  </si>
  <si>
    <t>https://www.vishay.com/quality/pcn-doc/PCN-DI-127-2011-Rev-0/PCN-DI-127-2011.pdf/</t>
  </si>
  <si>
    <t>XO-52, XO-523, XO-53, XO-54, XO-543, XOSM-52 Product Obsolescence</t>
  </si>
  <si>
    <t>XO52 XO32 XO53 XO54 XO34 XO5M</t>
  </si>
  <si>
    <t>3/31/12</t>
  </si>
  <si>
    <t>PCN-DI-128-2012</t>
  </si>
  <si>
    <t>https://www.vishay.com/quality/pcn-doc/PCN-DI-128-2012-Rev-0/PCN-DI-128-2012.pdf/</t>
  </si>
  <si>
    <t>MS21426 Product Obsolescence</t>
  </si>
  <si>
    <t>MS21426-14BH MS21426-15BH MS21426-16BH MS21426-17BH MS21426-17RU MS21426-17SH MS21426-17ST MS21426-19BH MS21426-24RU MS21426-24SH MS21426-24ST MS21426-25BH MS21426-25RU MS21426-25SH MS21426-25ST MS21426-26BH MS21426-27BH MS21426-27RU_x000D_
MS21426-27SH MS21426-27ST MS21426-28BH MS21426-29RU MS21426-30BH MS21426-30RU MS21426-30SH MS21426-30ST MS21426-31BH MS21426-31RU MS21426-31SH MS21426-31ST MS21426-34BH MS21426-35BH MS21426-36BH MS21426-37BH MS21426-37RU MS21426-37SH_x000D_
MS21426-37ST</t>
  </si>
  <si>
    <t xml:space="preserve"> Business Decision
</t>
  </si>
  <si>
    <t>PCN-DI-135-2012</t>
  </si>
  <si>
    <t>https://www.vishay.com/quality/pcn-doc/PCN-DI-135-2012-Rev-0/PCN-DI-135-2012.pdf/</t>
  </si>
  <si>
    <t>LPM-4025-A002 Product Obsolescence</t>
  </si>
  <si>
    <t>LPM402SGA002 LPM4025SMA002</t>
  </si>
  <si>
    <t>PCN-DI-141-2012</t>
  </si>
  <si>
    <t>https://www.vishay.com/quality/pcn-doc/PCN-DI-141-2012-Rev-0/PCN-DI-141-2012.pdf/</t>
  </si>
  <si>
    <t>Connectors</t>
  </si>
  <si>
    <t>S20 Series Connector Product Obsolescence</t>
  </si>
  <si>
    <t>S20P-20-8 S20P-20-8X S20P-21-2R S20P-41_x000D_
S20P-41X S20S-13-4RX S20S-20-8 S20S-20-8X_x000D_
S20S-21-2RX S20S-41 S20S-41X</t>
  </si>
  <si>
    <t xml:space="preserve"> Raw material used to manufacture this series is no longer available.  These
</t>
  </si>
  <si>
    <t>PCN-DI-142-2012</t>
  </si>
  <si>
    <t>https://www.vishay.com/quality/pcn-doc/PCN-DI-142-2012-Rev-0/PCN-DI-142-2012.pdf/</t>
  </si>
  <si>
    <t>EB75D-P* option Connector Product Obsolescence</t>
  </si>
  <si>
    <t>EB75D-PA1230X EB75D-PA3630X_x000D_
EB75D-PA3630X-102 EB75D-PA3630Z EB75D-PA3660X_x000D_
EB75D-PA4330X EB75D-PE3630X EB75D-PK1230X-101_x000D_
EB75D-PK1830X EB75D-PL2230V-101 EB75D-PL2230W-101_x000D_
EB75D-PR153XS EB75D-PR1830X EB75D-PR183XS_x000D_
EB75D-PR223XS</t>
  </si>
  <si>
    <t>PCN-DI-145-2012</t>
  </si>
  <si>
    <t>https://www.vishay.com/quality/pcn-doc/PCN-DI-145-2012-Rev-0/PCN-DI-145-2012.pdf/</t>
  </si>
  <si>
    <t>IHLP-EN series Product Obsolescence</t>
  </si>
  <si>
    <t>IHLP2525CZENR20M01 IHLP2525CZENR47M01 IHLP2525CZENR68M01 IHLP2525CZENR82M01 IHLP2525CZEN1R0M01 IHLP2525CZEN1R5M01 IHLP2525CZEN2R2M01 IHLP2525CZEN3R3M01 IHLP2525CZEN4R7M01 IHLP4040DZENR19M01 IHLP4040DZENR39M01 IHLP4040DZEN4R7M01 IHLP4040DZEN1R0M11 IHLP4040DZEN1R8M11</t>
  </si>
  <si>
    <t>These parts are no longer a viable option. These parts were released to provide a shorter lead time in January 2010. This situation is no longer present.</t>
  </si>
  <si>
    <t>PCN-DI-147-2013</t>
  </si>
  <si>
    <t>https://www.vishay.com/quality/pcn-doc/PCN-DI-147-2013-Rev-0/PCN-DI-147-2013.pdf/</t>
  </si>
  <si>
    <t>IFCB-0603 Product Obsolescence</t>
  </si>
  <si>
    <t>IFCB0603*</t>
  </si>
  <si>
    <t xml:space="preserve"> Minimal market acceptance of this series since it was introduced and the
</t>
  </si>
  <si>
    <t>PCN-DI-148-2013</t>
  </si>
  <si>
    <t>https://www.vishay.com/quality/pcn-doc/PCN-DI-148-2013-Rev-0/PCN-DI-148-2013.pdf/</t>
  </si>
  <si>
    <t>WCS and WCM Product Obsolescence</t>
  </si>
  <si>
    <t>WCSTK100K3 WCSTK1R0K3 WCSTK270K3_x000D_
WCSTK2R2J3 WCSTK390J3 WCSTK3R3J3 WCSTK56NK3 WCSTK6R8J3 WCSTK82NK3_x000D_
WCSTK10K3 WCSTKR22K3 WCSTKR39K3 WCSTK68K3 WCMTK10NM3 WCMTK15NM3_x000D_
WCMTK1R0K3 WCMTK1R5K3 WCMTK1R8K3 WCMTK1R8M3 WCMTK22NM3 WCMTK2R2K3_x000D_
WCMTK2R7K3 WCMTK3R9K2 WCMTK3R9K3 WCMTK4R7K3 WCMTK68NM2 WCMTK68NM3_x000D_
WCMTK6R8K3 WCMTK82NM3 WCMTKR10M3 WCMTKR12K3 WCMTKR15K3 WCMTKR15M3_x000D_
WCMTKR18K3 WCMTKR22K3 WCMTKR27K3 WCMTKR33K3 WCMTKR47K3 WCMTKR56K3</t>
  </si>
  <si>
    <t xml:space="preserve"> The raw materials to manufacture these series has become difficult to procure
</t>
  </si>
  <si>
    <t>https://www.vishay.com/quality/pcn-doc/PCN-DI-148-2013-Rev-1/PCN-DI-148-2013%20Rev%201.pdf/</t>
  </si>
  <si>
    <t>WCSTK100K3 WCSTK1R0K3 WCSTK270K3 WCSTK2R2J3 WCSTK390J3 WCSTK3R3J3 WCSTK56NK3 WCSTK6R8J3 WCSTK82NK3 WCSTK10K3 WCSTKR22K3 WCSTKR39K3 WCSTK68K3 WCMTK10NM3 WCMTK15NM3_x000D_
WCMTK1R0K3 WCMTK1R5K3 WCMTK1R8K3 WCMTK1R8M3 WCMTK22NM3 WCMTK2R2K3 WCMTK2R7K3 WCMTK3R9K2 WCMTK3R9K3 WCMTK4R7K3 WCMTK68NM2 WCMTK68NM3 WCMTK6R8K3 WCMTK82NM3 WCMTKR10M3 WCMTKR12K3 WCMTKR15K3 WCMTKR15M3 WCMTKR18K3 WCMTKR22K3 WCMTKR27K3 WCMTKR33K3 WCMTKR47K3 WCMTKR56K3_x000D_
WCSTK3R3K3 WCSTKR10K3</t>
  </si>
  <si>
    <t>PCN-DI-151-2013</t>
  </si>
  <si>
    <t>https://www.vishay.com/quality/pcn-doc/PCN-DI-151-2013-Rev-0/PCN-DI-151-2013.pdf/</t>
  </si>
  <si>
    <t>IMS-2SWWD-30 and IMS-2SWWD-31 Product</t>
  </si>
  <si>
    <t>MS2SWWD*</t>
  </si>
  <si>
    <t xml:space="preserve"> Slow business activity and increasing difficulty of procuring raw materials and
</t>
  </si>
  <si>
    <t>PCN-DI-152-2013</t>
  </si>
  <si>
    <t>https://www.vishay.com/quality/pcn-doc/PCN-DI-152-2013-Rev-0/PCN-DI-152-2013.pdf/</t>
  </si>
  <si>
    <t>IMS-2SWWD-05 and IMS-2-07 Product Obsolescence</t>
  </si>
  <si>
    <t>IMS2SWWDBH6R8K05 IMS02BH101K07</t>
  </si>
  <si>
    <t>PCN-DI-178-2013</t>
  </si>
  <si>
    <t>https://www.vishay.com/quality/pcn-doc/PCN-DI-178-2013-Rev-0/PCN-DI-178-2013.pdf/</t>
  </si>
  <si>
    <t>IRF-36 tolerance obsolescence</t>
  </si>
  <si>
    <t>IRF36ERR33K</t>
  </si>
  <si>
    <t xml:space="preserve"> Materials to produce these tight tolerances are no longer stable in the market.
</t>
  </si>
  <si>
    <t>PCN-DI-179-2013</t>
  </si>
  <si>
    <t>https://www.vishay.com/quality/pcn-doc/PCN-DI-179-2013-Rev-0/PCN-DI-179-2013.pdf/</t>
  </si>
  <si>
    <t>IRF-24 tolerance obsolescence</t>
  </si>
  <si>
    <t>IRF24ERR10K IRF24ERR33K</t>
  </si>
  <si>
    <t>PCN-DI-185-2013</t>
  </si>
  <si>
    <t>https://www.vishay.com/quality/pcn-doc/PCN-DI-185-2013-Rev-0/PCN-DI-185-2013.pdf/</t>
  </si>
  <si>
    <t>XT36C Product Obsolescence</t>
  </si>
  <si>
    <t>XT3612H10M XT3620H20M XT3620H24M_x000D_
XT3620H36M XT36NL10M78 XT36NLH20M</t>
  </si>
  <si>
    <t>PCN-DI-191-2014</t>
  </si>
  <si>
    <t>https://www.vishay.com/quality/pcn-doc/PCN-DI-191-2014-Rev-1/PCN-DI-191-2014.pdf/</t>
  </si>
  <si>
    <t>027H, SKH, and SK2H Hood options for Connector</t>
  </si>
  <si>
    <t>MMA MMD MME MMF MMG</t>
  </si>
  <si>
    <t>PCN-DI-203-2014</t>
  </si>
  <si>
    <t>https://www.vishay.com/quality/pcn-doc/PCN-DI-203-2014-Rev-0/PCN-DI-203-2014.pdf/</t>
  </si>
  <si>
    <t>ES Package code for ILB-1206 Product Obsolescence</t>
  </si>
  <si>
    <t>ILB1206ES121V ILB1206ES301V ILB1206ES301V07 ILB1206ES501V ILB1206ES601V</t>
  </si>
  <si>
    <t xml:space="preserve"> Limited use
</t>
  </si>
  <si>
    <t>PCN-DI-216-2015</t>
  </si>
  <si>
    <t>https://www.vishay.com/quality/pcn-doc/PCN-DI-216-2015-Rev-0/PCN-DI-216-2015.pdf/</t>
  </si>
  <si>
    <t>IHCL4040DZER470M5A Product Obsolescence</t>
  </si>
  <si>
    <t>IHCL4040DZER470M5A</t>
  </si>
  <si>
    <t>PCN-DI-217-2015</t>
  </si>
  <si>
    <t>https://www.vishay.com/quality/pcn-doc/PCN-DI-217-2015-Rev-0/PCN-DI-217-2015.pdf/</t>
  </si>
  <si>
    <t>IHCL4040DZER330M5A Product Obsolescence</t>
  </si>
  <si>
    <t>IHCL4040DZER330M5A</t>
  </si>
  <si>
    <t>PCN-DI-218-2015</t>
  </si>
  <si>
    <t>https://www.vishay.com/quality/pcn-doc/PCN-DI-218-2015-Rev-0/PCN-DI-218-2015.pdf/</t>
  </si>
  <si>
    <t>IMC-0805 Series Product Obsolescence</t>
  </si>
  <si>
    <t>IMC0805ER10NJ IMC0805ER10NK_x000D_
IMC0805ER12NJ IMC0805ER12NK IMC0805ER15NJ_x000D_
IMC0805ER18NJ IMC0805ER18NK IMC0805ER22NJ_x000D_
IMC0805ER22NK IMC0805ER27NJ IMC0805ER33NJ_x000D_
IMC0805ER33NK IMC0805ER39NJ IMC0805ER47NJ_x000D_
IMC0805ER47NK IMC0805ER56NJ IMC0805ER56NK_x000D_
IMC0805ER68NJ IMC0805ER82NJ IMC0805ER82NK_x000D_
IMC0805ERR10J IMC0805ERR10K IMC0805ERR12J_x000D_
IMC0805ERR12K IMC0805ERR15J IMC0805ERR15K_x000D_
IMC0805ERR18J IMC0805ERR22J IMC0805ERR22K_x000D_
IMC0805ERR27J IMC0805ERR27K IMC0805ERR33J_x000D_
IMC0805ERR39J IMC0805ERR39K IMC0805ERR47J_x000D_
IMC0805ERR56J IMC0805ERR68J IMC0805ERR82J_x000D_
IMC0805ERR82K IMC0805ER1R0J IMC0805ER1R0K</t>
  </si>
  <si>
    <t>PCN-DI-222-2015</t>
  </si>
  <si>
    <t>https://www.vishay.com/quality/pcn-doc/PCN-DI-222-2015-Rev-0/PCN-DI-222-2015.pdf/</t>
  </si>
  <si>
    <t>IHLP2525CZER470M11 Product Obsolescence</t>
  </si>
  <si>
    <t>IHLP2525CZER470M11</t>
  </si>
  <si>
    <t>PCN-DI-225-2015</t>
  </si>
  <si>
    <t>https://www.vishay.com/quality/pcn-doc/PCN-DI-225-2015-Rev-0/PCN-DI-225-2015.pdf/</t>
  </si>
  <si>
    <t>IMC0402 and IMC0603 Product Obsolescence</t>
  </si>
  <si>
    <t>IMC0402ER10NG_x000D_
IMC0402ER10NJ_x000D_
IMC0402ER12NJ_x000D_
IMC0402ER15NG_x000D_
IMC0402ER15NJ_x000D_
IMC0402ER18NJ_x000D_
IMC0402ER1N0S_x000D_
IMC0402ER1N2S_x000D_
IMC0402ER1N5S_x000D_
IMC0402ER1N8S_x000D_
IMC0402ER22NG_x000D_
IMC0402ER22NJ_x000D_
IMC0402ER27NJ_x000D_
IMC0402ER2N2S_x000D_
IMC0402ER2N7S_x000D_
IMC0402ER33NG_x000D_
IMC0402ER33NJ_x000D_
IMC0402ER39NJ_x000D_
IMC0402ER3N3C_x000D_
IMC0402ER3N3S_x000D_
IMC0402ER3N9C_x000D_
IMC0402ER3N9S_x000D_
IMC0402ER47NG_x000D_
IMC0402ER47NJ_x000D_
IMC0402ER4N7C_x000D_
IMC0402ER4N7S_x000D_
IMC0402ER56NG_x000D_
IMC0402ER56NJ_x000D_
IMC0402ER5N6S_x000D_
IMC0402ER68NG_x000D_
IMC0402ER68NJ_x000D_
IMC0402ER6N8J_x000D_
IMC0402ER82NG_x000D_
IMC0402ER82NJ_x000D_
IMC0402ER8N2J_x000D_
IMC0402ERR10J_x000D_
IMC0603ER10NG_x000D_
IMC0603ER10NJ_x000D_
IMC0603ER12NG_x000D_
IMC0603ER12NJ_x000D_
IMC0603ER15NG_x000D_
IMC0603ER15NJ_x000D_
IMC0603ER18NG_x000D_
IMC0603ER18NJ_x000D_
IMC0603ER1N0S_x000D_
IMC0603ER1N2S_x000D_
IMC0603ER1N5C_x000D_
IMC0603ER1N5S_x000D_
IMC0603ER1N8C_x000D_
IMC0603ER1N8S_x000D_
IMC0603ER22NG_x000D_
IMC0603ER22NJ_x000D_
IMC0603ER27NG_x000D_
IMC0603ER27NJ_x000D_
IMC0603ER2N2C_x000D_
IMC0603ER2N2S_x000D_
IMC0603ER2N7S_x000D_
IMC0603ER33NG_x000D_
IMC0603ER33NJ_x000D_
IMC0603ER36NJ_x000D_
IMC0603ER39NG_x000D_
IMC0603ER39NJ_x000D_
IMC0603ER3N3S_x000D_
IMC0603ER3N9G_x000D_
IMC0603ER3N9J_x000D_
IMC0603ER47NG_x000D_
IMC0603ER47NJ_x000D_
IMC0603ER4N7J_x000D_
IMC0603ER56NG_x000D_
IMC0603ER56NJ_x000D_
IMC0603ER5N6G_x000D_
IMC0603ER5N6J_x000D_
IMC0603ER68NG_x000D_
IMC0603ER68NJ_x000D_
IMC0603ER68NK_x000D_
IMC0603ER6N8G_x000D_
IMC0603ER6N8J_x000D_
IMC0603ER82NG_x000D_
IMC0603ER82NJ_x000D_
IMC0603ER8N2G_x000D_
IMC0603ER8N2J_x000D_
IMC0603ERR10G_x000D_
IMC0603ERR10J_x000D_
IMC0603ERR12G_x000D_
IMC0603ERR12J_x000D_
IMC0603ERR15J_x000D_
IMC0603ERR18G_x000D_
IMC0603ERR18J_x000D_
IMC0603ERR22G_x000D_
IMC0603ERR22J</t>
  </si>
  <si>
    <t xml:space="preserve"> The Vishay source for these parts is no longer available.
</t>
  </si>
  <si>
    <t>PCN-DI-235-2015</t>
  </si>
  <si>
    <t>https://www.vishay.com/quality/pcn-doc/PCN-DI-235-2015-Rev-0/PCN-DI-235-2015.pdf/</t>
  </si>
  <si>
    <t>IM-2 22nH Product Obsolescence</t>
  </si>
  <si>
    <t>IM02BH22NM IMEB22NK IM02ER22NK IM02RU22NM IM02SH22NM IM02ST22NM IM02RU22NK40_x000D_
IM02SH22NK40 IM02ST22NK40</t>
  </si>
  <si>
    <t xml:space="preserve"> This part has very limited activity and we no longer have the ability to reliably
</t>
  </si>
  <si>
    <t>PCN-DI-246-2015</t>
  </si>
  <si>
    <t>https://www.vishay.com/quality/pcn-doc/PCN-DI-246-2015-Rev-0/PCN-DI-246-2015.pdf/</t>
  </si>
  <si>
    <t>315 Series Product Obsolescence</t>
  </si>
  <si>
    <t>315PR-50_x000D_
315S-50</t>
  </si>
  <si>
    <t xml:space="preserve"> This part has very limited activity and we no longer have access to the raw
</t>
  </si>
  <si>
    <t>PCN-DI-247-2015</t>
  </si>
  <si>
    <t>https://www.vishay.com/quality/pcn-doc/PCN-DI-247-2015-Rev-0/PCN-DI-247-2015.pdf/</t>
  </si>
  <si>
    <t>303 Series Product Obsolescence</t>
  </si>
  <si>
    <t>300PR-45 300-45</t>
  </si>
  <si>
    <t>PCN-DI-248-2015</t>
  </si>
  <si>
    <t>https://www.vishay.com/quality/pcn-doc/PCN-DI-248-2015-Rev-0/PCN-DI-248-2015.pdf/</t>
  </si>
  <si>
    <t>505SR5 Series Product Obsolescence</t>
  </si>
  <si>
    <t>500SR-5 500SR-5-106</t>
  </si>
  <si>
    <t>PCN-DI-271-2016</t>
  </si>
  <si>
    <t>https://www.vishay.com/quality/pcn-doc/PCN-DI-271-2016-Rev-0/PCN-DI-271-2016.pdf/</t>
  </si>
  <si>
    <t>IHHP-1212ZH-01 and IHHP-1212AZ-01 Series Product Obsolescence</t>
  </si>
  <si>
    <t>IHHP1212ZHERR33N01 IHHP1212ZHERR47N01 IHHP1212ZHER1R0M01 IHHP1212ZHER4R7M01 IHHP1212AZERR47N01 IHHP1212AZER1R0M01 IHHP1212AZER2R2M01 IHHP1212AZER4R7M01 IHHP1212AZER6R8M01 IHHP1212AZER100M01</t>
  </si>
  <si>
    <t xml:space="preserve"> The IHHP-1212ZH-01 and IHHP-1212AZ-01 are no longer available for Vishay to offer. 
</t>
  </si>
  <si>
    <t>PCN-DI-272-2016</t>
  </si>
  <si>
    <t>https://www.vishay.com/quality/pcn-doc/PCN-DI-272-2016-Rev-0/PCN-DI-272-2016.pdf/</t>
  </si>
  <si>
    <t>IHHP-1008AZ and IHHP-1008AB-01 Series Product Changes and Obsolescence</t>
  </si>
  <si>
    <t>IHHP1008AZERR47M01 IHHP1008AZER1R0M01 IHHP1008AZER1R5M01 IHHP1008AZER2R2M01 IHHP1008AZER3R3M01 IHHP1008AZER4R7M01 IHHP1008ABERR47M01 IHHP1008ABER1R0M01 IHHP1008ABER1R5M01 IHHP1008ABER2R2M01 IHHP1008ABER4R7M01 IHHP1008ABER5R6M01 IHHP1008ABER6R8M01  IHHP1008ABER100M01</t>
  </si>
  <si>
    <t xml:space="preserve"> The current IHHP-1008AZ-01 and IHHP-1008AB-01 are no longer available
</t>
  </si>
  <si>
    <t>PCN-DI-298-2016</t>
  </si>
  <si>
    <t>https://www.vishay.com/quality/pcn-doc/PCN-DI-298-2016-Rev-0/PCN-DI-298-2016.pdf/</t>
  </si>
  <si>
    <t>EB7 Connector Series Product Obsolescence</t>
  </si>
  <si>
    <t>EB7*</t>
  </si>
  <si>
    <t xml:space="preserve"> Poor Sales of this series.
</t>
  </si>
  <si>
    <t>PCN-DI-303-2017</t>
  </si>
  <si>
    <t>https://www.vishay.com/quality/pcn-doc/PCN-DI-303-2017-Rev-0/PCN-DI-303-2017.pdf/</t>
  </si>
  <si>
    <t>PL Series Product Obsolescence</t>
  </si>
  <si>
    <t>PL*</t>
  </si>
  <si>
    <t xml:space="preserve"> The PL series has limited sales and new technology has replaced these types
</t>
  </si>
  <si>
    <t>PCN-DI-304-2017</t>
  </si>
  <si>
    <t>https://www.vishay.com/quality/pcn-doc/PCN-DI-304-2017-Rev-0/PCN-DI-304-2017.pdf/</t>
  </si>
  <si>
    <t>PT Series Product Obsolescence</t>
  </si>
  <si>
    <t>PT*</t>
  </si>
  <si>
    <t xml:space="preserve"> The PT series has limited sales and new technology has replaced these types
</t>
  </si>
  <si>
    <t>PCN-DI-305-2017</t>
  </si>
  <si>
    <t>https://www.vishay.com/quality/pcn-doc/PCN-DI-305-2017-Rev-0/PCN-DI-305-2017.pdf/</t>
  </si>
  <si>
    <t>TA Series Product Obsolescence</t>
  </si>
  <si>
    <t>TA10BX01_x000D_
TA10BX01_x000D_
TA10BX01_x000D_
TA10BX01_x000D_
TA10BX04_x000D_
TA10BX04_x000D_
TA10BX04_x000D_
TA10BX04_x000D_
TA10BX04_x000D_
TA10BX04_x000D_
TA10BX05_x000D_
TA10BX05_x000D_
TA10BX05_x000D_
TA10BX05_x000D_
TA10BX06_x000D_
TA10BX06_x000D_
TA10BX06_x000D_
TA10BX06_x000D_
TA10BX06_x000D_
TA10BX06_x000D_
TA10BX07_x000D_
TA10BX07_x000D_
TA10BX07_x000D_
TA10BX07_x000D_
TA10BX07_x000D_
TA10BX07_x000D_
TA10BX08_x000D_
TA10BX08_x000D_
TA10BX08_x000D_
TA10BX08_x000D_
TA10BX08_x000D_
TA10BX08_x000D_
TA10BX08_x000D_
TA10BX08_x000D_
TA10BX08_x000D_
TA10BX7FR_x000D_
TA10BX7FR_x000D_
TA10BX7FR_x000D_
TA10BX7FR_x000D_
TA10EB01_x000D_
TA10EB01_x000D_
TA10EB01_x000D_
TA10EB01_x000D_
TA10EB01_x000D_
TA10EB01_x000D_
TA10EB04_x000D_
TA10EB04_x000D_
TA10EB04_x000D_
TA10EB04_x000D_
TA10EB05_x000D_
TA10EB05_x000D_
TA10EB05_x000D_
TA10EB05_x000D_
TA10EB05_x000D_
TA10EB05_x000D_
TA10EB07_x000D_
TA10EB07_x000D_
TA10EB07_x000D_
TA10EB07_x000D_
TA10EB08_x000D_
TA10EB08_x000D_
TA10EB08_x000D_
TA10EB08_x000D_
TA10EB08_x000D_
TA10EB08_x000D_
TA10NK07_x000D_
TA10NK07_x000D_
TA10NK07_x000D_
TA10NK07_x000D_
TA11BX01_x000D_
TA11BX01_x000D_
TA11BX01_x000D_
TA11BX01_x000D_
TA11BX01_x000D_
TA11BX01_x000D_
TA13EB01_x000D_
TA13EB01_x000D_
TA13EB01_x000D_
TA13EB01_x000D_
TA13EB01_x000D_
TA13EB01_x000D_
TA30BX01_x000D_
TA30BX01_x000D_
TA30BX01_x000D_
TA30BX01_x000D_
TA30BX02_x000D_
TA30BX02_x000D_
TA30BX02_x000D_
TA30BX02_x000D_
TA30BX03_x000D_
TA30BX03_x000D_
TA30BX03_x000D_
TA30BX03_x000D_
TA30BX04_x000D_
TA30BX04_x000D_
TA30BX04_x000D_
TA30BX04_x000D_
TA30BX05_x000D_
TA30BX05_x000D_
TA30BX05_x000D_
TA30BX05_x000D_
TA30BX06_x000D_
TA30BX06_x000D_
TA30BX06_x000D_
TA30BX06_x000D_
TA30EB04_x000D_
TA30EB04_x000D_
TA30EB04_x000D_
TA30EB04_x000D_
TA30EB04_x000D_
TA30EB04_x000D_
TA30SG05_x000D_
TA30SG05_x000D_
TA30SG05_x000D_
TA30SG05_x000D_
TA32BX03_x000D_
TA32BX03_x000D_
TA32BX03_x000D_
TA32BX03_x000D_
TA33BX02_x000D_
TA33BX02_x000D_
TA33BX02_x000D_
TA33BX02_x000D_
TA33BX02_x000D_
TA33BX02_x000D_
TA40BX01_x000D_
TA40BX01_x000D_
TA40BX01_x000D_
TA40BX01_x000D_
TA40BX01_x000D_
TA40BX01_x000D_
TA40BX01_x000D_
TA30BX02_x000D_
TA30BX03_x000D_
TA10EB05_x000D_
TA14EB01_x000D_
TA14EB01_x000D_
TA14EB01_x000D_
TA14EB01_x000D_
TA10BX01_x000D_
TA10BX01_x000D_
TA10BX01_x000D_
TA10BX05_x000D_
TA10BX05_x000D_
TA10BX05_x000D_
TA10EB07_x000D_
TA10EB07_x000D_
TA10EB07_x000D_
TA30BX06_x000D_
TA30BX06_x000D_
TA30BX06_x000D_
TA30EB04_x000D_
TA10EB08_x000D_
TA10EB04_x000D_
TA10EB01_x000D_
TA10BX08_x000D_
TA10EB04_x000D_
TA40BX01_x000D_
TA10BX06_x000D_
TA13EB01_x000D_
TA23BX01_x000D_
TA30BX04_x000D_
TA32BX03_x000D_
TA30BX04_x000D_
TA33BX02_x000D_
TA32BX03_x000D_
TA10BX07_x000D_
TA23BX01_x000D_
TA30BX04_x000D_
TA32BX03</t>
  </si>
  <si>
    <t xml:space="preserve"> The TA series has limited sales and new technology has replaced these types
</t>
  </si>
  <si>
    <t>PCN-DI-306-2017</t>
  </si>
  <si>
    <t>https://www.vishay.com/quality/pcn-doc/PCN-DI-306-2017-Rev-0/PCN-DI-306-2017.pdf/</t>
  </si>
  <si>
    <t>TC Series Product Obsolescence</t>
  </si>
  <si>
    <t>TC10BJ01B_x000D_
TC10BJ01B_x000D_
TC10BJ01B_x000D_
TC10BJ01B_x000D_
TC10BJ01B_x000D_
TC10BJ01B_x000D_
TC10BJ01B_x000D_
TC10BJ01B_x000D_
TC10BJ01B_x000D_
TC10BJ02B_x000D_
TC10BJ02B_x000D_
TC10BJ02B_x000D_
TC10BJ02B_x000D_
TC10BJ02B_x000D_
TC10BJ02B_x000D_
TC10BJ02B_x000D_
TC10BJ02B_x000D_
TC10BJ02B_x000D_
TC10BJ03B_x000D_
TC10BJ03B_x000D_
TC10BJ03B_x000D_
TC10BJ03B_x000D_
TC10BJ03B_x000D_
TC10BJ03B_x000D_
TC10BJ04B_x000D_
TC10BJ04B_x000D_
TC10BJ04B_x000D_
TC10BJ04B_x000D_
TC10BJ04B_x000D_
TC10BJ07B_x000D_
TC10BJ07B_x000D_
TC10BJ07B_x000D_
TC10BJ07B_x000D_
TC10BJ07B_x000D_
TC10BJ08_x000D_
TC10BJ08_x000D_
TC10BJ08_x000D_
TC10BJ08_x000D_
TC10BJ08_x000D_
TC10BJ08B_x000D_
TC10BJ08B_x000D_
TC10BJ08B_x000D_
TC10BJ08B_x000D_
TC10BJ08B_x000D_
TC10BJ09B_x000D_
TC10BJ09B_x000D_
TC10BJ09B_x000D_
TC10BJ09B_x000D_
TC10BJ09B_x000D_
TC10BJ09B_x000D_
TC10BJ09B_x000D_
TC10BJ09B_x000D_
TC10BJ09B_x000D_
TC10BJ10B_x000D_
TC10BJ10B_x000D_
TC10BJ10B_x000D_
TC10BJ10B_x000D_
TC10BJ10B_x000D_
TC10BJ10B_x000D_
TC10BJ10B_x000D_
TC10BJ11B_x000D_
TC10BJ11B_x000D_
TC10BJ11B_x000D_
TC10BJ11B_x000D_
TC10BJ11B_x000D_
TC10BJ12B_x000D_
TC10BJ12B_x000D_
TC10BJ12B_x000D_
TC10BJ12B_x000D_
TC10BJ12B_x000D_
TC10EB02B_x000D_
TC10EB02B_x000D_
TC10EB02B_x000D_
TC10EB02B_x000D_
TC10EB02B_x000D_
TC10EB02B_x000D_
TC10EB02B_x000D_
TC10EB04B_x000D_
TC10EB04B_x000D_
TC10EB04B_x000D_
TC10EB04B_x000D_
TC10EB04B_x000D_
TC10EB04B_x000D_
TC10EB04B_x000D_
TC10EB04B_x000D_
TC10EB04B_x000D_
TC10EB07B_x000D_
TC10EB07B_x000D_
TC10EB07B_x000D_
TC10EB07B_x000D_
TC10EB07B_x000D_
TC10EB07B_x000D_
TC10EB07B_x000D_
TC10EB07B_x000D_
TC10EB07B_x000D_
TC10SG11B_x000D_
TC10SG11B_x000D_
TC10SG11B_x000D_
TC10SG11B_x000D_
TC10SG11B_x000D_
TC10SL04B_x000D_
TC10SL04B_x000D_
TC10SL04B_x000D_
TC10SL04B_x000D_
TC10SL04B_x000D_
TC10EB02B_x000D_
TC10EB02B_x000D_
TC10EB02B_x000D_
TC10BJ04B_x000D_
TC10BJ04B</t>
  </si>
  <si>
    <t xml:space="preserve"> The TC series has limited sales and new technology has replaced these types
</t>
  </si>
  <si>
    <t>PCN-DI-307-2017</t>
  </si>
  <si>
    <t>https://www.vishay.com/quality/pcn-doc/PCN-DI-307-2017-Rev-0/PCN-DI-307-2017.pdf/</t>
  </si>
  <si>
    <t>TD Series Product Obsolescence</t>
  </si>
  <si>
    <t>TD*</t>
  </si>
  <si>
    <t xml:space="preserve"> The TD series has limited sales and new technology has replaced these types
</t>
  </si>
  <si>
    <t>PCN-DI-308-2017</t>
  </si>
  <si>
    <t>https://www.vishay.com/quality/pcn-doc/PCN-DI-308-2017-Rev-0/PCN-DI-308-2017.pdf/</t>
  </si>
  <si>
    <t>TE Series Product Obsolescence</t>
  </si>
  <si>
    <t>TE*</t>
  </si>
  <si>
    <t xml:space="preserve"> The TE series has limited sales and new technology has replaced these types
</t>
  </si>
  <si>
    <t>PCN-DI-313-2017</t>
  </si>
  <si>
    <t>https://www.vishay.com/quality/pcn-doc/PCN-DI-313-2017-Rev-0/PCN-DI-313-2017.pdf/</t>
  </si>
  <si>
    <t>IRF-1 and IRF-3 Series Product Obsolescence</t>
  </si>
  <si>
    <t>IRF01* IRF03*</t>
  </si>
  <si>
    <t xml:space="preserve"> The IRF-1 and IRF-3 series have limited sales and new technology has
</t>
  </si>
  <si>
    <t>PCN-DI-314-2017</t>
  </si>
  <si>
    <t>https://www.vishay.com/quality/pcn-doc/PCN-DI-314-2017-Rev-0/PCN-DI-314-2017.pdf/</t>
  </si>
  <si>
    <t>IR-2 and IR-4 Series Product Obsolescence</t>
  </si>
  <si>
    <t>IR02* IR04*</t>
  </si>
  <si>
    <t xml:space="preserve"> The IR-2 and IR-4 series have limited sales and new technology has replaced
</t>
  </si>
  <si>
    <t>PCN-DI-315-2017</t>
  </si>
  <si>
    <t>https://www.vishay.com/quality/pcn-doc/PCN-DI-315-2017-Rev-0/PCN-DI-315-2017.pdf/</t>
  </si>
  <si>
    <t>IM Series Product Obsolescence</t>
  </si>
  <si>
    <t>IM01* IM02* IM04* IM06* IM08* IM09* IM10* IM12*</t>
  </si>
  <si>
    <t xml:space="preserve"> The IM series have limited sales and new technology has replaced these
</t>
  </si>
  <si>
    <t>PCN-DI-316-2017</t>
  </si>
  <si>
    <t>https://www.vishay.com/quality/pcn-doc/PCN-DI-316-2017-Rev-0/PCN-DI-316-2017.pdf/</t>
  </si>
  <si>
    <t>IMS Series Product Obsolescence</t>
  </si>
  <si>
    <t>IMS02* IMS05*</t>
  </si>
  <si>
    <t xml:space="preserve"> The IMS series have limited sales and new technology has replaced these
</t>
  </si>
  <si>
    <t>PCN-DI-317-2017</t>
  </si>
  <si>
    <t>https://www.vishay.com/quality/pcn-doc/PCN-DI-317-2017-Rev-0/PCN-DI-317-2017.pdf/</t>
  </si>
  <si>
    <t>MS Series Product Obsolescence</t>
  </si>
  <si>
    <t>MS21426* MS75083* MS75084* MS75085*_x000D_
MS18130* MS14046* MS90538* MS75101* MS75087*_x000D_
MS75088*</t>
  </si>
  <si>
    <t xml:space="preserve"> The MS series have limited sales and new technology has replaced these
</t>
  </si>
  <si>
    <t>PCN-DI-318-2017</t>
  </si>
  <si>
    <t>https://www.vishay.com/quality/pcn-doc/PCN-DI-318-2017-Rev-0/PCN-DI-318-2017.pdf/</t>
  </si>
  <si>
    <t>PC Series Product Obsolescence</t>
  </si>
  <si>
    <t>PC9BS3R9K_x000D_
PC9EB100K_x000D_
PC9EB120K_x000D_
PC9EB121K_x000D_
PC9EB151K_x000D_
PC9EB1R0K_x000D_
PC9EB220K_x000D_
PC9EB270K_x000D_
PC9EB2R2K_x000D_
PC9EB3R9K_x000D_
PC9EB4R7K_x000D_
PC9EB560K_x000D_
PC9EB5R6K_x000D_
PC9EB681K_x000D_
PC9EB820K_x000D_
PC9EBR10K_x000D_
PC9EBR22K_x000D_
PC9FJ100K_x000D_
PC9FJ101K_x000D_
PC9FJ102J_x000D_
PC9FJ102K_x000D_
PC9FJ103K_x000D_
PC9FJ104K_x000D_
PC9FJ120J01_x000D_
PC9FJ120K_x000D_
PC9FJ122K_x000D_
PC9FJ150K_x000D_
PC9FJ151J_x000D_
PC9FJ151J01_x000D_
PC9FJ151K_x000D_
PC9FJ152K_x000D_
PC9FJ180K_x000D_
PC9FJ181K_x000D_
PC9FJ182K_x000D_
PC9FJ1R0K_x000D_
PC9FJ1R2K_x000D_
PC9FJ1R5K_x000D_
PC9FJ220K_x000D_
PC9FJ221K_x000D_
PC9FJ222K_x000D_
PC9FJ270J01_x000D_
PC9FJ2R2K_x000D_
PC9FJ2R7K_x000D_
PC9FJ330K_x000D_
PC9FJ331J_x000D_
PC9FJ331K_x000D_
PC9FJ332K_x000D_
PC9FJ333K_x000D_
PC9FJ391K_x000D_
PC9FJ392K_x000D_
PC9FJ3R3K_x000D_
PC9FJ3R9J_x000D_
PC9FJ3R9J01_x000D_
PC9FJ3R9K_x000D_
PC9FJ3R9K02_x000D_
PC9FJ470K_x000D_
PC9FJ471K_x000D_
PC9FJ472K_x000D_
PC9FJ473K_x000D_
PC9FJ4R7K_x000D_
PC9FJ560K_x000D_
PC9FJ561K_x000D_
PC9FJ563K_x000D_
PC9FJ5R6J_x000D_
PC9FJ5R6J01_x000D_
PC9FJ5R6K_x000D_
PC9FJ681K_x000D_
PC9FJ682K_x000D_
PC9FJ6R8K_x000D_
PC9FJ820K_x000D_
PC9FJ821K_x000D_
PC9FJ821K01_x000D_
PC9FJ822K_x000D_
PC9FJ8R2K_x000D_
PC9FJR10K_x000D_
PC9FJR15K_x000D_
PC9FJR18K_x000D_
PC9FJR22J_x000D_
PC9FJR22J01_x000D_
PC9FJR22K_x000D_
PC9FJR33K_x000D_
PC9FJR47K_x000D_
PC9FJR56J_x000D_
PC9FJR68K_x000D_
PC9FJR82K</t>
  </si>
  <si>
    <t xml:space="preserve"> The PC series has limited sales and new technology has replaced these types
</t>
  </si>
  <si>
    <t>PCN-DI-319-2017</t>
  </si>
  <si>
    <t>https://www.vishay.com/quality/pcn-doc/PCN-DI-319-2017-Rev-0/PCN-DI-319-2017.pdf/</t>
  </si>
  <si>
    <t>VIV Series Product Obsolescence</t>
  </si>
  <si>
    <t>VIVEB1R0M_x000D_
VIVFJ100M_x000D_
VIVFJ150M_x000D_
VIVFJ151M_x000D_
VIVFJ1R0M_x000D_
VIVFJ220M_x000D_
VIVFJ221M_x000D_
VIVFJ222K_x000D_
VIVFJ222M_x000D_
VIVFJ2R2M_x000D_
VIVFJ330M_x000D_
VIVFJ331M_x000D_
VIVFJ3R3M_x000D_
VIVFJ470M_x000D_
VIVFJ472K_x000D_
VIVFJ472M_x000D_
VIVFJ681K_x000D_
VIVFJ6R8M_x000D_
VIVFJR10K_x000D_
VIVFJR22L_x000D_
VIVFJR33M_x000D_
VIVFJR47M_x000D_
VIVSG1R5M</t>
  </si>
  <si>
    <t xml:space="preserve"> The VIV series has limited sales and new technology has replaced these
</t>
  </si>
  <si>
    <t>PCN-DI-320-2017</t>
  </si>
  <si>
    <t>https://www.vishay.com/quality/pcn-doc/PCN-DI-320-2017-Rev-0/PCN-DI-320-2017.pdf/</t>
  </si>
  <si>
    <t>WVL and WVLM Series Product Obsolescence</t>
  </si>
  <si>
    <t>WVL9BS1R0J_x000D_
WVL9EB101K_x000D_
WVL9EB102J_x000D_
WVL9EB120K_x000D_
WVL9EB121K_x000D_
WVL9EB180K_x000D_
WVL9EB181K_x000D_
WVL9EB1R0J_x000D_
WVL9EB1R2K_x000D_
WVL9EB1R5K_x000D_
WVL9EB1R8K_x000D_
WVL9EB270K_x000D_
WVL9EB270KH_x000D_
WVL9EB271K_x000D_
WVL9EB2R2K_x000D_
WVL9EB2R7K_x000D_
WVL9EB330K_x000D_
WVL9EB390K_x000D_
WVL9EB391K_x000D_
WVL9EB3R3K_x000D_
WVL9EB3R9K_x000D_
WVL9EB470K_x000D_
WVL9EB4R7K_x000D_
WVL9EB560K_x000D_
WVL9EB561K_x000D_
WVL9EB5R6K_x000D_
WVL9EB680K_x000D_
WVL9EB6R8K_x000D_
WVL9EB8R2K_x000D_
WVL9EBR10J_x000D_
WVL9EBR22J_x000D_
WVL9EBR39JH_x000D_
WVL9EBR47J_x000D_
WVL9EBR47JH_x000D_
WVL9EBR56J_x000D_
WVL9EBR56JH_x000D_
WVL9EBR68J_x000D_
WVL9EBR68JH_x000D_
WVL9EBR82K_x000D_
WVL9FJ100K_x000D_
WVL9FJ101K_x000D_
WVL9FJ102K_x000D_
WVL9FJ103K_x000D_
WVL9FJ104K_x000D_
WVL9FJ120K_x000D_
WVL9FJ121K_x000D_
WVL9FJ122K_x000D_
WVL9FJ123K_x000D_
WVL9FJ150K_x000D_
WVL9FJ151K_x000D_
WVL9FJ152K_x000D_
WVL9FJ153K_x000D_
WVL9FJ180K_x000D_
WVL9FJ181K_x000D_
WVL9FJ182K_x000D_
WVL9FJ1R0J_x000D_
WVL9FJ1R0K_x000D_
WVL9FJ1R2K_x000D_
WVL9FJ1R5J_x000D_
WVL9FJ1R5K_x000D_
WVL9FJ1R8K_x000D_
WVL9FJ220K_x000D_
WVL9FJ221K_x000D_
WVL9FJ222K_x000D_
WVL9FJ223K_x000D_
WVL9FJ270K_x000D_
WVL9FJ271K_x000D_
WVL9FJ272K_x000D_
WVL9FJ2R2K_x000D_
WVL9FJ2R7K_x000D_
WVL9FJ2R7KH_x000D_
WVL9FJ330K_x000D_
WVL9FJ331K_x000D_
WVL9FJ332K_x000D_
WVL9FJ333K_x000D_
WVL9FJ390K_x000D_
WVL9FJ390KH_x000D_
WVL9FJ391K_x000D_
WVL9FJ392K_x000D_
WVL9FJ3R3K_x000D_
WVL9FJ3R9K_x000D_
WVL9FJ470K_x000D_
WVL9FJ470KH_x000D_
WVL9FJ471K_x000D_
WVL9FJ472K_x000D_
WVL9FJ473K_x000D_
WVL9FJ4R7K_x000D_
WVL9FJ560K_x000D_
WVL9FJ560K01_x000D_
WVL9FJ561K_x000D_
WVL9FJ562K_x000D_
WVL9FJ5R6K_x000D_
WVL9FJ680K_x000D_
WVL9FJ681K_x000D_
WVL9FJ682K_x000D_
WVL9FJ683K_x000D_
WVL9FJ6R8K_x000D_
WVL9FJ820K_x000D_
WVL9FJ821K_x000D_
WVL9FJ822K_x000D_
WVL9FJ823K_x000D_
WVL9FJ8R2K_x000D_
WVL9FJR10J_x000D_
WVL9FJR10K_x000D_
WVL9FJR12J_x000D_
WVL9FJR15J_x000D_
WVL9FJR18J_x000D_
WVL9FJR22J_x000D_
WVL9FJR22JH_x000D_
WVL9FJR27J_x000D_
WVL9FJR33J_x000D_
WVL9FJR47J_x000D_
WVL9FJR47JH_x000D_
WVL9FJR56J_x000D_
WVL9FJR68J_x000D_
WVL9FJR82J_x000D_
WVL9FK120K_x000D_
WVL9FK220K_x000D_
WVL9MA333K_x000D_
WVLM_x000D_
WVLM9FJ102JH_x000D_
WVLM9FJ103K_x000D_
WVLM9FJ120K_x000D_
WVLM9FJ121KH_x000D_
WVLM9FJ123K_x000D_
WVLM9FJ1R2K_x000D_
WVLM9FJ1R8K_x000D_
WVLM9FJ220K_x000D_
WVLM9FJ222K_x000D_
WVLM9FJ223K_x000D_
WVLM9FJ270K04_x000D_
WVLM9FJ392K_x000D_
WVLM9FJ3R3K_x000D_
WVLM9FJ8R2K_x000D_
WVLM9FJ8R2K05_x000D_
WVLM9FJR12J_x000D_
WVLM9FJR12J05_x000D_
WVLM9FJR22J_x000D_
WVLM9FJR27J_x000D_
WVLM9FJR47J_x000D_
WVLM9FJR82J_x000D_
WVLMH9FJ102J_x000D_
WVLMH9MA1R5K</t>
  </si>
  <si>
    <t xml:space="preserve"> The WVL and WVLM series has limited sales and new technology has
</t>
  </si>
  <si>
    <t>PCN-DI-321-2017</t>
  </si>
  <si>
    <t>https://www.vishay.com/quality/pcn-doc/PCN-DI-321-2017-Rev-0/PCN-DI-321-2017.pdf/</t>
  </si>
  <si>
    <t>IFLP Series Product Obsolescence</t>
  </si>
  <si>
    <t>IFLP4040DZEBR34M01 IFLP4040DZEBR42M01 IFLP4040DZEBR50M01 IFLP4040DZEBR62M01_x000D_
IFLP4040DZERR34M01 IFLP4040DZERR42M01 IFLP4040DZERR42M03 IFLP4040DZERR50M01_x000D_
IFLP4040DZERR62M01 IFLP4040DZERR62M03</t>
  </si>
  <si>
    <t xml:space="preserve"> The IFLP series has limited sales.
</t>
  </si>
  <si>
    <t>PCN-DI-322-2017</t>
  </si>
  <si>
    <t>https://www.vishay.com/quality/pcn-doc/PCN-DI-322-2017-Rev-0/PCN-DI-322-2017.pdf/</t>
  </si>
  <si>
    <t>ITCR Series Product Obsolescence</t>
  </si>
  <si>
    <t>ITCR4040CEERR47MR5 ITCR4040EEERR36MR5 ITCR4040EEERR47MR5</t>
  </si>
  <si>
    <t xml:space="preserve"> The ITCR series has limited sales.
</t>
  </si>
  <si>
    <t>PCN-DI-344-2017</t>
  </si>
  <si>
    <t>https://www.vishay.com/quality/pcn-doc/PCN-DI-344-2017-Rev-0/PCN-DI-344-2017.pdf/</t>
  </si>
  <si>
    <t>ILC-0805 Product Obsolescence</t>
  </si>
  <si>
    <t>ILC0805ER10NJ ILC0805ER10NK ILC0805ER12NJ ILC0805ER12NK ILC0805ER15NJ_x000D_
ILC0805ER18NJ ILC0805ER18NK ILC0805ER1N5S ILC0805ER1N8S ILC0805ER22NJ_x000D_
ILC0805ER22NK ILC0805ER27NJ ILC0805ER27NK ILC0805ER2N2S ILC0805ER2N7S_x000D_
ILC0805ER33NJ ILC0805ER33NK ILC0805ER39NJ ILC0805ER3N3S ILC0805ER3N9S_x000D_
ILC0805ER47NJ ILC0805ER47NK ILC0805ER4N7S ILC0805ER56NJ ILC0805ER5N6S_x000D_
ILC0805ER68NJ ILC0805ER6N8K ILC0805ER82NJ ILC0805ER8N2J ILC0805ERR10J_x000D_
ILC0805ERR12J ILC0805ERR15J ILC0805ERR18J ILC0805ERR18K ILC0805ERR22J_x000D_
ILC0805ERR22K ILC0805ERR27J ILC0805ERR27K ILC0805ERR47J</t>
  </si>
  <si>
    <t xml:space="preserve"> This part has limited activity and is no longer available for Vishay to offer
</t>
  </si>
  <si>
    <t>PCN-DR-001-2012</t>
  </si>
  <si>
    <t>https://www.vishay.com/quality/pcn-doc/PCN-DR-001-2012-Rev-0/PCN-DR-001-2012..pdf/</t>
  </si>
  <si>
    <t>Optoelectronics</t>
  </si>
  <si>
    <t>Selected Plasma Display Discontinuation</t>
  </si>
  <si>
    <t>PD128G03203S51, PD013D02502S51, PD008D02517S51, PD016A04000G02, PD009D06401G02, PD002A10001S51, PD128G03202S51, PD120B01301S51, PD013D02501S51, PD171B08201S51, PD008D02303S51, PD128G01601G02, PD004A20002S51, PD016A05003S51, PD010A10001S51,</t>
  </si>
  <si>
    <t xml:space="preserve"> Technology and Raw Material Obsolescence
</t>
  </si>
  <si>
    <t>PCN-DR-001-2013</t>
  </si>
  <si>
    <t>Discontinuation of Vishay Dale FP, FP..P and C6 Series Resistors</t>
  </si>
  <si>
    <t>FP01/2* FP0001* FP0032* FP0002* FP0042* FP0003* FP0004* FP0005* FP0007* FP0010* FP0067* FP0069* FP1/2P* FP001P* FP002P* FP003P* FP069P* C00006*</t>
  </si>
  <si>
    <t xml:space="preserve"> Raw Material Obsolescence of the Glass Cane that was used to manufacture
</t>
  </si>
  <si>
    <t>PCN-DR-002-2012</t>
  </si>
  <si>
    <t>https://www.vishay.com/quality/pcn-doc/PCN-DR-002-2012-Rev-0/PCN-DR-002-2012%20Rev%200.pdf/</t>
  </si>
  <si>
    <t>Selected Plasma Display Module Discontinuation</t>
  </si>
  <si>
    <t>APD-192G088-6</t>
  </si>
  <si>
    <t>PCN-DR-003-2013</t>
  </si>
  <si>
    <t>https://www.vishay.com/quality/pcn-doc/PCN-DR-003-2013-Rev-0/PCN-DR-003-2013%20Rev%200.pdf/</t>
  </si>
  <si>
    <t>APD-480M021 APD-480M021-1 APD-480M021-7 APD-480M021-8.</t>
  </si>
  <si>
    <t>PCN-DR-004-2011</t>
  </si>
  <si>
    <t>https://www.vishay.com/quality/pcn-doc/PCN-DR-004-2011-Rev-0/pcb[1].pdf/</t>
  </si>
  <si>
    <t>Vishay Bar Graph Discontinuation</t>
  </si>
  <si>
    <t>PBG-12201, PBG-12201-1, PBG-12201-3, PBG-12201-6, PBG-12201-7, PBG-12201-9, PBG-12203, PBG-12205, PBG-12205-1, PBG-12205-10, PBG-12205-4, PBG-12205-5, PBG-12205-6, PBG-12205-7, PBG-12205-9, PBG-16101, PBG-16101-1, PBG-C7005, PBG-C7005-1, PBG-C7008, PBG-C7008-1, PBG-C7009, PBG-C7009-2.   This also affects the ABG-12205, ABG-C7005, and ABG-C7005-1 modules.</t>
  </si>
  <si>
    <t>https://www.vishay.com/quality/pcn-doc/PCN-DR-004-2011/PCN-DR-004%20Rev%202%20Bar%20Graph.pdf/</t>
  </si>
  <si>
    <t>PBG-12201, PBG-12201-1, PBG-12201-3, PBG-12201-6, PBG-12201-7, PBG-12201-9, PBG-12203, PBG-12205, PBG-12205-1, PBG-12205-10, PBG-12205-4, PBG-12205-5, PBG-12205-6, PBG-12205-7, PBG-12205-9, PBG-16101, PBG-16101-1, PBG-C7005, PBG-C7005-1, PBG-C7008, PBG-C7008-1, PBG-C7009, PBG-C7009-2.   This also affects the ABG-12205, ABG-C7005, and ABG-C7005-1 modules</t>
  </si>
  <si>
    <t>https://www.vishay.com/quality/pcn-doc/PCN-DR-004-2011-Rev-01/Bar%20Graph%20DataSheets.pdf/</t>
  </si>
  <si>
    <t>PCN-DR-004-2013</t>
  </si>
  <si>
    <t>https://www.vishay.com/quality/pcn-doc/PCN-DR-004-2013-Rev-0/PCN-DR-004-2013%20Rev%200.pdf/</t>
  </si>
  <si>
    <t>APD-240G120A APD-240G120A-3 APD-240G120A-5</t>
  </si>
  <si>
    <t>PCN-DR-004-2014</t>
  </si>
  <si>
    <t>Termination of CCFL Inverters</t>
  </si>
  <si>
    <t>281695-09, 281695-10, 281695-11, 281695-12, _x000D_
281695-13 281695-14 281695-15 281695-16 281695-17 _x000D_
281695-18 281695-19</t>
  </si>
  <si>
    <t>PCN-DR-005-2011</t>
  </si>
  <si>
    <t>https://www.vishay.com/quality/pcn-doc/PCN-DR-005-2011-Rev-0/PCN-DR-005-2011%20Rev%200.pdf/</t>
  </si>
  <si>
    <t>APD-64M033-2, APD-192G096, APD-240M026A-1, APD-32A025,APD-192G096A-1, APD-256G064-1, APD-240M021-3, APD-192G088-5, APD-256M026-1, APD-480M021-2, APD-128G064C, APD-128G064C-3, APD-240M021, APD-016M040-2, APD-128G064C-2 APD-480M021-3, APD-240M026A-10, APD-240M026A-6, APD-480M021</t>
  </si>
  <si>
    <t>PCN-DR-008-2016</t>
  </si>
  <si>
    <t>Product Termination of CRCA series R/C Arrays and</t>
  </si>
  <si>
    <t>All part numbers starting with CRCA* and CRCC*.</t>
  </si>
  <si>
    <t xml:space="preserve">Market for the CRCA and CRCC products have become too small to continue
</t>
  </si>
  <si>
    <t>PCN-DR-010-2015</t>
  </si>
  <si>
    <t>Vishay Dale Wirewound, Resistor Obsolescence</t>
  </si>
  <si>
    <t>HL NHL HLT HLA HLM NHLM HLW NHLW HLZ BRACKET</t>
  </si>
  <si>
    <t>Dale and Huntington have similar tubular wirewound product offering – this consolidation allows for commonizing raw materials and marketing just one brand name for the each wattage type.</t>
  </si>
  <si>
    <t>PCN-DR-011-2016</t>
  </si>
  <si>
    <t>Product Termination of RS1/8 (RS-1/8)</t>
  </si>
  <si>
    <t>All part numbers starting with RS1/8 or historical part number RS-1/8.</t>
  </si>
  <si>
    <t xml:space="preserve">Market for the RS1/8 has become too small to continue production.
</t>
  </si>
  <si>
    <t>PCN-DR-013-2015</t>
  </si>
  <si>
    <t>WSC0001 / WSN0001  Product Obsolescence</t>
  </si>
  <si>
    <t>WSC0001 WSN0001</t>
  </si>
  <si>
    <t xml:space="preserve">The WSC0001 / WSN0001 is the original design of the 1W surface mount
wirewound product; refer to page 5 of Conversion guide (link above). The WSC2515 / WSN2515
is an improvement in product and manufacturing design that provides for a more reliable
assembly with reduced failure modes. Due to consolidation of floor space and manufacturing
locations – the WSC0001/WSN0001 manufacturing equipment is being eliminated. 
</t>
  </si>
  <si>
    <t>PCN-DR-015-2016</t>
  </si>
  <si>
    <t>Select OLED Display Termination Notice</t>
  </si>
  <si>
    <t>O096Y064ABPP3N0000 O096Y064ALPP3N0000 O096Y064AWPP3N0000 O096Y064BBPP3N0000 O096Y064BGPP3N0000 O096Y064BLPP3N0000_x000D_
O128Y032AGPP3N0000 O128Y032ALPP3N0000 O128Y032AWPP3N0000 O128Y064CBPP3N0000 O128Y064CGPP3N0000 O128Y064CLPP3N0000_x000D_
O128Y064CRPP3N0000 O128Y064DBPP3N0000 O128Y064DGPP3N0000 O128Y064DLPP3N0000 O128Y064DWPP3N0000 O128Y064EBPP3N0000_x000D_
O128Y064EGPP3N0000 O128Y064ELPP3N0000 O128Y064ERPP3N0000 O128Y064EWPP3N0000 O128Y064FBPP3N0000 O128Y064FGPP3N0000_x000D_
O128Y064FLPP3N0000 O128Y064FLPP3T0000 O128Y064FRPP3N0000 O128Y064FWPP3N0000 O128Y064LBPP3N0000 O128Y064LGPP3N0000_x000D_
O128Y064LLPP3N0000 O128Y064LLPP3T0000 O128Y064LWPP3N0000 O128Y064LWPP3T0000 O128Y064QGPP3N0000 O128Y064QLPP3N0000_x000D_
O128Y064QLPP3N000A O128Y064QLPP3T0000 O128Y064QWPP3N0000 O132Y032ALPP3N0000 O132Y032BLPP3N0000</t>
  </si>
  <si>
    <t>NotAvailab</t>
  </si>
  <si>
    <t>The video controllers used for the below affected OLED displays with TAB construction are no longer available due to material supply termination.</t>
  </si>
  <si>
    <t>PCN-DR-016-2015</t>
  </si>
  <si>
    <t>Discontinuation of Vishay Dale CRCA and CRCC product with Y5U capacitors</t>
  </si>
  <si>
    <t>CRCA with capacitor values above 270pF  CRCC with capacitor values above 270pF</t>
  </si>
  <si>
    <t>Non trouvé</t>
  </si>
  <si>
    <t>PCN-DR-017-2015</t>
  </si>
  <si>
    <t>Product Termination of HVW and HVX series -1 and</t>
  </si>
  <si>
    <t>HVW001* HVW002* HVX001* HVX002*</t>
  </si>
  <si>
    <t xml:space="preserve">Market for the HVW and HVX series’ -1 and -2 sizes have become too small to
</t>
  </si>
  <si>
    <t>PCN-DR-017-2016</t>
  </si>
  <si>
    <t>Product Termination of Noise Suppressor Resistors (NSR, NSRHP) with Press-Fit End Caps</t>
  </si>
  <si>
    <t>For NSR, Special codes 000000 and 0000V0 is being terminated. For NSRHP, Construction Type P is being terminated.</t>
  </si>
  <si>
    <t xml:space="preserve"> Vishay is standardizing on a single terminal construction to improve
</t>
  </si>
  <si>
    <t>https://www.vishay.com/quality/pcn-doc/PCN-DR-017-2016-Rev-1/PTN-DR-017-2016%20Rev%201.pdf/</t>
  </si>
  <si>
    <t>Product Termination of Noise Suppressor Resistors</t>
  </si>
  <si>
    <t>For NSR, Special codes 000000 and 0000V0 is_x000D_
being terminated. For NSRHP, Construction Type P is being terminated.</t>
  </si>
  <si>
    <t>PCN-DR-018-2015</t>
  </si>
  <si>
    <t>Product Termination of CP002M (CP-2M)</t>
  </si>
  <si>
    <t>CP002M CP-2M</t>
  </si>
  <si>
    <t xml:space="preserve">Market for the CP002M has become too small to continue production.
</t>
  </si>
  <si>
    <t>PCN-DR-019-2015</t>
  </si>
  <si>
    <t>Vishay Huntington MTL Axial Lead Wirewound Resistor Obsolescence</t>
  </si>
  <si>
    <t>MTL</t>
  </si>
  <si>
    <t xml:space="preserve">The Huntington MTL and Dale LVR are very similar – this consolidation allows
</t>
  </si>
  <si>
    <t>PCN-DR-021-2015</t>
  </si>
  <si>
    <t>Product Termination of CP Quick Connect, CL, PCT Series</t>
  </si>
  <si>
    <t>CP Quick Connect  CL PCT</t>
  </si>
  <si>
    <t xml:space="preserve">Production volume for the CP Quick Connect, CL, and PCT has become too small to continue the manufacturing of these series. </t>
  </si>
  <si>
    <t>PCN-DR-022-2015</t>
  </si>
  <si>
    <t>Product Termination of PC, PCA, PCL, PCR, PCRC, PCRL, PCRM, PLV, MRL, MRW, MRWxR, MRWL</t>
  </si>
  <si>
    <t>PC PCA PCL PCR PCRC PCRL PCRM PLV MRL MRW MRWxR MRWL</t>
  </si>
  <si>
    <t xml:space="preserve">Due to the duplication of the Vishay Dale ceramic boated wirewound resistor and low sales volume, these Vishay Huntington and Vishay Mills series will be discontinued.
</t>
  </si>
  <si>
    <t>PCN-DR-028-2015</t>
  </si>
  <si>
    <t>WSH2818 Resistor Obsolescence</t>
  </si>
  <si>
    <t>WSH2818</t>
  </si>
  <si>
    <t>PCN-FC-001-2011</t>
  </si>
  <si>
    <t>https://www.vishay.com/quality/pcn-doc/PCN-FC-001-2011-Rev-0/PCN-FC-001-2011.pdf/</t>
  </si>
  <si>
    <t>EOL Horizontal trimmers (BFC28086xxxx &amp; BFC280905011)</t>
  </si>
  <si>
    <t>BFC280861159 BFC280861229 BFC280861409 BFC280861659 BFC280905011</t>
  </si>
  <si>
    <t xml:space="preserve">streamline of our portfolio
</t>
  </si>
  <si>
    <t>PCN-FC-002-2011</t>
  </si>
  <si>
    <t>https://www.vishay.com/quality/pcn-doc/PCN-FC-002-2011-Rev-0/PCN-FC-002-2011%20EOL%20MKT304.pdf/</t>
  </si>
  <si>
    <t>EOL for series MKT304</t>
  </si>
  <si>
    <t>MKT304</t>
  </si>
  <si>
    <t>Streamlining of our portfolio</t>
  </si>
  <si>
    <t>PCN-FC-002-2012</t>
  </si>
  <si>
    <t>https://www.vishay.com/quality/pcn-doc/PCN-FC-002-2012-Rev-0/PCN-FC-002-2012%20EOL%20F1710-305V.pdf/</t>
  </si>
  <si>
    <t>EOL of Series F1710-305V Y2</t>
  </si>
  <si>
    <t>F1710 310V Y2</t>
  </si>
  <si>
    <t xml:space="preserve"> Streamlining our portfolio.
</t>
  </si>
  <si>
    <t>PCN-FC-003-2010</t>
  </si>
  <si>
    <t>https://www.vishay.com/quality/pcn-doc/PCN-FC-003-2010-Rev-0/PCN-FC-003-2010%20EOL%20F1762%20F1764.pdf/</t>
  </si>
  <si>
    <t>EOL Series F1762 and F1764</t>
  </si>
  <si>
    <t>F1762_x000D_
F1764</t>
  </si>
  <si>
    <t>PCN-FC-003-2011</t>
  </si>
  <si>
    <t>https://www.vishay.com/quality/pcn-doc/PCN-FC-003-2011-Rev-0/PCN-FC-003-2011%20EOL%20KC_MKC_TYPES.pdf/</t>
  </si>
  <si>
    <t>EOL for Series KC1850, MKC1858, MKC1860 and MKC1862</t>
  </si>
  <si>
    <t>KC1850* MKC1858* MKC1860* MKC1862*</t>
  </si>
  <si>
    <t>PCN-FC-003-2012</t>
  </si>
  <si>
    <t>https://www.vishay.com/quality/pcn-doc/PCN-FC-003-2012-Rev-0/PCN-FC-003-2012%20EOL%20F1776.pdf/</t>
  </si>
  <si>
    <t>EOL of Series F1776</t>
  </si>
  <si>
    <t>F1776</t>
  </si>
  <si>
    <t>PCN-FC-003-2013</t>
  </si>
  <si>
    <t>https://www.vishay.com/quality/pcn-doc/PCN-FC-003-2013-Rev-0/PCN-FC-003-2013%20Rev%200.pdf/</t>
  </si>
  <si>
    <t>EOL of 347 series</t>
  </si>
  <si>
    <t>All part no starting with BFC2347 &amp; BFC5347</t>
  </si>
  <si>
    <t>31/04/2014</t>
  </si>
  <si>
    <t xml:space="preserve">Limited availability of Raw Material
</t>
  </si>
  <si>
    <t>PCN-FC-004-2012</t>
  </si>
  <si>
    <t>https://www.vishay.com/quality/pcn-doc/PCN-FC-004-2012-Rev-0/PCN-FC-004-2012%20EOL%20F1774.pdf/</t>
  </si>
  <si>
    <t>EOL of series F1774</t>
  </si>
  <si>
    <t>F1774</t>
  </si>
  <si>
    <t>PCN-FC-004-2014</t>
  </si>
  <si>
    <t>https://www.vishay.com/quality/pcn-doc/PCN-FC-004-2014-Rev-0/PCN-FC-004-2014%20EOL%20F1750%20Suppression%20Inductors.pdf/</t>
  </si>
  <si>
    <t>EOL of Series F1750, Suppression Inductors</t>
  </si>
  <si>
    <t>all part numbers like F1750-xxx-xxx or F1750*</t>
  </si>
  <si>
    <t xml:space="preserve"> Product Obsolescence
</t>
  </si>
  <si>
    <t>PCN-FC-005-2011</t>
  </si>
  <si>
    <t>https://www.vishay.com/quality/pcn-doc/PCN-FC-005-2011-Rev-0/PCN-FC-005-2011%20EOL%20F1790.pdf/</t>
  </si>
  <si>
    <t>EOL for Series F1790</t>
  </si>
  <si>
    <t>F1790 ... ....</t>
  </si>
  <si>
    <t>PCN-FC-006-2014</t>
  </si>
  <si>
    <t>https://www.vishay.com/quality/pcn-doc/PCN-FC-006-2014-Rev-0/PCN-FC-006-2014.pdf/</t>
  </si>
  <si>
    <t>EOL of Vishay Sprague Film Capacitors</t>
  </si>
  <si>
    <t>V-430P V-730P V-735P</t>
  </si>
  <si>
    <t>31/06/2015</t>
  </si>
  <si>
    <t xml:space="preserve">Supplier termination of resale agreement
</t>
  </si>
  <si>
    <t>PCN-FC-007-2012</t>
  </si>
  <si>
    <t>https://www.vishay.com/quality/pcn-doc/PCN-FC-007-2012-Rev-0/PCN-FC-007-2012%20EOL%20F1778pcm37%205.pdf/</t>
  </si>
  <si>
    <t>EOL of Series F1778, pcm=37,5mm</t>
  </si>
  <si>
    <t>F1778</t>
  </si>
  <si>
    <t>PCN-HPP-001-2011</t>
  </si>
  <si>
    <t>https://www.vishay.com/quality/pcn-doc/PCN-HPP-001-2010-Rev-01/PCN-HPP%20001-2010%20Rev0%20.pdf/</t>
  </si>
  <si>
    <t>Discontinuation of Part Number VS-GB75YF120U</t>
  </si>
  <si>
    <t>VS-GB75YF120U</t>
  </si>
  <si>
    <t>Introduction of a new part number (VS-GB75YF120UT) that has the same Bill of Material as VS-GB75YF120U with addition of a Thermistor with relevant connection pins.</t>
  </si>
  <si>
    <t>Discontinuation of Leaded Version of Semiconductor Rectifiers</t>
  </si>
  <si>
    <t>VS-110CNQ045A VS-110CNQ045ASL VS-110CNQ045ASM _x000D_
VS-111CNQ045A VS-111CNQ045ASL VS-111CNQ045ASM _x000D_
VS-112CNQ030A VS-112CNQ030ASL VS-112CNQ030ASM_x000D_
VS-113CNQ100A VS-113CNQ100ASL VS-113CNQ100ASM _x000D_
VS-115CNQ015A VS-115CNQ015ASL ......see the complete P/N's lits inside the PCN.</t>
  </si>
  <si>
    <t>PCN-HPP-002-2010</t>
  </si>
  <si>
    <t>https://www.vishay.com/quality/pcn-doc/PCN-HPP-002-2010-Rev-00/PCN-HPP%20002-2010%20Rev0%20.pdf/</t>
  </si>
  <si>
    <t>Discontinuation of D-67 Reverse and Isolated TO-244 Part Numbers</t>
  </si>
  <si>
    <t>VS-120NQ045R VS-121NQ045R VS-122NQ030R VS-123NQ080R VS-23NQ100R _x000D_
VS-125NQ015R VS-129NQ135R VS-183NQ100R VS-240NQ045R VS-241NQ045R_x000D_
VS-242NQ030R VS-243NQ100R VS-245NQ015R VS-249NQ150R VS-409DMQ135</t>
  </si>
  <si>
    <t>Obsolete Reverse D-67 and Isolated TO-244</t>
  </si>
  <si>
    <t>PCN-HPP-005-2011</t>
  </si>
  <si>
    <t>https://www.vishay.com/quality/pcn-doc/PCN-HPP-005-2011-Rev-00/HPP-005-2011%20rev0.pdf/</t>
  </si>
  <si>
    <t>VS-SDC270M08M, VS-SDD250M16M, VS-SDD270M04M, VS-VSKC250-08, VS-VSKC250-12, VS-VSKC250-16, VS-VSKCL240-04S10, VS-VSKCL240-06S10, VS-VSKCL240-10S10 ... see complete P/N list inside the PCN document</t>
  </si>
  <si>
    <t xml:space="preserve">Harmonization of Product Portfolio.
</t>
  </si>
  <si>
    <t>PCN-HPP-006-2010</t>
  </si>
  <si>
    <t>Discontinuation of Part Number S1342</t>
  </si>
  <si>
    <t xml:space="preserve">Single-Phase In Line Bridge Product Consolidation
</t>
  </si>
  <si>
    <t>PCN-HPP-007-2010</t>
  </si>
  <si>
    <t>10ETS08 10ETS10 10ETS12 20ETS08 20ETS12 10ETS08FP 12CTQ045_x000D_
10ETS12FP 12TQ035 20ETS08FP 12TQ040 20ETS12FP 12TQ045 40EPS08  15CTQ035 40EPS12 15CTQ040 40EPS16 15CTQ045 60EPS08 15TQ060_x000D_
60EPS12 ......see complete P/N's list inside the PCN document</t>
  </si>
  <si>
    <t>HP Schottkys, HP New Input Diodes and Thyristors, HP Hexfreds and HP Freds in TO-220, TO-220 Full Pack, TO-247, TO-218 and Super TO-247 packages have been converted to Termination Lead Free or Totally Lead Free version during year 2006 and new set of parts numbers have been released at that time to distinguish the new ones. The old part numbers become now obsolete and not anymore available</t>
  </si>
  <si>
    <t>PCN-HPP-007-2011</t>
  </si>
  <si>
    <t>VS-30HFU-100, VS-30HFU-200, VS-30HFU-200M, ... , VS-60HFU-100, VS-60HFU-200, VS-60HFU-200M, ... ,VS-GB10RF120K, VS-GB10RF60K, VS-GB10XF120K, VS-GB15RF120K, ... see complete P/N list inside the PCN document</t>
  </si>
  <si>
    <t xml:space="preserve">Product Portfolio Rationalization.
</t>
  </si>
  <si>
    <t>PCN-HPP-008-2010</t>
  </si>
  <si>
    <t>https://www.vishay.com/quality/pcn-doc/PCN-HPP-008-2010-Rev-00/PCN-HPP%20008-2010%20Rev0%20.pdf/</t>
  </si>
  <si>
    <t>Discontinuation of Part Numbers</t>
  </si>
  <si>
    <t>SHP101 SHP102W SHP103W SHP105W SHP135 SHP405KW SHP405W SHP435</t>
  </si>
  <si>
    <t xml:space="preserve">Obsolescence of Part Numbers with Old Nomenclature (beginning with “SHP”).
</t>
  </si>
  <si>
    <t>PCN-HPP-011-2009</t>
  </si>
  <si>
    <t>VS-20CJQ030 VS-20CJQ030PbF VS-20CJQ030TR VS-20CJQ030TRPbF VS-20CJQ045 VS-20CJQ045PbF VS-20CJQ045TR VS-20CJQ045TRPbF VS-20CJQ060 VS-20CJQ060PbF VS-20CJQ060TR VS-20CJQ060TRPbF VS-20CJQ100 VS-20CJQ100PbF VS-20CJQ100TR VS-20CJQ100TRPbF VS-BAT54APbF VS-BAT54AWPbF VS-BAT54CPbF VS-BAT54CWPbF VS-BAT54PbF VS-BAT54SPbF VS-BAT54SWPbF VS-BAT54WPbF VS-BAT54WSPbF VS-MBR0520PbF VS-MBR0530PbF VS-MBR0540PbF</t>
  </si>
  <si>
    <t>SOT-223, SOT-23A, SOT-323B, SOD-323, SOD-123A Schottky from HPP has low/no demand</t>
  </si>
  <si>
    <t>PCN-HPP-012-2009</t>
  </si>
  <si>
    <t>VS-10CTQ150-1 VS-10CTQ150S VS-10CTQ150STRL VS-10CTQ150STRR VS-10TQ035S VS-10TQ035STRL VS-10TQ035STRR VS-10TQ045S VS-10TQ045STRL VS-10TQ045STRR VS-12CTQ035S VS-12CTQ035STRL VS-12CTQ035STRR VS-12CTQ045S VS-12CTQ045STRL VS-12CTQ045STRR VS-12TQ035S VS-12TQ035STRL VS-12TQ035STRR VS-12TQ040S VS-12TQ045S VS-12TQ045STRL VS-12TQ045STRR VS-15CTQ035S VS-15CTQ035STRL VS-15CTQ035STRR VS-15CTQ045S ......see complete P/N's list inside the PCN document.</t>
  </si>
  <si>
    <t>HP Schottkys, HP New Input Diodes, HP Hexfreds and HP Freds in D2-Pak and TO-262 packages have been converted to Termination Lead Free version during year 2007 and new set of parts numbers have been released at that time to distinguish the new ones. The old part numbers become now obsolete and not anymore available</t>
  </si>
  <si>
    <t>PCN-HPP-012-2011</t>
  </si>
  <si>
    <t>VS-96-1064PBF, VS-FCSP0530ETR, VS-FCSP0530TR, VS-FCSP05H40ETR, VS-FCSP05H40TR, VS-FCSP0730TR, VS-FCSP07H40TR, VS-FCSP130LTR, VS-FCSP140LTR, VS-FCSP1H40LTR, VS-FCSP230LTR, VS-FCSP240LTR, VS-FCSP2H40LTR</t>
  </si>
  <si>
    <t xml:space="preserve"> Product consolidation
</t>
  </si>
  <si>
    <t>PCN-HPP-013-2011</t>
  </si>
  <si>
    <t>VS-50MT060ULSTAPBF, VS-GA200TS60UPBF, VS-GA200TS60UX, VS-S1377</t>
  </si>
  <si>
    <t xml:space="preserve">Obsolescence of specific IGBT dice used in these modules.
</t>
  </si>
  <si>
    <t>PCN-HPP-015-2009</t>
  </si>
  <si>
    <t>https://www.vishay.com/quality/pcn-doc/PCN-HPP-015-2009-Rev-00/PCN-HPP%20015-2009%20Rev0%20.pdf/</t>
  </si>
  <si>
    <t>Discontinuation of Add-A-pak Gen V</t>
  </si>
  <si>
    <t>VSKCS409150P VSKDS409150P VSKH2712P VSKH42_x0000_6P VSKH42_x0000_8P VSKH4210P VSKH4212P VSKH57_x0000_4P VSKH57_x0000_6P VSKH57_x0000_8P VSKH5710P_x000D_
VSKH5712P VSKH5714P VSKH5716P VSKH72_x0000_6P VSKH7210P VSKH9210P VSKH9212P VSKH9214P VSKL2712P ......see complete P/N's list inside the PCN document</t>
  </si>
  <si>
    <t>Introduction of the new Add-A-pak GenVII</t>
  </si>
  <si>
    <t>PCN-MLC-001-2011</t>
  </si>
  <si>
    <t>https://www.vishay.com/quality/pcn-doc/PCN-MLC-001-2011-Rev-0/PCN-MLC-001-2011%20Rev%200%20MLCC%20DSCC%20110126.pdf/</t>
  </si>
  <si>
    <t>Vishay Vitramon&gt;</t>
  </si>
  <si>
    <t>Reduce range offering DSCC BR and BX Dielectric</t>
  </si>
  <si>
    <t>03029 (size 0402) BX , range list attached_x000D_
03028 (size 0603) BR and BX , range list attached_x000D_
05006 (size 0805) BX , range list attached_x000D_
05007 (size 1206) BX , range list attached</t>
  </si>
  <si>
    <t>NotApplic</t>
  </si>
  <si>
    <t xml:space="preserve">  Withdrawn from DSCC drawings
</t>
  </si>
  <si>
    <t>PCN-MLC-001-2014</t>
  </si>
  <si>
    <t>https://www.vishay.com/quality/pcn-doc/PCN-MLC-001-2014-Rev-0/PCN-MLC-001-2014%20VJ31_VJ34%20Automotive%20Series%20Streamline%200805%20X5R%20Ceramic.pdf/</t>
  </si>
  <si>
    <t>EOL Ratings of Size 0805 X5R offering in VJ...31 VJ...34 Automotive MLCC</t>
  </si>
  <si>
    <t>VJ31 VJ34 Automotive MLCC_x000D_
Full PN list in PCN.</t>
  </si>
  <si>
    <t xml:space="preserve">Streamlining our portfolio.
</t>
  </si>
  <si>
    <t>PCN-MLC-001-2017</t>
  </si>
  <si>
    <t>https://www.vishay.com/quality/pcn-doc/PCN-MLC-001-2017-Rev-0/PTN-MLC-001-2017%20Rev%200%20Vitramon%20Anttenas.pdf/</t>
  </si>
  <si>
    <t>Vitramon Antennas</t>
  </si>
  <si>
    <t>VJ5301M011MXBSR VJ5301M400MXBEK VJ5301M400MXBSR VJ5301M433MXBEK VJ5301M433MXBSR VJ5301M868MXBEK VJ5301M868MXBSR VJ5301M915MXBEK VJ5301M915MXBSR VJ5601M011MXBSR VJ5601M868MXBEK VJ5601M868MXBSR VJ5601M915MXBEK VJ5601M915MXBSR VJ5601M988MXBSR VJ3505M011SXMEK VJ3505M011SXMSRA0 VJ3505M911SXMSRA0 VJ6040M011SXISRA0</t>
  </si>
  <si>
    <t xml:space="preserve">End of Life
</t>
  </si>
  <si>
    <t>PCN-MLC-002-2011</t>
  </si>
  <si>
    <t>https://www.vishay.com/quality/pcn-doc/PCN-MLC-002-2011-Rev-0/PCN-MLC-002-2011%20Rev%200%20MLCC%20HVARCGUARD%20X7R%20110127.pdf/</t>
  </si>
  <si>
    <t>Changing the available dielectric material for low capacitance X7R HVArcGuard</t>
  </si>
  <si>
    <t>VJ0805Y*5Z / VJ1206Y*5Z / VJ1210Y*5Z / VJ1808Y*5Z / VJ1812Y*5Z _x000D_
VJ9029Y*5Z / VJ7030Y*5Z / VJ7031Y*5Z_x000D_
see table below</t>
  </si>
  <si>
    <t>N/A</t>
  </si>
  <si>
    <t xml:space="preserve">  Not applicable
</t>
  </si>
  <si>
    <t>PCN-MLC-002-2013</t>
  </si>
  <si>
    <t>https://www.vishay.com/quality/pcn-doc/PCN-MLC-002-2013-Rev-0/PCN-MLC-002-2013%20VJ%20HiRel%20Series%20Streamlining.pdf/</t>
  </si>
  <si>
    <t>Changes to Available Ratings of VJ Hi-Rel Series</t>
  </si>
  <si>
    <t>VJ Hi-Rel Series</t>
  </si>
  <si>
    <t>PCN-MLC-002-2014</t>
  </si>
  <si>
    <t>https://www.vishay.com/quality/pcn-doc/PCN-MLC-002-2014-Rev-0/PCN-MLC-002-2014%20VJ%20X8R%20Series%20Streamline%201210%20Size.pdf/</t>
  </si>
  <si>
    <t>Changes to Available Ratings of 1210 Size in VJ X8R Series</t>
  </si>
  <si>
    <t>VJ X8R Series</t>
  </si>
  <si>
    <t>PCN-MLC-002-2017</t>
  </si>
  <si>
    <t>https://www.vishay.com/quality/pcn-doc/PCN-MLC-002-2017-Rev-0/PTN-MLC-002-2017%20VJ%20Non%20Magnetic%20Epoxy%20Bonding%20Series%20remove%20high%20voltage%20ratings%20size%201812%20DF.pdf/</t>
  </si>
  <si>
    <t>Remove Rating VJ Non Magnetic Epoxy Bonding Series size 1812</t>
  </si>
  <si>
    <t>VJ Non Magnetic Epoxy Bonding Series</t>
  </si>
  <si>
    <t>PCN-MLC-003-2013</t>
  </si>
  <si>
    <t>https://www.vishay.com/quality/pcn-doc/PCN-MLC-003-2013-Rev-0/PCN-MLC-003-2013%20VJ%20Non-Magnetic%20Series%20Streamlining.pdf/</t>
  </si>
  <si>
    <t>Changes to Available Ratings of VJ Non-Magnetic Series</t>
  </si>
  <si>
    <t>VJ Non-Magnetic Series</t>
  </si>
  <si>
    <t>PCN-MLC-003-2014</t>
  </si>
  <si>
    <t>https://www.vishay.com/quality/pcn-doc/PCN-MLC-003-2014-Rev-0/PCN-MLC-003-2014%20VJ%20Commercial%20Series%20Streamline%200805%20Size%20X5R.pdf/</t>
  </si>
  <si>
    <t>Changes to Available Ratings of 0805 Size X5R in VJ Commercial Series</t>
  </si>
  <si>
    <t>VJ Commercial Series</t>
  </si>
  <si>
    <t xml:space="preserve">:
</t>
  </si>
  <si>
    <t>PCN-MLC-003-2017</t>
  </si>
  <si>
    <t>https://www.vishay.com/quality/pcn-doc/PCN-MLC-003-2017-Rev-0/PTN-MLC-003-2017%20VJ%20Non%20Magnetic%20Reflow%20Series%20remove%20high%20voltage%20ratings%20size%201812%20DF.pdf/</t>
  </si>
  <si>
    <t>Remove several Ratings of VJ Non Magnetic Reflow Series size 1812</t>
  </si>
  <si>
    <t>VJ Non Magnetic Series for IR Reflow Soldering</t>
  </si>
  <si>
    <t>PCN-MLC-004-2013</t>
  </si>
  <si>
    <t>https://www.vishay.com/quality/pcn-doc/PCN-MLC-004-2013-Rev-0/PCN-MLC-004-2013%20VJ%20HVArcGuard%20Series%20Streamlining.pdf/</t>
  </si>
  <si>
    <t>VJ HVArc Guard Series Streamlining</t>
  </si>
  <si>
    <t>VJ HVArc Guard</t>
  </si>
  <si>
    <t>PCN-MLC-004-2017</t>
  </si>
  <si>
    <t>https://www.vishay.com/quality/pcn-doc/PCN-MLC-004-2017-Rev-0/PTN-MLC-004-2017%20VJ%20OMD%20Series%20remove%20high%20voltage%20ratings%20size%201812.pdf/</t>
  </si>
  <si>
    <t>VJ OMD Series remove high voltage ratings size 1812</t>
  </si>
  <si>
    <t>VJ OMD (Open Mode Design) Series</t>
  </si>
  <si>
    <t>PCN-MLC-005-2013</t>
  </si>
  <si>
    <t>https://www.vishay.com/quality/pcn-doc/PCN-MLC-005-2013-Rev-0/PCN-MLC-005-2013%20VJ%20Series%20Streamline%201210%20C0G%20NP0.pdf/</t>
  </si>
  <si>
    <t>VJ Series Streamline 1210 C0G NP0</t>
  </si>
  <si>
    <t>VJ Commercial Series and VJ31 VJ34 Automotive MLCC Series</t>
  </si>
  <si>
    <t>PCN-MLC-005-2017</t>
  </si>
  <si>
    <t>https://www.vishay.com/quality/pcn-doc/PCN-MLC-005-2017-Rev-0/PTN-MLC-005-2017%20VJ31VJ34%20Automotive%20Series%20remove%20high%20voltage%20ratings%20size%201812.pdf/</t>
  </si>
  <si>
    <t>VJ31VJ34 Automotive Series remove high voltage ratings size 1812</t>
  </si>
  <si>
    <t>VJ31 VJ34 Automotive MLCC Series</t>
  </si>
  <si>
    <t>PCN-MLC-006-2013</t>
  </si>
  <si>
    <t>https://www.vishay.com/quality/pcn-doc/PCN-MLC-006-2013-Rev-0/PCN-MLC-006-2013%20VJ2220A272KXHAT7U%20Removed%20from%20offering.pdf/</t>
  </si>
  <si>
    <t>VJ2220A272KXHAT7U removed from offering</t>
  </si>
  <si>
    <t>VJ2220A272KXHAT7U</t>
  </si>
  <si>
    <t>PCN-MLC-006-2017</t>
  </si>
  <si>
    <t>https://www.vishay.com/quality/pcn-doc/PCN-MLC-006-2017-Rev-0/PTN-MLC-006-2017%20VJ31X%20ROHS%20Automotive%20Series%20remove%20high%20voltage%20ratings%20size%201812.pdf/</t>
  </si>
  <si>
    <t>VJ31X ROHS Automotive Series remove high voltage ratings size 1812</t>
  </si>
  <si>
    <t>VJ31X ROHS Automotive MLCC Series</t>
  </si>
  <si>
    <t>PCN-MLC-007-2017</t>
  </si>
  <si>
    <t>https://www.vishay.com/quality/pcn-doc/PCN-MLC-007-2017-Rev-0/PTN-MLC-007-2017%20GA34G%20Automotive%20Series%20remove%20high%20voltage%20ratings%20size%201812.pdf/</t>
  </si>
  <si>
    <t>GA34G Automotive Series remove high voltage ratings size 1812</t>
  </si>
  <si>
    <t>GA  34G Automotive MLCC Series</t>
  </si>
  <si>
    <t>PCN-MLC-010-2013</t>
  </si>
  <si>
    <t>https://www.vishay.com/quality/pcn-doc/PCN-MLC-010-2013-Rev-0/PCN-MLC-010-2013 Sub 1pF Cap Values.pdf/</t>
  </si>
  <si>
    <t>Availability of Sub 1pF Cap Values Hi-Rel and Non-Magnetic MLCCs</t>
  </si>
  <si>
    <t>DSCC Series, Non-magnetic Series, Hi-Rel Series</t>
  </si>
  <si>
    <t>PCN-NLR-001-2015</t>
  </si>
  <si>
    <t>https://www.vishay.com/quality/pcn-doc/PCN-NLR-001-2015-Rev-0/PCN-NLR-001-2015%20Rev%200.pdf/</t>
  </si>
  <si>
    <t>Resistors, Sensors</t>
  </si>
  <si>
    <t>Product Termination of Thin film leaded Platinum sensors PTL</t>
  </si>
  <si>
    <t>PTL Series</t>
  </si>
  <si>
    <t>Lacking market interest</t>
  </si>
  <si>
    <t>PCN-NLR-001-2016</t>
  </si>
  <si>
    <t>Vishay Cera-Mite&gt;</t>
  </si>
  <si>
    <t>Withdrawal of PTC305C11C03</t>
  </si>
  <si>
    <t>Auxiliary material, mounting bracket has been obsoleted</t>
  </si>
  <si>
    <t>PCN-NLR-004-2013</t>
  </si>
  <si>
    <t>https://www.vishay.com/quality/pcn-doc/PCN-NLR-004-2013-Rev-0/PCN-NLR-004-2013%20Rev0.pdf/</t>
  </si>
  <si>
    <t>Withdrawal of NTHS curve 3</t>
  </si>
  <si>
    <t>NTHS****N03N series, 03J3001JP</t>
  </si>
  <si>
    <t xml:space="preserve"> Lack of market demand.
</t>
  </si>
  <si>
    <t>PCN-NLR-005-2013</t>
  </si>
  <si>
    <t>https://www.vishay.com/quality/pcn-doc/PCN-NLR-005-2013-Rev-0/PCN-NLR-005-2013%20Rev0.pdf/</t>
  </si>
  <si>
    <t>Withdrawal of NTC curve 14</t>
  </si>
  <si>
    <t>NTHSxxxxJ14Nxxxxxx, NTHSxxxxN14Nxxxxxx, 14Cxxxxxx, 14Mxxxxxx, 14Txxxxxx, 14Wxxxxxx, 14Jxxxxx, C14Nxxxx</t>
  </si>
  <si>
    <t>PCN-NLR-005-2016</t>
  </si>
  <si>
    <t>Withdrawal of PTC Sensing 0805 series</t>
  </si>
  <si>
    <t>PTCSS12TxxxDTE</t>
  </si>
  <si>
    <t>End Of Life Raw Materials</t>
  </si>
  <si>
    <t>PCN-NLR-007-2013</t>
  </si>
  <si>
    <t>https://www.vishay.com/quality/pcn-doc/PCN-NLR-007-2013-Rev-0/PCN-NLR-007-2013%20Rev0.pdf/</t>
  </si>
  <si>
    <t>Withdrawal of NTC SMD 0805 with AgPd terminations</t>
  </si>
  <si>
    <t>NTCS0805E4 series</t>
  </si>
  <si>
    <t xml:space="preserve"> Market evolution towards NiSn terminations
</t>
  </si>
  <si>
    <t>PCN OMV-414-2010</t>
  </si>
  <si>
    <t>https://www.vishay.com/quality/pcn-doc/PTN OMV-414-2010-Rev-0/omv_414_2010_rev0.pdf/</t>
  </si>
  <si>
    <t>product discontinuation</t>
  </si>
  <si>
    <t>VLSL40 VLSL4024A VLSL50 VLSL5024A_x000D_
VLSL4012 VLSL4012A VLSL5012 VLSL5012A_x000D_
VLSL4036 VLSL4036A VLSL5036 VLSL5036A</t>
  </si>
  <si>
    <t>State of the art are Al-based metal core PCB's for power LED application. No need for Cu. Cu was only used due to availability of the material with short delivery time. For the power LED module there is no change in form, fit and function. Thermal behaviour is even better.</t>
  </si>
  <si>
    <t>PCN OMV-441-2010</t>
  </si>
  <si>
    <t>https://www.vishay.com/quality/pcn-doc/PCN-OMV-441-2010-Rev-0/omv_441_2010_rev0.pdf/</t>
  </si>
  <si>
    <t>End of life of TSOP82../ 92../ 112../ 122../</t>
  </si>
  <si>
    <t>TSOP82../ 92../ 112../ 122../ 148../ 36130../ 36133../ 36137../ 36230../ 36233../ 36237../ 36136TS/ 35238TS/_x000D_
TSOP48....AM</t>
  </si>
  <si>
    <t xml:space="preserve">Consolidation programm
</t>
  </si>
  <si>
    <t>PCN OMV-446-2010</t>
  </si>
  <si>
    <t>https://www.vishay.com/quality/pcn-doc/PCN-OMV-446-2010-Rev-0/omv_446_2010_rev0.pdf/</t>
  </si>
  <si>
    <t>MOSFET Drivers Product Obsolescence</t>
  </si>
  <si>
    <t>LH1262CAC, LH1262CACTR, LH1262CB, VO1263AAC, VO1263AACTR, VO1263AB</t>
  </si>
  <si>
    <t>The supplier of the die used in MOSFET Drivers has closed down its' production facility. No last time buy was offered by the supplier and there is no alternate source of the die.</t>
  </si>
  <si>
    <t>PCN OMV-449-2010</t>
  </si>
  <si>
    <t>https://www.vishay.com/quality/pcn-doc/PCN-OMV-449-2010-Rev-0/omv_449_2010_rev0.pdf/</t>
  </si>
  <si>
    <t>see attached part number list</t>
  </si>
  <si>
    <t xml:space="preserve">For Mini white the chip is phased out by the supplier. No direct replacement
</t>
  </si>
  <si>
    <t>PCN OMV-479-2011</t>
  </si>
  <si>
    <t>https://www.vishay.com/quality/pcn-doc/PCN-OMV-479-2011-Rev-0/omv_479_2011_rev0.pdf/</t>
  </si>
  <si>
    <t xml:space="preserve">Basic materials phased out
</t>
  </si>
  <si>
    <t>PCN OMV-483-2011</t>
  </si>
  <si>
    <t>https://www.vishay.com/quality/pcn-doc/PCN-OMV-483-2011-Rev-0/ptn_omv_483_2011_rev0.pdf/</t>
  </si>
  <si>
    <t>VLMR51Y1Z1-GS08 replacement type VLMR51Y1AA-GS08_x000D_
VLMK51Y1Z1-GS08 replacement type VLMK51Y1AA-GS08_x000D_
VLMY51Y2Z2-GS08 replacement type VLMR51Y1AA-GS08_x000D_
VLMW51N2P31-GS08 replacement type VLMW51P2Q3-GS08</t>
  </si>
  <si>
    <t xml:space="preserve">Increse of AlInGaP and InGaN chip brightness
</t>
  </si>
  <si>
    <t>PCN OMV-553-2011</t>
  </si>
  <si>
    <t>https://www.vishay.com/quality/pcn-doc/PCN-OMV-553-2011-Rev-0/pcn_omv_553_2011_rev0.pdf/</t>
  </si>
  <si>
    <t>Product Discontinuation of Minicast parts for Sony</t>
  </si>
  <si>
    <t>TSOP38240SS1S;TSOP38240SS1S;TSOP98200SS1S;TSOP58240SS1S</t>
  </si>
  <si>
    <t xml:space="preserve">Non Sony certified new production location.
</t>
  </si>
  <si>
    <t>PCN OMV-565-2012</t>
  </si>
  <si>
    <t>https://www.vishay.com/quality/pcn-doc/PCN-OMV-565-2012-Rev-0/pcn_omv_565_2012_rev0.pdf/</t>
  </si>
  <si>
    <t>End of life of HR51-series</t>
  </si>
  <si>
    <t>HR51KHY36; HR51KHY38; HR51KHY40; HR51KHY56</t>
  </si>
  <si>
    <t xml:space="preserve">Consolidation programm.
</t>
  </si>
  <si>
    <t>PCN OMV-575-2012</t>
  </si>
  <si>
    <t>https://www.vishay.com/quality/pcn-doc/PCN-OMV-575-2012-Rev-0/ptn_omv_575_2012_rev0.pdf/</t>
  </si>
  <si>
    <t>Product Discontinuation TLHY4507</t>
  </si>
  <si>
    <t>TLHY4507</t>
  </si>
  <si>
    <t xml:space="preserve">Product consolidation program
</t>
  </si>
  <si>
    <t>PCN OMV-581-2012</t>
  </si>
  <si>
    <t>https://www.vishay.com/quality/pcn-doc/PCN-OMV-581-2012-Rev-0/pcn_omv_581_2012_rev0.pdf/</t>
  </si>
  <si>
    <t>End of life of old IR Receiver series</t>
  </si>
  <si>
    <t>With replacement:_x000D_
TSOP36xx series;TSOPxxxxM series; TSOP98138xx and TSOP94138xx series;TSOP98238xx series; TSOP98260xx series; TSOPxxPxx series;TSOP19xx and TSOP18xx series;TSOP2237xx, TSOP4837xx and TSOP6x37xx series_x000D_
Without replacement:_x000D_
TSOP98200xx series;TSOP4940xx series</t>
  </si>
  <si>
    <t xml:space="preserve">Introduction of new improved material generation and consolidation of current portfolio.
</t>
  </si>
  <si>
    <t>PCN OMV-585-2012</t>
  </si>
  <si>
    <t>https://www.vishay.com/quality/pcn-doc/PCN-OMV-585-2012-Rev-0/pcn_omv_585_2012_rev0.pdf/</t>
  </si>
  <si>
    <t>Product Discontinuation/ End Of Life (EOL)</t>
  </si>
  <si>
    <t>IL440-6X007_x000D_
IL440-6X009T</t>
  </si>
  <si>
    <t xml:space="preserve">Low demand for the last 4 years for IL440-6X007 &amp; IL440-6X009T products. Product Discontinuation/ End Of Life (EOL) for IL440 Series was
</t>
  </si>
  <si>
    <t>PCN OMV-591-2012</t>
  </si>
  <si>
    <t>https://www.vishay.com/quality/pcn-doc/PCN-OMV-591-2012-Rev-0/pcn_omv_591_2012_rev0.pdf/</t>
  </si>
  <si>
    <t>End Of Life for Optocoupler devices</t>
  </si>
  <si>
    <t>BRT11-M,_x000D_
IL388DAA_x000D_
K233P,_x000D_
LH1518-AT, LH1539AB,_x000D_
SFH600 E9033, SFH6156AGB, SFH6156AGBT, SFH6156AGRT</t>
  </si>
  <si>
    <t xml:space="preserve">Due to no demand for the past three years, the devices listed below will be obsolete. As
</t>
  </si>
  <si>
    <t>PCN OMV-592-2012</t>
  </si>
  <si>
    <t>https://www.vishay.com/quality/pcn-doc/PCN-OMV-592-2012-Rev-0/pcn_omv_592_2012_rev0.pdf/</t>
  </si>
  <si>
    <t>End Of Life for Optocoupler &amp; SSR</t>
  </si>
  <si>
    <t>Only the products listed below are affected by this PCN. Rest of 4N25 Series and 4N35 Series is not affected by this PCN._x000D_
4N25GV, 4N35GV, 4N35V, K233PG, MOC8111, MOC8112_x000D_
IL410-2000T, ILD207TWP, ILD251-1126, ILD252-675, ILQ2-2026, ILQ621GB-2013T, SFH601-3 K7468</t>
  </si>
  <si>
    <t xml:space="preserve">Due to low demand for the past three years of following listed devices a product and
</t>
  </si>
  <si>
    <t>PCN OMV-595-2012</t>
  </si>
  <si>
    <t>https://www.vishay.com/quality/pcn-doc/PCN-OMV-595-2012-Rev-0/pcn_omv_595_2012_rev0.pdf/</t>
  </si>
  <si>
    <t>VLMW51P2Q3-GS08</t>
  </si>
  <si>
    <t xml:space="preserve">Increase of InGaN chip technology brightness
</t>
  </si>
  <si>
    <t>PCN OMV-601-2012</t>
  </si>
  <si>
    <t>https://www.vishay.com/quality/pcn-doc/PCN-OMV-601-2012-Rev-0/pcn_omv_601_2012_rev0.pdf/</t>
  </si>
  <si>
    <t>SOT223/10 Quad Channel Optocouplers Product Obsolescence</t>
  </si>
  <si>
    <t>SFH6942AT, SFH6943A-2T, SFH6943A-3, SFH6943A-3T, SFH6943A-4, SFH6943A-4T_x000D_
There are no direct replacements for the above devices. Customers are welcome to evaluate SFH6916 Series or TCMT4100 Series devices as alternate products. However these devices have a different size package and pinout. Please consult_x000D_
datasheet for details.</t>
  </si>
  <si>
    <t>Current Manufacturing equipment has been going down intermittently as it has reached its End Of Life. No alternate reliable process could be found.</t>
  </si>
  <si>
    <t>PCN OMV-603-2012</t>
  </si>
  <si>
    <t>https://www.vishay.com/quality/pcn-doc/PCN-OMV-603-2012-Rev-0/pcn_omv_603_2012_rev0.pdf/</t>
  </si>
  <si>
    <t>Product Discontinuation VLMY3191</t>
  </si>
  <si>
    <t>VLMY3191-GS18</t>
  </si>
  <si>
    <t xml:space="preserve">product discontinuation due to no business last 2 years
</t>
  </si>
  <si>
    <t>PCN OMV-607-2012</t>
  </si>
  <si>
    <t>https://www.vishay.com/quality/pcn-doc/PCN-OMV-607-2012-Rev-0/pcn_omv_607_2012_rev0.pdf/</t>
  </si>
  <si>
    <t>End of life of 37kHz Minicast parts</t>
  </si>
  <si>
    <t>TSOP58237;TSOP58437;TSOP59237;TSOP59437</t>
  </si>
  <si>
    <t xml:space="preserve">Consolidate IR Receiver portfolio.
</t>
  </si>
  <si>
    <t>PCN OMV-679-2013</t>
  </si>
  <si>
    <t>https://www.vishay.com/quality/pcn-doc/PCN-OMV-679-2013-Rev-0/pcn_omv_679_2013_rev0.pdf/</t>
  </si>
  <si>
    <t>Product Discontinuation VLP*0101C5 and VLP*0303C5</t>
  </si>
  <si>
    <t>VLPN0101C5_x000D_
VLPW0101C5_x000D_
VLPW0303C5_x000D_
VLPC0101C5_x000D_
VLPC0303C5_x000D_
VLPN0303C5</t>
  </si>
  <si>
    <t xml:space="preserve">The VLP*0101C5 and VLP*0303C5 will be phased out due to the following reasons
</t>
  </si>
  <si>
    <t>PCN OMV-683-2013</t>
  </si>
  <si>
    <t>https://www.vishay.com/quality/pcn-doc/PCN-OMV-683-2013-Rev-0/pcn_omv_683_2013_rev0.pdf/</t>
  </si>
  <si>
    <t>TSOP35XXX series, TSOP85XXX series (excl. 38 kHz parts), TSOP85XXXAP5 (excl. 38 kHz parts), HWXX35XXX series,_x000D_
TSOP1XXX. (dot) series, HS0036XX series, HS35D25TT, TSOP58436CA1, TSOP1138G</t>
  </si>
  <si>
    <t xml:space="preserve">Portfolio consolidation.
</t>
  </si>
  <si>
    <t>PCN OMV-685-2013</t>
  </si>
  <si>
    <t>https://www.vishay.com/quality/pcn-doc/PCN-OMV-685-2013-Rev-0/pcn_omv_685_2013_rev0.pdf/</t>
  </si>
  <si>
    <t>Product obsolescence TSOP AGCP and AGC0 sensors</t>
  </si>
  <si>
    <t>TSOP..P38 series;TSOP..038.. series</t>
  </si>
  <si>
    <t>PCN OMV-688-2013</t>
  </si>
  <si>
    <t>https://www.vishay.com/quality/pcn-doc/PCN-OMV-688-2013-Rev-0/pcn_omv_688_2013_rev0.pdf/</t>
  </si>
  <si>
    <t>Obsolescence of Low Sales Optocouplers and SSRs</t>
  </si>
  <si>
    <t>CNY17F-3X007T-M/_x000D_
IL350/ IL350T/ IL351T/ IL352T/ IL358/ IL358T/ IL388/ IL388DAA-00T/ IL388T/ LH1525ACD/ LH1525ACDTR/ LH1556AACTR/ LH1556AB/_x000D_
MCT5210-X007T/_x000D_
SFH6156-3TX001/ SFH617G-1X001/ SFH617G-2X001/ SFH6757-3043A/ SFH690CT-E3/_x000D_
TCET1103D/ TCLT1000-3090/ TCLT1003-3071/ TCLT1003-3090/ TCLT1006-3090/ TCLT1009-3090/ TCLT1012-3090</t>
  </si>
  <si>
    <t xml:space="preserve">Due to low sales for the past three years following listed devices are being discontinued.
</t>
  </si>
  <si>
    <t>PCN OMV-689-2013</t>
  </si>
  <si>
    <t>https://www.vishay.com/quality/pcn-doc/PCN-OMV-689-2013-Rev-0/pcn_omv_689_2013_rev0.pdf/</t>
  </si>
  <si>
    <t>Product Discontinuation VLMW32** PLCC4 White Series</t>
  </si>
  <si>
    <t>VLMW321ABBB5K8L-08_x000D_
VLMW321BACA5K8L-08_x000D_
VLMW322ABBB5K8L-08_x000D_
VLMW322BACA5K8L-08</t>
  </si>
  <si>
    <t xml:space="preserve">declining demand, production consolidation
</t>
  </si>
  <si>
    <t>PCN OMV-691-2013</t>
  </si>
  <si>
    <t>https://www.vishay.com/quality/pcn-doc/PCN-OMV-691-2013-Rev-0/ptn_omv_691_2013_rev0.pdf/</t>
  </si>
  <si>
    <t>Product Discontinuation LED Modules VLSL5* Series</t>
  </si>
  <si>
    <t>VLSL50_x000D_
VLSL5012_x000D_
VLSL5012A_x000D_
VLSL5024A_x000D_
VLSL5036_x000D_
VLSL5036A_x000D_
VLSL5112_x000D_
VLSL5112A_x000D_
VLSL5124_x000D_
VLSL5124A_x000D_
VLSL5136_x000D_
VLSL5136A</t>
  </si>
  <si>
    <t xml:space="preserve">The LED with oval lens used for this module will be phased out
</t>
  </si>
  <si>
    <t>PCN OMV-693-2013</t>
  </si>
  <si>
    <t>https://www.vishay.com/quality/pcn-doc/PCN-OMV-693-2013-Rev-0/ptn_omv_693_2013_rev0.pdf/</t>
  </si>
  <si>
    <t>Product Discontinuation of no Running Visible Parts</t>
  </si>
  <si>
    <t>436.105.011.00 TDSO1163 436.105.021.00 TLCY5101 436.105.031.00 TLHK4200-TRW 436.106.011.00 TLHP4416 436.106.021.00 TLHP4436 436.106.031.00 TLHY4408 436.107.011.00 TLHY4441 436.107.021.00 TLHY4442-MS12 436.107.031.00 TLUV5300-SL 436.108.011.00 TLVY4241 436.108.021.00 TLWY8600-MN 436.108.031.00 VLCPG5100 436.109.011.00 VLMB3000L-GS18  436.109.021.00 VLME3106MM-GS18 436.109.031.00 VLME3143-GS18 436.119.021.00 VLME3147-GS18 436.119.031.00 VLME3148-GS18_x000D_
436.123.011.00 VLMF3106MM-GS18 436.123.021.00 VLMGS3105-GS08 436.123.031.00 VLMGS3105-GS18 436.132.021.00 VLMK3105H-GS08 436.139.011.00 VLMK3106MM-GS18 436.139.021.00 VLMK33S1T1-B-GS08 436.139.031.00 VLMS30G2H2-GS08 436.139.041.00 VLMS30G2J1-GS08 436.139.051.00 VLMSY3420-GS08 436.139.061.00 VLMSY3420-GS18 436.141.011.00 VLMW40L2N2-6K6L-08 436.141.021.00 VLMW41T1U2-6K6L-MM_x000D_
436.141.031.00 VLMY3001-GS08 VLMY3001-GS18 VLMY31K1L2-34-GS18 VLMY32ABBB-BGS18</t>
  </si>
  <si>
    <t xml:space="preserve">Product discontinuation due to no business last 2 years.
</t>
  </si>
  <si>
    <t>PCN OMV-697-2013</t>
  </si>
  <si>
    <t>https://www.vishay.com/quality/pcn-doc/PCN-OMV-697-2013-Rev-0/ptn_omv_697_2013_rev0.pdf/</t>
  </si>
  <si>
    <t>K817P Series Product Obsolescence</t>
  </si>
  <si>
    <t>Material--Recommended replacement_x000D_
K817P-----VO617A_x000D_
K817P1----VO615C-1_x000D_
K817P2----VO617A-1_x000D_
K817P3----VO617A-2_x000D_
K817P4----VO617A-3_x000D_
K817P5----VO617A-2_x000D_
K817P6 VO617A-3_x000D_
K817P7 VO617A-7_x000D_
K817P8 VO617A-8_x000D_
K817P9 VO617A-9</t>
  </si>
  <si>
    <t xml:space="preserve">Product consolidation.
</t>
  </si>
  <si>
    <t>PCN OMV-707-2013</t>
  </si>
  <si>
    <t>https://www.vishay.com/quality/pcn-doc/PCN-OMV-707-2013-Rev-0/ptn_omv_707_2013_rev0.pdf/</t>
  </si>
  <si>
    <t>no runner 3mm &amp; Telux</t>
  </si>
  <si>
    <t>8.747.305.026;;TLHY4405-AS12Z 8.747.305.118;;TLHY4405-MSZ 8.945.405.890;;TLHY4438-_x000D_
MS12Z 8.945.406.616;;TLHY4600-AS12 8.945.406.618;;TLHY4900-AS12Z TLDR4100-_x000D_
AS12;;TLLE4401-MSZ TLDR4400-ASZ;;TLLG4401-BT12 TLDR4402-AS12;;TLLG4401-BT21Z_x000D_
TLHE44R1S2-26-ASZ;;TLLG4401-MS21Z TLHF4200-MS12;;TLLK4401-MSZ TLHF4900-_x000D_
AS21Z;;TLLR4400-MS12Z TLHF4902;;TLLR4401-BT12 TLHG4200-AS12;;TLLR4401-BT21Z_x000D_
TLHG4200-AS21;;TLLR4401-MS12 TLHG4200-BT12Z;;TLLR4401-MS21 TLHG4205-AS21;;TLLR4401-_x000D_
MS21Z TLHG4205-LS21;;TLUR4400-AS21 TLHG4205-LS21Z;;TLUR4400-BT12 TLHG4205-_x000D_
MS21Z;;TLUR4400-KS12 TLHG4401-AS21;;TLUR4401-AS12 TLHG4401-MS12Z;;TLUR4401-AS21_x000D_
TLHG4601-AS21;;TLUR4401-BT12 TLHP4200-AS12;;TLUR4401-LS12 TLHP4200-AS12Z;;TLUR4401-_x000D_
MS12Z TLHP4202;;TLUR4401-MS21 TLHP4406;;TLVH4200-MS12 TLHR4401-LS12Z;;TLVH4201-_x000D_
AS12 TLHY4201-AS21;;TLVH4201-MS12 TLHY4201-MS12Z;;TLVH4201-MT12 TLHY4205-_x000D_
LS21;;TLVY4201 TLHY4205-LS21Z;;TLWR8904AL TLHY4400-AS21;;VLWTG9600T TLHY4400-_x000D_
AS21Z;;VLWW9602 TLHY4400-BT12;;VLWW9911 TLHY4400-CS12;;VLWY9930-2 TLHY4401-AS12;;_x000D_
TLHY4401-AS21;;</t>
  </si>
  <si>
    <t>PCN OMV-709-2013</t>
  </si>
  <si>
    <t>https://www.vishay.com/quality/pcn-doc/PCN-OMV-709-2013-Rev-0/ptn_omv_709_2013_rev0.pdf/</t>
  </si>
  <si>
    <t>phase out,low runner3mm, 3mm Resistor, Telux,</t>
  </si>
  <si>
    <t>TLDR4100 TLDR4400-MS12Z TLDR4401 TLHP4200-MS12Z TLHP4401 TLHR4205-AS12 TLHR4405-AS12 TLHY4414 TLLY4400-AS12 TLUR4401-MS12 TLWR9000 VLWR9430 VLWR9530 TLRH4420CU TLRH4420CU-MS12 TLRH4420CU-MS12Z TLRO4420CU-MS21Z TLRP3200CU TLRP4406CU-MS12 TLRP4406CU-MS12Z TLRP4900CU-MS12 TLRY4420CU TLRY4420CU-MS12 TLRH4400CU_x000D_
TLRG4400CU TLRY4400CU TLRO4400CU TLRY4220CU TLRP4900CU TLRO4420CU TLRE4206 TLRP4406CU TLRP4400CU TLRE4200 TLRG4420CU TLRP4406CU-MS21 TLRO4420CU-MS12 TLRE4406 TLRH4422CU</t>
  </si>
  <si>
    <t xml:space="preserve">Due to declining demand of listed devices and production consolidation
</t>
  </si>
  <si>
    <t>PCN OMV-723-2014</t>
  </si>
  <si>
    <t>https://www.vishay.com/quality/pcn-doc/PCN-OMV-723-2014-Rev-0/ptn_omv_723_2014_rev0.pdf/</t>
  </si>
  <si>
    <t>TSOP39xxx series, TSOP59xxx series, TSOP77321xx series,TSOP32438SA1F, TSOPxxxxxC series,TSOPxxxxxU series</t>
  </si>
  <si>
    <t>PCN OMV-731-2014</t>
  </si>
  <si>
    <t>https://www.vishay.com/quality/pcn-doc/PCN-OMV-731-2014-Rev-0/ptn_omv_731_2014_rev0.pdf/</t>
  </si>
  <si>
    <t>Obsolete No runner 2014SOP34837SB1;TSOP32237;HWXX59338</t>
  </si>
  <si>
    <t>HWXX59338;TSOP32237;TSOP34837SB1</t>
  </si>
  <si>
    <t xml:space="preserve">portfolio consolidation
</t>
  </si>
  <si>
    <t>PCN OMV-733-2014</t>
  </si>
  <si>
    <t>https://www.vishay.com/quality/pcn-doc/PCN-OMV-733-2014-Rev-0/ptn_omv_733_2014_rev0.pdf/</t>
  </si>
  <si>
    <t>Product Discontinuation TELUX White</t>
  </si>
  <si>
    <t>VLWW8605_x000D_
VLWW9600_x000D_
VLWW9900</t>
  </si>
  <si>
    <t xml:space="preserve">Due to declining demand and production consolidation, devices listed below will be
</t>
  </si>
  <si>
    <t>PCN OMV-735-2014</t>
  </si>
  <si>
    <t>https://www.vishay.com/quality/pcn-doc/PCN-OMV-735-2014-Rev-0/ptn_omv_735_2014_rev0.pdf/</t>
  </si>
  <si>
    <t>End of life TSOP75D- series</t>
  </si>
  <si>
    <t>TSOP75D25TR; TSOP75D25TT; TSOP75D26TR; TSOP75D26TT</t>
  </si>
  <si>
    <t>PCN OMV-749-2014</t>
  </si>
  <si>
    <t>https://www.vishay.com/quality/pcn-doc/PCN-OMV-749-2014-Rev-0/ptn_omv_749_2014_rev0.pdf/</t>
  </si>
  <si>
    <t>End of life of TSOP85238HF series</t>
  </si>
  <si>
    <t>TSOP85238HFTR, TSOP85238HFTT</t>
  </si>
  <si>
    <t>PCN OMV-777-2014</t>
  </si>
  <si>
    <t>https://www.vishay.com/quality/pcn-doc/PCN-OMV-777-2014-Rev-0/ptn_omv_777_2014_rev0.pdf/</t>
  </si>
  <si>
    <t>End of life of KU1 holder</t>
  </si>
  <si>
    <t>TSOP2236KU1; TSOP34438KU1</t>
  </si>
  <si>
    <t xml:space="preserve">No demand and worrn out tool
</t>
  </si>
  <si>
    <t>PCN OMV-787-2014</t>
  </si>
  <si>
    <t>https://www.vishay.com/quality/pcn-doc/PCN-OMV-787-2014-Rev-0/ptn_omv_787_2014_rev0.pdf/</t>
  </si>
  <si>
    <t>End of life of TSOP34837</t>
  </si>
  <si>
    <t>TSOP34837</t>
  </si>
  <si>
    <t xml:space="preserve">Consolidate IR Portfolio
</t>
  </si>
  <si>
    <t>PCN OMV-793-2014</t>
  </si>
  <si>
    <t>https://www.vishay.com/quality/pcn-doc/PCN-OMV-793-2014-Rev-0/ptn_omv_793_2014_rev0.pdf/</t>
  </si>
  <si>
    <t>Modules, Optoelectronics</t>
  </si>
  <si>
    <t>Product discontinuation of no Running LED Modules and Drivers</t>
  </si>
  <si>
    <t>LED Modules according to attached part number list</t>
  </si>
  <si>
    <t xml:space="preserve">Product discuntinuation due to no business last 2 years
</t>
  </si>
  <si>
    <t>PCN OMV-827-2015</t>
  </si>
  <si>
    <t>https://www.vishay.com/quality/pcn-doc/PCN-OMV-827-2015-Rev-0/pcn_omv_827_2015_rev0.pdf/</t>
  </si>
  <si>
    <t>Obsolete No runner 2015:TSOP75538WRFTT;TSOP2136NN1;TSOP2238NN1</t>
  </si>
  <si>
    <t>TSOP75538WRFTT; TSOP2136NN1; TSOP2238NN1</t>
  </si>
  <si>
    <t>PCN OMV-843-2015</t>
  </si>
  <si>
    <t>https://www.vishay.com/quality/pcn-doc/PCN-OMV-843-2015-Rev-0/ptn_omv_843_2015_rev0.pdf/</t>
  </si>
  <si>
    <t>End of life of TSOP85....., TSOP85...AP... and TSOP75585N..</t>
  </si>
  <si>
    <t>TSOP75585N.., TSOP85...../AP1../AP3../AP5..</t>
  </si>
  <si>
    <t xml:space="preserve">IC obsolescence and Portfolio consolidation.
</t>
  </si>
  <si>
    <t>PCN OMV-847-2015</t>
  </si>
  <si>
    <t>https://www.vishay.com/quality/pcn-doc/PCN-OMV-847-2015-Rev-0/ptn_omv_847_2015_rev0.pdf/</t>
  </si>
  <si>
    <t>End of life of TSOP36438JTT, TSOP36336JTT and TSOP36238JTT</t>
  </si>
  <si>
    <t>TSOP36438JTT, TSOP36336JTT, TSOP36238JTT</t>
  </si>
  <si>
    <t xml:space="preserve">End of Life.
</t>
  </si>
  <si>
    <t>Arret de production</t>
  </si>
  <si>
    <t>PCN OMV-863-2015</t>
  </si>
  <si>
    <t>https://www.vishay.com/quality/pcn-doc/PCN-OMV-863-2015-Rev-0/ptn_omv_863_2015_rev0.pdf/</t>
  </si>
  <si>
    <t>Product discontinuation TELUX TLWR9600 &amp; TLWR9900</t>
  </si>
  <si>
    <t>TLWR9600 TLWR9900</t>
  </si>
  <si>
    <t xml:space="preserve">Chip series for the TELUX device types TLWR9600 and TLWR9900 is phased out.
</t>
  </si>
  <si>
    <t>PCN OMV-878-2015</t>
  </si>
  <si>
    <t>https://www.vishay.com/quality/pcn-doc/PCN-OMV-878-2015-Rev-0/ptn_omv_878_2015_rev0.pdf/</t>
  </si>
  <si>
    <t>End of life of Cast TB1 holder</t>
  </si>
  <si>
    <t>TSOP31436TB1_x000D_
TSOP31156TB1</t>
  </si>
  <si>
    <t xml:space="preserve">No demand and worrn out tool.
</t>
  </si>
  <si>
    <t>PCN OMV-883-2016</t>
  </si>
  <si>
    <t>https://www.vishay.com/quality/pcn-doc/PCN-OMV-883-2016-Rev-0/ptn_omv_883_2016_rev0.pdf/</t>
  </si>
  <si>
    <t>Obsolecence announcement for the optocoupler 5MBd series</t>
  </si>
  <si>
    <t>SFH670X series, SFH671x series, SFH672x series and SFH673x Series._x000D_
SpecificallySFH6700, SFH6700-X009T, SFH6700-X009, SFH6701, SFH6701-X009T, SFH6701-X007, SFH6701-X009, SFH6702, SFH6702-X006, SFH6702-X007, SFH6702-X009, SFH6702-X009T, SFH6705, SFH6705-X006, SFH6705-X007,_x000D_
SFH6711, SFH6711-X007T, SFH6711-X007, SFH6712, SFH6712-X007, SFH6719, SFH6720T, SFH6720-X001T, SFH6721T, SFH6731, SFH6731-X017T, SFH6732, SFH6732-3098, SFH6732-X007T</t>
  </si>
  <si>
    <t xml:space="preserve">The Vendor of the detector chip has announced discontinuance of the die.
</t>
  </si>
  <si>
    <t>PCN OMV-905-2016</t>
  </si>
  <si>
    <t>https://www.vishay.com/quality/pcn-doc/PCN-OMV-905-2016-Rev-0/ptn_omv_905_2016_rev0.pdf/</t>
  </si>
  <si>
    <t>End of life MQ1 mold holder</t>
  </si>
  <si>
    <t>TSOP2238MQ1_x000D_
TSOP34336MQ1</t>
  </si>
  <si>
    <t xml:space="preserve">No demand of MQ1 and tool will be changed to new custom MT1 holder for Technicolor
</t>
  </si>
  <si>
    <t>PCN OMV-907-2016</t>
  </si>
  <si>
    <t>https://www.vishay.com/quality/pcn-doc/PCN-OMV-907-2016-Rev-0/ptn_omv_907_2016_rev0.pdf/</t>
  </si>
  <si>
    <t>Removal of Products with incorrect nomenclature from the BRT portfolio</t>
  </si>
  <si>
    <t>BRT11-H, BRT12-F, BRT12-H, BRT13-H, BRT21-H, BRT22-F, BRT22-H, BRT23-F, BRT23-H, and BRT23-M</t>
  </si>
  <si>
    <t xml:space="preserve">Removal of product with incorrect nomenclature.
</t>
  </si>
  <si>
    <t>PCN OMV-913-2016</t>
  </si>
  <si>
    <t>https://www.vishay.com/quality/pcn-doc/PCN-OMV-913-2016-Rev-0/ptn_omv_913_2016_rev0.pdf/</t>
  </si>
  <si>
    <t>Phase out TELUX Customized Low Runners</t>
  </si>
  <si>
    <t>TLWR8902-60_x000D_
TLWY8905-60</t>
  </si>
  <si>
    <t xml:space="preserve">Due to declining demand of listed devices and production consolidation it is necessary to
</t>
  </si>
  <si>
    <t>https://www.vishay.com/quality/pcn-doc/PCN-OMV-913-2016-Rev-1/ptn_omv_913_2016_rev1.pdf/</t>
  </si>
  <si>
    <t>Cancellation of this PTN:Phase out TELUX Customized Low Runners</t>
  </si>
  <si>
    <t>PCN OMV-947-2017</t>
  </si>
  <si>
    <t>https://www.vishay.com/quality/pcn-doc/PCN-OMV-947-2017-Rev-0/ptn_omv_947_2017_rev0.pdf/</t>
  </si>
  <si>
    <t>Discontinuance of Dormant Optocouplers</t>
  </si>
  <si>
    <t>4N32-X009, 4N33-X017_x000D_
6N1135, 6N1135-X006, 6N1136_x000D_
H11A1-X007, H11A1-X017, H11B3_x000D_
IL2-LB, IL256AT-2037-LB_x000D_
ILD250-X009, ILD251, ILD252-X009, ILD252-X017T, ILD621-X016, ILD621-X019T_x000D_
ILQ621GB-X016, ILQ621-X001, ILQ66-2, ILQ66-4X001_x000D_
LH1529BAC, LH1529BACTR, LH1529FPTR, LH1529FPTR_x000D_
MCT5211-X009, MCT5211-X017T_x000D_
SFH6139-X006, SFH6139-X017, SFH6139-X017T, SFH615ABM-X006, SFH615ABM-X016_x000D_
TCMT1111, TCMT1112, TCMT1114, TCMT1115</t>
  </si>
  <si>
    <t xml:space="preserve">No Sales on identified product.
</t>
  </si>
  <si>
    <t>PCN OMV-952-2017</t>
  </si>
  <si>
    <t>https://www.vishay.com/quality/pcn-doc/PCN-OMV-952-2017-Rev-0/ptn_omv_952_2017_rev0.pdf/</t>
  </si>
  <si>
    <t>End of life of VSOP5....series</t>
  </si>
  <si>
    <t>VSOP5....series</t>
  </si>
  <si>
    <t xml:space="preserve">Consolidation of the Portfolio.
</t>
  </si>
  <si>
    <t>PCN OMV-953-2017</t>
  </si>
  <si>
    <t>https://www.vishay.com/quality/pcn-doc/PCN-OMV-953-2017-Rev-0/ptn_omv_953_2017_rev0.pdf/</t>
  </si>
  <si>
    <t>Obsolecence announcement for the LH1535AT and LH1535AAB products</t>
  </si>
  <si>
    <t>LH1535 Series_x000D_
LH1535AT, LH1535AAB</t>
  </si>
  <si>
    <t>there is no sales</t>
  </si>
  <si>
    <t>PCN OMV-963-2017</t>
  </si>
  <si>
    <t>https://www.vishay.com/quality/pcn-doc/PCN-OMV-963-2017-Rev-0/ptn_omv_963_2017_rev0.pdf/</t>
  </si>
  <si>
    <t>Obsolescence of Product with low sales and Product impacted by material obsolescence</t>
  </si>
  <si>
    <t>4N Series (Select Parts)_x000D_
4N32-X000, 4N32-X001, 4N32-X006, 4N32-X007, 4N32-X007T ,4N32-X009T, 4N32-X017T ,4N33-X000, 4N33-_x000D_
X00, 14N33-X007, 4N33-X007T, 4N33-X009, 4N33-X009T, 4N33-X017T, 4N35-691_x000D_
6N Series (Select Parts)_x000D_
6N1135-X009T, 6N1136-X006, 6N1136-X009T_x000D_
CNY17-3 K7468_x000D_
H11 Series (Select Parts)_x000D_
H11A2, H11A3, H11A4, H11A5_x000D_
H11B1, H11B1-X001, H11B1-X007, H11B1-X007T, H11B1-X009T, H11B1-X017, H11B2, H11B2-X009, H11B2-_x000D_
X009T_x000D_
IL Series (Select Parts)_x000D_
IL1, IL1-X016, IL2, IL203, IL203-X009T, IL255-X007T, IL5, IL66-1, IL66-1X016, IL766B-1, IL766B-2, IL766B-_x000D_
2X009T, IL766B-2X016_x000D_
ILD Series (Select Parts)_x000D_
ILD213T E9058-LB, ILD2-2027, ILD250, ILD250-X009T, ILD252, ILD252-X009T, ILD2-906TWP, ILD621, ILD621-_x000D_
X001, ILD621-X007, ILD621-X009T, ILD66-2, ILD66-4, ILD66-4X007T, ILD66-4X009, ILD66-4X009TWP_x000D_
ILQ Series (Select Parts)_x000D_
ILQ5, ILQ5-X009, ILQ5-X009T, ILQ66-1, ILQ66-3, ILQ66-4, ILQ66-4X007T, ILQ66-4X009T_x000D_
LH1529 Family_x000D_
LH1529AAC, LH1529AACTR, LH1529BB, LH1529GP, LH1529GPTR_x000D_
MCA Series_x000D_
MCA231, MCA231-X009, MCA231-X009T_x000D_
MCT Series (Select parts)_x000D_
MCT5211, MCT5211-X007, MCT5211-X007T, MCT5211-X009T_x000D_
SFH Series (Select parts)_x000D_
SFH6135-X006, SFH6138, SFH6139, SFH615ABM, SFH615ABM-X007T, SFH6186-3X002, SFH6186-3X002T,_x000D_
SFH620AGB-3114, SFH6325, SFH6325-X009, SFH6345-X017, SFH655A, SFH655A-X009T, SFH6742-X006,_x000D_
SFH6752-X007T</t>
  </si>
  <si>
    <t>Obsolescence of the detector die by the vendor.</t>
  </si>
  <si>
    <t>PCN OMV-969-2017</t>
  </si>
  <si>
    <t>https://www.vishay.com/quality/pcn-doc/PCN-OMV-969-2017-Rev-0/ptn_omv_969_2017_rev0.pdf/</t>
  </si>
  <si>
    <t>Obsolete No runnerTSOP4137</t>
  </si>
  <si>
    <t>TSOP4137</t>
  </si>
  <si>
    <t>PCN OMV-977-2017</t>
  </si>
  <si>
    <t>https://www.vishay.com/quality/pcn-doc/PCN-OMV-977-2017-Rev-0/ptn_omv_977_2017_rev0.pdf/</t>
  </si>
  <si>
    <t>Product Discontinuation of no Running Leaded Visible LED Devices</t>
  </si>
  <si>
    <t>TLHA44R1S2-ASZ TLHR4201-AS12Z TLHY6405-BTZ_x000D_
TLHE42T2V1 TLHR4405-AS21 TLLG4401-AS12Z_x000D_
TLHF4901 TLHR5405-AS21 TLVH4201_x000D_
TLHG5205-AS21 TLHR6405-BT12Z TLWR8601_x000D_
TLHG6405-BTZ TLHY4438 TLWR8903</t>
  </si>
  <si>
    <t xml:space="preserve">Product discontinuation due to no business last 2 years
</t>
  </si>
  <si>
    <t>PCN OSI-353-2009</t>
  </si>
  <si>
    <t>https://www.vishay.com/quality/pcn-doc/PCN-OSI-353-2009-Rev-0/osi_353_2009_rev0.pdf/</t>
  </si>
  <si>
    <t>Discontinuation of intensity subgroups for TSHA550*</t>
  </si>
  <si>
    <t>TSHA5501 TSHA5502 TSHA5502-AS12Z TSHA5502-AS21 TSHA5503 TSHA5503-AS21 TSHA6501 TSHA6502 TSHA6503 TSHA6503-AS21 TSHA6503-CS12Z TSHA6503-CS21</t>
  </si>
  <si>
    <t xml:space="preserve">Due to no demand of the lower intensity groups, yield situation for -3 group cannot
</t>
  </si>
  <si>
    <t>PCN OSI-364-2009</t>
  </si>
  <si>
    <t>https://www.vishay.com/quality/pcn-doc/PCN-OSI-364-2009-Rev-0/osi_364_2009_rev0.pdf/</t>
  </si>
  <si>
    <t>TFBS4710 Product Obsoloscence</t>
  </si>
  <si>
    <t>TFBS4710- TR1_x000D_
TFBS4710- TR3_x000D_
TFBS4710- TT1_x000D_
TFBS4710- TT3</t>
  </si>
  <si>
    <t>PCN OSI-365-2009</t>
  </si>
  <si>
    <t>https://www.vishay.com/quality/pcn-doc/PCN-OSI-365-2009-Rev-0/osi_365_2009_rev0.pdf/</t>
  </si>
  <si>
    <t>TFDU6301 Product Obsoloscence</t>
  </si>
  <si>
    <t>TFDU6301-TR1_x000D_
TFDU6301-TR3_x000D_
TFDU6301-TT1_x000D_
TFDU6301-TT3</t>
  </si>
  <si>
    <t xml:space="preserve">Consolidation program
</t>
  </si>
  <si>
    <t>PCN OSI-428-2010</t>
  </si>
  <si>
    <t>https://www.vishay.com/quality/pcn-doc/PCN-OSI-428-2010-Rev-1/pcn_osi_428_2010_rev1.pdf/</t>
  </si>
  <si>
    <t>Product Discontinuation of low running Opto parts - 2010</t>
  </si>
  <si>
    <t>please refer to attached detailed partnumber list</t>
  </si>
  <si>
    <t xml:space="preserve">Due to low demand of listed devices a product and production consolidation is necessary to streamline and optimize facility resource utilization. In
</t>
  </si>
  <si>
    <t>PCN OSI-448-2010</t>
  </si>
  <si>
    <t>https://www.vishay.com/quality/pcn-doc/PCN-OSI-448-2010-Rev-0/osi_448_2010_rev0.pdf/</t>
  </si>
  <si>
    <t>TFDU8108 Product Obsolescence</t>
  </si>
  <si>
    <t>TFDU8108-TR3_x000D_
TFDU8108-TT3_x000D_
TFDU8108</t>
  </si>
  <si>
    <t xml:space="preserve">ASIC supplier announced to discontinue the production of the internal ASIC.
</t>
  </si>
  <si>
    <t>PCN OSI-477-2011</t>
  </si>
  <si>
    <t>https://www.vishay.com/quality/pcn-doc/PCN-OSI-477-2011-Rev-0/ptn_osi_477_2011_rev0.pdf/</t>
  </si>
  <si>
    <t>Product DiscontinuationEOL of TCPT1200x and TCUT1200x</t>
  </si>
  <si>
    <t>TCPT1200  _x000D_
TCPT1200X01  _x000D_
TCPT1200TX01  _x000D_
TCUT1200  _x000D_
TCUT1200X01</t>
  </si>
  <si>
    <t xml:space="preserve">For the last 2 years Vishay agreed to offer a continuous supply of these EOL devices for
</t>
  </si>
  <si>
    <t>PCN OSI-489-2011</t>
  </si>
  <si>
    <t>https://www.vishay.com/quality/pcn-doc/PCN-OSI-489-2011-Rev-0/ptn_osi_489_2011_rev0.pdf/</t>
  </si>
  <si>
    <t>Product Discontinuation of no running Opto Parts 2011</t>
  </si>
  <si>
    <t>IR Receivers / Infrared Emitters / LEDs / Optical Sensors / Optocouplers, Isolators / Photo Detectors / Solid State Relays_x000D_
Please refer to the attached part list.</t>
  </si>
  <si>
    <t xml:space="preserve">Due to no demand within the last 3 years the listed device are announced to be
</t>
  </si>
  <si>
    <t>PCN OSI-550-2011</t>
  </si>
  <si>
    <t>https://www.vishay.com/quality/pcn-doc/PCN-OSI-550-2011-Rev-0/pcn_osi_550_2011_rev0.pdf/</t>
  </si>
  <si>
    <t>EOL of no running customized photodiodes</t>
  </si>
  <si>
    <t>T1173P-SD-F_x000D_
T1183P-SD-F_x000D_
T1186P-SD-F</t>
  </si>
  <si>
    <t xml:space="preserve">3 Photodiodes have been developed for the customer Finisar. These chips request a
</t>
  </si>
  <si>
    <t>PCN OSI-579-2012</t>
  </si>
  <si>
    <t>https://www.vishay.com/quality/pcn-doc/PCN-OSI-579-2012-Rev-0/pcn_osi_579_2012_rev0.pdf/</t>
  </si>
  <si>
    <t>Optoelectronics, Sensors</t>
  </si>
  <si>
    <t>Discontinue HP Custom Sensor Q7057-60048(Gator, K798P) and C9101-60157(LOID, K711P)</t>
  </si>
  <si>
    <t>Q7057-60048(Gator, K798P_x000D_
C9101-60157(LOID, K711P)</t>
  </si>
  <si>
    <t xml:space="preserve">No production orders
</t>
  </si>
  <si>
    <t>PCN OSI-584-2012</t>
  </si>
  <si>
    <t>https://www.vishay.com/quality/pcn-doc/PCN-OSI-584-2012-Rev-0/pcn_osi_584_2012_rev0.pdf/</t>
  </si>
  <si>
    <t>HP Custom Sensor C5956-60948 K728P Transparency Detector</t>
  </si>
  <si>
    <t>C5956-60948</t>
  </si>
  <si>
    <t xml:space="preserve">HP has advised us that they will no longer order this sensor so we can discontinue it.
</t>
  </si>
  <si>
    <t>PCN OSI-611-2012</t>
  </si>
  <si>
    <t>https://www.vishay.com/quality/pcn-doc/PCN-OSI-611-2012-Rev-0/pcn_osi_611_2012_rev0.pdf/</t>
  </si>
  <si>
    <t>Product Discontinuation - End of Life of TEMD5000 and TEMD5100</t>
  </si>
  <si>
    <t>TEMD5000-PTY_x000D_
TEMD5100-PTY</t>
  </si>
  <si>
    <t xml:space="preserve">For the last 4 years Vishay agreed to offer a continuous supply of these EOL devices for
</t>
  </si>
  <si>
    <t>PCN OSI-615-2012</t>
  </si>
  <si>
    <t>https://www.vishay.com/quality/pcn-doc/PCN-OSI-615-2012-Rev-0/pcn_osi_615_2012_rev0.pdf/</t>
  </si>
  <si>
    <t>Product Discontinuation - End of Life of V7504P</t>
  </si>
  <si>
    <t>V7504P</t>
  </si>
  <si>
    <t xml:space="preserve">Declining demand
</t>
  </si>
  <si>
    <t>PCN OSI-649-2013</t>
  </si>
  <si>
    <t>https://www.vishay.com/quality/pcn-doc/PCN-OSI-649-2013-Rev-0/pcn_osi_649_2013_rev0.pdf/</t>
  </si>
  <si>
    <t>Product Discontinuation of TCNT2000</t>
  </si>
  <si>
    <t>TCNT2000</t>
  </si>
  <si>
    <t xml:space="preserve">Due to technical issues,TCNT2000 is announced for discontinuation.For this reason, the
</t>
  </si>
  <si>
    <t>PCN OSI-675-2013</t>
  </si>
  <si>
    <t>https://www.vishay.com/quality/pcn-doc/PCN-OSI-675-2013-Rev-0/pcn_osi_675_2013_rev0.pdf/</t>
  </si>
  <si>
    <t>TFDU2201 Product Obsolescence</t>
  </si>
  <si>
    <t>TFDU2201-TR1_x000D_
TFDU2201-TR3</t>
  </si>
  <si>
    <t xml:space="preserve">Volume of business has become too small to support.
</t>
  </si>
  <si>
    <t>PCN OSI-677-2013</t>
  </si>
  <si>
    <t>https://www.vishay.com/quality/pcn-doc/PCN-OSI-677-2013-Rev-0/pcn_osi_677_2013_rev0.pdf/</t>
  </si>
  <si>
    <t>TFBS6711, TFDU6103, TFDU6300 Product Obsolescence</t>
  </si>
  <si>
    <t>TFBS6711, TFDU6103, TFDU6300</t>
  </si>
  <si>
    <t xml:space="preserve">EOL of IC process
</t>
  </si>
  <si>
    <t>PCN OSI-705-2013</t>
  </si>
  <si>
    <t>https://www.vishay.com/quality/pcn-doc/PCN-OSI-705-2013-Rev-0/ptn_osi_705_2013_rev0.pdf/</t>
  </si>
  <si>
    <t>Product Discontinuation of VCNL4000</t>
  </si>
  <si>
    <t>VCNL4000-GS08_x000D_
VCNL4000-GS18</t>
  </si>
  <si>
    <t xml:space="preserve">Due to declining demand for integrated proximity sensors without interrupt function,the
</t>
  </si>
  <si>
    <t>PCN OSI-713-2013</t>
  </si>
  <si>
    <t>https://www.vishay.com/quality/pcn-doc/PCN-OSI-713-2013-Rev-0/ptn_osi_713_2013_rev0.pdf/</t>
  </si>
  <si>
    <t>Product Discontinuation of low running 5mm TSAL-Family infrared emitter devices</t>
  </si>
  <si>
    <t>refer to attached detailed part number list</t>
  </si>
  <si>
    <t xml:space="preserve">declining demand
</t>
  </si>
  <si>
    <t>PCN OSI-757-2014</t>
  </si>
  <si>
    <t>https://www.vishay.com/quality/pcn-doc/PCN-OSI-757-2014-Rev-0/ptn_osi_757_2014_rev0.pdf/</t>
  </si>
  <si>
    <t>Discontinuation of no running sensor parts</t>
  </si>
  <si>
    <t>TEPT4402, TEPT4402-MS12Z, TSAL6201F, T8811VDN-E-F, S7703P, TSAL4400P, TSAL4400P-ASZ, TSAL4400P-MSZ, TCM4800, TEKS5424-GS18, K211P, TEPT4400DEVKIT, TEPT5600DEVKIT, TEPT5700DEVKIT, TEMT6000DEVKIT, TEMT6200FDEVKIT, TSHA4480-MS12Z, V3770PH-GS18, V5300P-CSZ, V5300P-MSZ</t>
  </si>
  <si>
    <t xml:space="preserve">No running parts
</t>
  </si>
  <si>
    <t>PCN OSI-769-2014</t>
  </si>
  <si>
    <t>https://www.vishay.com/quality/pcn-doc/PCN-OSI-769-2014-Rev-0/ptn_osi_769_2014_rev0.pdf/</t>
  </si>
  <si>
    <t>Product Discontinuation of 3mm Infrared Emitter TSUS3400, TSUS3410, TSHF4410</t>
  </si>
  <si>
    <t>TSUS3400_x000D_
TSUS3410_x000D_
TSHF4410</t>
  </si>
  <si>
    <t xml:space="preserve">low demand
</t>
  </si>
  <si>
    <t>PCN OSI-789-2014</t>
  </si>
  <si>
    <t>https://www.vishay.com/quality/pcn-doc/PCN-OSI-789-2014-Rev-0/ptn_osi_789_2014_rev0.pdf/</t>
  </si>
  <si>
    <t>TSMF1031X01 and TSMF1032X01 discontinuation</t>
  </si>
  <si>
    <t>TSMF1031X01_x000D_
TSMF1032X01</t>
  </si>
  <si>
    <t xml:space="preserve">Declining demand.
</t>
  </si>
  <si>
    <t>PCN OSI-799-2014</t>
  </si>
  <si>
    <t>https://www.vishay.com/quality/pcn-doc/PCN-OSI-799-2014-Rev-0/ptn_osi_799_2014_rev0.pdf/</t>
  </si>
  <si>
    <t>End of Life of TOIM4232-TR3 and TOIM5232-TR3</t>
  </si>
  <si>
    <t>TOIM4232-TR3; TOIM5232-TR3</t>
  </si>
  <si>
    <t xml:space="preserve">Supplier obsoletes the product.
</t>
  </si>
  <si>
    <t>PCN OSI-817-2015</t>
  </si>
  <si>
    <t>https://www.vishay.com/quality/pcn-doc/PCN-OSI-817-2015-Rev-0/ptn_osi_817_2015_rev0.pdf/</t>
  </si>
  <si>
    <t>Discontinuation of A9T80-80023</t>
  </si>
  <si>
    <t>A9T80-80023/HP part number_x000D_
K7210P/Vishay intern part number</t>
  </si>
  <si>
    <t xml:space="preserve">Customer request (Consolidation of both analog encoder part numbers under C9000-
</t>
  </si>
  <si>
    <t>PCN OSI-851-2015</t>
  </si>
  <si>
    <t>https://www.vishay.com/quality/pcn-doc/PCN-OSI-851-2015-Rev-0/ptn_osi_851_2015_rev0.pdf/</t>
  </si>
  <si>
    <t>VSLB9530S discontinuation</t>
  </si>
  <si>
    <t>VSLB9530S</t>
  </si>
  <si>
    <t>PCN OSI-859-2015</t>
  </si>
  <si>
    <t>https://www.vishay.com/quality/pcn-doc/PCN-OSI-859-2015-Rev-0/ptn_osi_859_2015_rev0.pdf/</t>
  </si>
  <si>
    <t>S8020P Discontinuation</t>
  </si>
  <si>
    <t>S8020P</t>
  </si>
  <si>
    <t>PCN OSI-898-2016</t>
  </si>
  <si>
    <t>https://www.vishay.com/quality/pcn-doc/PCN-OSI-898-2016-Rev-0/ptn_osi_898_2016_rev0.pdf/</t>
  </si>
  <si>
    <t>Die and Wafer, Optoelectronics</t>
  </si>
  <si>
    <t>TS8542VA</t>
  </si>
  <si>
    <t xml:space="preserve">End supplier changed chip specification and do not supply old chips anymore
</t>
  </si>
  <si>
    <t>PCN OSI-945-2007</t>
  </si>
  <si>
    <t>https://www.vishay.com/quality/pcn-doc/PCN-OSI-945-2007-Rev-0/ptn_osi_945_2017_rev0.pdf/</t>
  </si>
  <si>
    <t>Discontinuation of side view lens infrared emitters and photodetectors</t>
  </si>
  <si>
    <t>TEKS5421X01-FGZ_x000D_
TEKS5421X01-FSZ_x000D_
TEKS5422X01-FGZ_x000D_
TEKS5422X01-FSZ_x000D_
TEKS5423X01-GS18_x000D_
TSKS5400-FSZ_x000D_
TSKS5421SX01-GSZ_x000D_
TSKS5421X01-FSZ_x000D_
TSKS5421X01-GSZ_x000D_
TSKS5422X01-FSZ</t>
  </si>
  <si>
    <t xml:space="preserve">Low demand
</t>
  </si>
  <si>
    <t>PCN OSI-956-2017</t>
  </si>
  <si>
    <t>https://www.vishay.com/quality/pcn-doc/PCN-OSI-956-2017-Rev-0/ptn_osi_956_2017_rev0.pdf/</t>
  </si>
  <si>
    <t>TS9410VA and TS9414VA Discontinuation</t>
  </si>
  <si>
    <t>TS9410VA_x000D_
TS9414VA</t>
  </si>
  <si>
    <t xml:space="preserve">No sales the last 2 years.
</t>
  </si>
  <si>
    <t>PCN OSI-957-2017</t>
  </si>
  <si>
    <t>https://www.vishay.com/quality/pcn-doc/PCN-OSI-957-2017-Rev-0/ptn_osi_957_2017_rev0.pdf/</t>
  </si>
  <si>
    <t>TS8510VA TS8514VA TS8520VA TS8542VA Discontinuation</t>
  </si>
  <si>
    <t>TS8510VA TS8514VA TS8520VA TS8542VA</t>
  </si>
  <si>
    <t>PCN OSI-958-2017</t>
  </si>
  <si>
    <t>https://www.vishay.com/quality/pcn-doc/PCN-OSI-958-2017-Rev-0/ptn_osi_958_2017_rev0.pdf/</t>
  </si>
  <si>
    <t>T9508VA Discontinuation</t>
  </si>
  <si>
    <t>T9508VA</t>
  </si>
  <si>
    <t xml:space="preserve">No sales in the past years
</t>
  </si>
  <si>
    <t>PCN-PDD-001-2010</t>
  </si>
  <si>
    <t>https://www.vishay.com/quality/pcn-doc/PCN-PDD-001-2010-Rev-0/PCN-PDD-001-2010%20Rev%200_Discontinuation%20of%20Non%20RoHS%20Compliant%20PNs.pdf/</t>
  </si>
  <si>
    <t>Discontinuation of Non RoHS Compliant Level 2 Lead Finished Packages</t>
  </si>
  <si>
    <t>1.5KA, 1.5KE, 1N59xx, 1N62xx, 1N63xx, ICTE, LCE, SUF15, GP20, RGP20, 1N5624GP~1N5627GP, BY228GP, BY251GP~BY255GP, CGP30, DGP30, GP25, GP30, RGP25, RGP30, P6KA, P6KE, SAxx, SACxx, BZW04, P4KA, P4KE, Z4KE, 1N36xxGP, 1N3957GP, 1N40xxGP, 1N42xxGP, 1N49xxGP, AGP10, BAxxGP, BY206GP, BYD13xGP, BYD33xGP, BYW27, BYX10, E/GP10, GI250, GP02, GP08, GP10, RGP10A, RGP50, RGP51, SBYV26C, TVR06, TVR10, 5KP, 6KA, ITO220 Wire Bond, TO220, TO262 Wire Bond, TO263, TGL41, ZGL41, SMB Rectifiers, SMB TVS, SMC Rectifiers, SMC TVS, SMA Rectifiers, SMA TVS, EGF1x, GF1x, RGF1x, SM5A, SM5S, SM6A, SM6S, SM8A, SM8S</t>
  </si>
  <si>
    <t>Only less than 5% of customers left still buy the Lead plating packages causing the plating cost to go
unacceptably high. In addition to that, plating house is shutting down the Lead plating facility</t>
  </si>
  <si>
    <t>PCN-PDD-002-2010</t>
  </si>
  <si>
    <t>https://www.vishay.com/quality/pcn-doc/PCN-PDD-002-2010-Rev-0/PCN-PDD-002-2010%20Rev%200_Discontinuation%20of%20TO-3P%20TMBS.pdf/</t>
  </si>
  <si>
    <t>DISCONTINUATION OF TMBS RECTIFIER IN SOLDERING PROCESSED TO-247AD (TO-3P)</t>
  </si>
  <si>
    <t>V30100P-E3/45_x000D_
V40100P-E3/45_x000D_
V40100PG-E3/45_x000D_
V50100P-E3/45_x000D_
V60100P-E3/45_x000D_
V60200PG-E3/45_x000D_
V80100P-E3/45</t>
  </si>
  <si>
    <t>Process consolidation to improve capacity &amp; delivery support.</t>
  </si>
  <si>
    <t>PCN-PDD-003-2011</t>
  </si>
  <si>
    <t>https://www.vishay.com/quality/pcn-doc/PCN-PDD-003-2011-Rev-0/PCN-PDD-003-2011%20Rev%200_EOL%2010%20TransZorb%20TVS.pdf/</t>
  </si>
  <si>
    <t>EOL 10% TransZorb TVS</t>
  </si>
  <si>
    <t>1.5KE, 1N62xx, 1N63xx, LCE, P6KE, SAxx, BZW04, P4KE, Z4KE, TGL41, ZGL41, SMBJ, SMB8J, SMB10J, SMZG, SMZJ, SMCJ, SMBG, SMCG, SMAJ, SMA5J, SMPxx, 5KP</t>
  </si>
  <si>
    <t>Small sales volume.</t>
  </si>
  <si>
    <t>PCN-PDD-005-2010</t>
  </si>
  <si>
    <t>https://www.vishay.com/quality/pcn-doc/PCN-PDD-005-2010-Rev-0/PCN-PDD-005-2010%20Rev%200_Discontinuation%20of%20Non%20Preferred%20Packing%20Materials.pdf/</t>
  </si>
  <si>
    <t>Discontinuation of Non Preferred Packing Materials</t>
  </si>
  <si>
    <t>Process consolidation to improve capacity &amp; delivery support</t>
  </si>
  <si>
    <t>PCN-PDD-006-2011</t>
  </si>
  <si>
    <t>https://www.vishay.com/quality/pcn-doc/PCN-PDD-006-2011-Rev-0/PCN-PDD-006-2011%20Rev%200_RCT%20Product%20EOL.pdf/</t>
  </si>
  <si>
    <t>RCT Product EOL</t>
  </si>
  <si>
    <t>EOL by series_x000D_
AGP15-400~800-E3/HE3, BY127MGP-E3/HE3, BY133GP-E3/HE3, BY134GP-E3/HE3, BY227MGP-E3/HE3, MSS1P2U-M3, MSS1P3U-M3, SB1H90~100HE3, SB3H90~100HE3, SB5H90~100HE3, VSIB420~480-E3, VSIB4A20~80-E3_x000D_
_x000D_
EOL by Panasert and Avisert packing code_x000D_
1N4001~7GPE-E3/HE3, 1N4007GP-E3/HE3, 1N4937GPE-E3/HE3, BA158~159GPE-E3/HE3, EGP10A~G-E3/HE3, GP10-4003E~4005E-E3/HE3, GP10GE-E3/HE3, GP10YE-E3/HE3, RGP02-15E-E3/HE3, RGP10AE~ME-E3/HE3, RGP10A~M-E3/HE3</t>
  </si>
  <si>
    <t>PCN-PDD-008-2010</t>
  </si>
  <si>
    <t>https://www.vishay.com/quality/pcn-doc/PCN-PDD-008-2010-Rev-0/PCN-PDD-008-2010%20Rev%200_EOL%20of%20Rectifier%20and%20TVS%20Products.pdf/</t>
  </si>
  <si>
    <t>Products end of life (EOL)</t>
  </si>
  <si>
    <t>PCN-SF-088-2009</t>
  </si>
  <si>
    <t>Vishay Sfernice&gt;</t>
  </si>
  <si>
    <t>Obsolescence of L0505 and L1005</t>
  </si>
  <si>
    <t>L0505 L1005</t>
  </si>
  <si>
    <t>PCN-SF-089-2009</t>
  </si>
  <si>
    <t>PCN SF FL089 2009 T19P</t>
  </si>
  <si>
    <t>T19PxKT10</t>
  </si>
  <si>
    <t>Decreasing demand</t>
  </si>
  <si>
    <t>PCN-SF-101-2011</t>
  </si>
  <si>
    <t>Obsolescence of non moving cases of CH</t>
  </si>
  <si>
    <t>CH0505 CH0705 CH0805 CH1206 ALL OTHER CH PART NUMBERS WILL REMAIN AVAILABLE</t>
  </si>
  <si>
    <t xml:space="preserve"> Non moving items
</t>
  </si>
  <si>
    <t>PCN-SF-105-2011</t>
  </si>
  <si>
    <t>Obsolescence of P option 31 and option 51 (to be replaced by PHT)</t>
  </si>
  <si>
    <t>All P part numbers ending by 31 or 51. List available upon request.</t>
  </si>
  <si>
    <t xml:space="preserve"> Standard Product PHT now available with enhanced performances
</t>
  </si>
  <si>
    <t>PCN-SF-108-2011</t>
  </si>
  <si>
    <t>Obsolescnece of Option R0033</t>
  </si>
  <si>
    <t>P0603xxxxT0033 (only P0603 ending by 0033)</t>
  </si>
  <si>
    <t xml:space="preserve"> Thermoformed tape is now standard (no more option needed)
</t>
  </si>
  <si>
    <t>PCN-SF-122-2012</t>
  </si>
  <si>
    <t>Change of part numberP with option 0079to be replaced by P with TCR C</t>
  </si>
  <si>
    <t>P/PHR series P/N ending ONLY by 79</t>
  </si>
  <si>
    <t>Option 0079 was intended to offer a 5ppm/°C tempe rature
coefficient (-55°C; +155°C) which is now offered in
standard: TCR: “C”</t>
  </si>
  <si>
    <t>PCN-SF-129-2013</t>
  </si>
  <si>
    <t>https://www.vishay.com/quality/pcn-doc/PCN-SF-129-2013-Rev-0/PCN_Range_TRB021%20et%20TRB023.pdf/</t>
  </si>
  <si>
    <t>Vishay Aztronic&gt;</t>
  </si>
  <si>
    <t>Molded Shielded Inductors, Axial Leads,type TRB</t>
  </si>
  <si>
    <t>TRB021* TRB023</t>
  </si>
  <si>
    <t>Raw Material Obsolescence</t>
  </si>
  <si>
    <t>PCN-SF-146-2014</t>
  </si>
  <si>
    <t>PTN SF FL146 2014 Sfernice Metal Film NK NY NP NT SL obsolescence</t>
  </si>
  <si>
    <t>NK NY NP NT SL</t>
  </si>
  <si>
    <t xml:space="preserve"> Low demand. Potential cross references:
</t>
  </si>
  <si>
    <t>PCN-SF-151-2015</t>
  </si>
  <si>
    <t>https://www.vishay.com/quality/pcn-doc/PCN-SF-151-2015-Rev-0/PCN_SF151_2015_Rev%200%20Thales%20A000064.pdf/</t>
  </si>
  <si>
    <t>s Custom P/N 79 991 255</t>
  </si>
  <si>
    <t>TORWIVNB00A000064</t>
  </si>
  <si>
    <t>End of life on magnetic core MPP 55030-M4 (SFERZB400074)</t>
  </si>
  <si>
    <t>PCN-SIL-0042010</t>
  </si>
  <si>
    <t>MOSFETS</t>
  </si>
  <si>
    <t>Vishay Siliconix&gt;</t>
  </si>
  <si>
    <t>TO92 Obsolescence</t>
  </si>
  <si>
    <t xml:space="preserve"> Termination of captive production line for TO-92 products
</t>
  </si>
  <si>
    <t>PCN-SIL-0042011</t>
  </si>
  <si>
    <t>https://www.vishay.com/quality/pcn-doc/PCN-SIL-004-2011-Rev-0/PCN-SIL-0042011%20Commerical%20Power%20MOSFET%20Obsolescence.pdf/</t>
  </si>
  <si>
    <t>Commercial Power MOSFET Obsolescence</t>
  </si>
  <si>
    <t>SI1305EDL-T1-E3 SI1305EDL-T1-GE3 SI1450DH-T1-E3 SI1450DH-T1-GE3 SI1472DH-T1-E3 SI1867DL-T1-E3 SI1867DL-T1-GE3 SI1905DL-T1 SI2311DS-T1-E3 SI2311DS-T1-GE3 SI2331DS-T1-E3 SI2331DS-T1-GE3 SI2341DS-T1-E3 SI2341DS-T1-GE3 Si3407DV-T1-E3 Si3410DV-T1-E3 SI3451DV-T1-E3 SI3451DV-T1-GE3 SI3475DV-T1-E3  SI3499DV-T1-E3 SI3812DV-T1-E3 SI3831DV-T1-E3 SI3831DV-T1-GE3 SI3879DV-T1-E3 SI3879DV-T1-GE3 SI3905DV-T1-E3 SI3905DV-T1-GE3 SI3909DV-T1-E3 SI3909DV-T1-GE3 SI3948DV-T1-E3 SI3983DV-T1-E3 SI3983DV-T1-GE3 SI4322DY-T1-E3 SI4322DY-T1-GE3 SI4398DY-T1-E3 SI4398DY-T1-GE3 SI4401DY-T1 SI4404DY-T1 SI4442DY-T1 SI4453DY-T1-E3 SI4453DY-T1-GE3 SI4466DY-T1 SI4532ADY-T1 SI4561DY-T1-E3 SI4561DY-T1-GE3 SI4565ADY-T1-E3 SI4565ADY-T1-GE3 SI4642DY-T1-E3 SI4684DY-T1-E3 SI4684DY-T1-GE3 Si4688DY-T1-E3 Si4688DY-T1-GE3 SI4831BDY-T1-E3 SI4831BDY-T1-GE3 SI4834BDY-T1-E3 SI4834BDY-T1-GE3 SI4845DY-T1-E3 SI4845DY-T1-E3-S SI4845DY-T1-GE3 SI4866DY-T1 SI4908DY-T1-E3 SI4908DY-T1-GE3 SI4920DY-T1 SI4940DY-T1 SI5401DC-T1-E3 SI5401DC-T1-GE3 SI5406DC-T1-E3 SI5406DC-T1-GE3 SI5447DC-T1-E3 SI5447DC-T1-GE3 SI5449DC-T1-E3 SI5449DC-T1-GE3 SI5463EDC-T1-E3 SI5463EDC-T1-GE3 SI5473DC-T1-E3 SI5473DC-T1-GE3 SI5475DC-T1-E3 SI5475DC-T1-GE3 SI5479DU-T1-GE3 SI5480DU-T1-GE3 SI5481DU-T1-GE3 SI5484DU-T1-GE3 SI5485DU-T1-GE3 SI5499DC-T1-E3 SI5499DC-T1-GE3 SI5511DC-T1-E3 SI5511DC-T1-GE3 SI5519DU-T1-GE3 SI5856DC-T1-E3 SI5856DC-T1-GE3 SI5857DU-T1-GE3 SI5858DU-T1-GE3 SI5905BDC-T1-E3 SI5905BDC-T1-GE3 SI5915BDC-T1-E3 SI5915BDC-T1-GE3 SI5915DC-T1-E3 SI5915DC-T1-GE3 SI5920DC-T1-E3 SI5920DC-T1-GE3 SI5933DC-T1-E3 SI5933DC-T1-GE3 SI5935DC-T1-E3 SI5935DC-T1-GE3 SI5938DU-T1-GE3 SI5943DU-T1-GE3 SI5975DC-T1-E3 SI5975DC-T1-GE3 SI6404DQ-T1-E3 SI6413DQ-T1-E3 SI6415DQ-T1 SI6443DQ-T1-E3 SI6443DQ-T1-GE3 SI6459BDQ-T1-E3 SI6459BDQ-T1-GE3 SI6465DQ-T1-E3 SI6465DQ-T1-GE3 SI6473DQ-T1-E3 SI6473DQ-T1-GE3 SI6928DQ-T1 SI6933DQ-T1-E3 SI6933DQ-T1-GE3 SI6955ADQ-T1-E3 SI6955ADQ-T1-GE3 SI6966DQ-T1-E3 SI6966DQ-T1-GE3 SI6966EDQ-T1-E3 SI6966EDQ-T1-GE3 SI6967DQ-T1-E3 SI6967DQ-T1-GE3 SI6969BDQ-T1-E3 SI6969BDQ-T1-GE3 SI6969DQ-T1-E3 SI6969DQ-T1-GE3 SI6983DQ-T1-E3 SI6983DQ-T1-GE3 Si7156DP-T1-E3 Si7156DP-T1-GE3 SI7358ADP-T1-E3 SI7358ADP-T1-GE3 SI7368DP-T1-E3 SI7368DP-T1-GE3 SI7407DN-T1-E3 SI7407DN-T1-GE3 SI7445DP-T1-E3 SI7445DP-T1-GE3 SI7446BDP-T1-E3 SI7446BDP-T1-GE3 SI7452DP-T1-E3 SI7452DP-T1-GE3 SI7476DP-T1-E3 SI7476DP-T1-GE3 SI7495DP-T1-E3 SI7495DP-T1-GE3 SI7601DN-T1-E3 SI7601DN-T1-GE3 SI7664DP-T1-E3 SI7664DP-T1-GE3 SI7674DP-T1-E3 SI7674DP-T1-GE3 SI7860DP-T1 SI7886ADP-T1-GE3 SI7901EDN-T1-E3 SI7901EDN-T1-GE3 SI7909DN-T1-E3 SI7909DN-T1-GE3 SI7925DN-T1-E3 SI7925DN-T1-GE3 SI7983DP-T1-E3 SI7983DP-T1-GE3 SI8404DB-T1-E1 SI8435DB-T1-E1 SI8904EDB-T2-E1 SIA513DJ-T1-GE3 SIA811DJ-T1-GE3 SIA911EDJ-T1-GE3 SIB412DK-T1-GE3 SIB413DK-T1-GE3 SIB419DK-T1-GE3 SUD50N025-06P-E3 SUD50N03-16P-E3 SUD50N03-16P-GE3 SUD50N04-05L-E3 SUD50N04-16P-E3 SUD50P08-26-E3 SUM110P08-11-E3 SUM36N20-54P-E3 SUM47N10-24L-E3 SUP18N15-95-E3</t>
  </si>
  <si>
    <t xml:space="preserve"> Migration to newer Silicon Die Technologies
</t>
  </si>
  <si>
    <t>PCN-SIL-0052015</t>
  </si>
  <si>
    <t>https://www.vishay.com/quality/pcn-doc/PCN-SIL-005-2015-Rev-1/PCN-SIL-0052015%20Auto%20SQ3427EEV%20PTN.pdf/</t>
  </si>
  <si>
    <t>MOSFETs</t>
  </si>
  <si>
    <t>End of Life Notification</t>
  </si>
  <si>
    <t>SQ3427EEV-T1-GE3</t>
  </si>
  <si>
    <t xml:space="preserve">Closure of Fab at Santa Clara
</t>
  </si>
  <si>
    <t>PCN-SIL-0072010</t>
  </si>
  <si>
    <t>V50300 End of Life</t>
  </si>
  <si>
    <t>V50300</t>
  </si>
  <si>
    <t xml:space="preserve">32M cell trench is a mature process only available on 6 inch wafers and this part is only
</t>
  </si>
  <si>
    <t>PCN-SIL-0082014</t>
  </si>
  <si>
    <t>https://www.vishay.com/quality/pcn-doc/PCN-SIL-008-2014-Rev-0/PCN-SIL-0082014%20Obsolescence%20of%20MICROFOOT.pdf/</t>
  </si>
  <si>
    <t>ICs</t>
  </si>
  <si>
    <t>Obsolescence of 6-inch Bump Wafer MicroFOOT ICs</t>
  </si>
  <si>
    <t>DG3000DB-T1-E1_x000D_
DG3001DB-T1-E1_x000D_
DG3002DB-T1-E1_x000D_
DG3003DB-T1-E1_x000D_
DG3408DB-T2-E1_x000D_
DG3409DB-T2-E1_x000D_
DG3516DB-T5-E1_x000D_
DG3517DB-T5-E1_x000D_
DG3535ADB-T1-E1_x000D_
DG3535DB-T1-E1</t>
  </si>
  <si>
    <t xml:space="preserve">Exiting bump wafer facility.
</t>
  </si>
  <si>
    <t>PCN-SIL-0092016</t>
  </si>
  <si>
    <t>https://www.vishay.com/quality/pcn-doc/PCN-SIL-009-2016-Rev-1/PCN-SIL-0092016%20Commercial%20LVM%20End%20of%20Liferev1.pdf/</t>
  </si>
  <si>
    <t>Obsolescence of Commercial Low Power Mosfets</t>
  </si>
  <si>
    <t>See Page 2 of PCN for parts list</t>
  </si>
  <si>
    <t xml:space="preserve"> Migration to advanced Silicon Die Technologies.
</t>
  </si>
  <si>
    <t>PCN-SIL-0112010</t>
  </si>
  <si>
    <t>https://www.vishay.com/quality/pcn-doc/PCN-SIL-0112010/PCN-SIL-0112010%20PPAK2x5%20Obsolescence.pdf/</t>
  </si>
  <si>
    <t>EOL PPAK2x5</t>
  </si>
  <si>
    <t xml:space="preserve"> Termination of production for PPAK2x5 products
</t>
  </si>
  <si>
    <t>PCN-SIL-0122012</t>
  </si>
  <si>
    <t>https://www.vishay.com/quality/pcn-doc/PCN-SIL-012-2012-Rev-1/PCN-SIL-0122012%20Commerical%20Power%20MOSFET%20Obsolescence%20Rev1.pdf/</t>
  </si>
  <si>
    <t>Obsolescence of Commercial Power Mosfets</t>
  </si>
  <si>
    <t>Please see parts list identified on page 2 of this PCN aong with recommended replacement part numbers.</t>
  </si>
  <si>
    <t>PCN-SIL-0132010</t>
  </si>
  <si>
    <t>https://www.vishay.com/quality/pcn-doc/PCN-SIL-0132010/PCN-SIL-0132010%20EOL%20for%20SI5853CDC-T1-E3.pdf/</t>
  </si>
  <si>
    <t>SI5853CDC-T1-E3 EOL</t>
  </si>
  <si>
    <t xml:space="preserve"> Upgrade to new Silicon die technologies.
</t>
  </si>
  <si>
    <t>PCN-SIL-0132015</t>
  </si>
  <si>
    <t>https://www.vishay.com/quality/pcn-doc/PCN-SIL-013-2015-Rev-1/PCN-SIL-0132015%20Commercial%20LVM%20End%20of%20Life%20rev1.pdf/</t>
  </si>
  <si>
    <t>Obsolescence of Commercial Power</t>
  </si>
  <si>
    <t>Please see PCN page 2 for parts list</t>
  </si>
  <si>
    <t>PCN-SIL-0142014</t>
  </si>
  <si>
    <t>PCN-SIL-0152014</t>
  </si>
  <si>
    <t>SYD50P04-13L-E3  SYD50P04-15-E3</t>
  </si>
  <si>
    <t>https://www.vishay.com/quality/pcn-doc/PCN-SIL-015-2014/PCN-SIL-0152014%20EOL%20with%20Replacement%20Rev2.pdf/</t>
  </si>
  <si>
    <t>SYD50P04-13L-E3 SYD50P04-15-E3</t>
  </si>
  <si>
    <t>PCN-SIL-0172014</t>
  </si>
  <si>
    <t>https://www.vishay.com/quality/pcn-doc/PCN-SIL-017-2014/PCN-SIL-0172014%20Rev2%20EOL%20SQ7414EN%20with%20Replacement.pdf/</t>
  </si>
  <si>
    <t>PCN-SIL-0172015</t>
  </si>
  <si>
    <t>SiHG47N60S-E3 SiHG47N60E-E3 SiHC47N60SDFFR SiHC47N60EDFFR SiHC47N60SDWF SiHC47N60EDWF</t>
  </si>
  <si>
    <t>PCN-SIL-0182015</t>
  </si>
  <si>
    <t>Obsolescence of Sn-Pb Lead Finish on Commercial High Voltage Power Mosfets</t>
  </si>
  <si>
    <t>94-2608 IRF510 IRF520 IRF530 IRF540 IRF610 IRF620 IRF630 IRF640 IRF644 IRF710 IRF720 IRF730 IRF740 IRF740A IRF820 IRF830 IRF840 IRF840A IRF9510 IRF9520 IRF9530 IRF9540 IRF9610 IRF9620 IRF9630 IRF9640 IRF9Z30 IRF9Z34 IRFB11N50A IRFB9N60A IRFBC20 IRFBC30 IRFBC30A IRFBC40 IRFBE30 IRFBF20 IRFBG30 IRFZ14 IRFZ24 IRFZ30 IRFZ34 IRFZ40 IRFZ44 IRL510 IRL520 IRL530 IRL540 IRL620 IRL630 IRL640 IRLZ14 IRLZ34 IRLZ44 94-4017 IRFI510G IRFI540G IRFI640G IRFI644G IRFI720G IRFI840G IRFI840GLC IRFI9530G IRFI9540G IRFI9634G IRFI9Z24G IRFI9Z34G IRFIB5N65A IRFIBC30G IRLI520G IRFP054 IRFP064 IRFP140 IRFP150 IRFP23N50L IRFP240 IRFP244 IRFP250 IRFP254 IRFP264 IRFP350 IRFP360 IRFP440 IRFP448 IRFP450 IRFP450A IRFP450LC IRFP460 IRFP460A IRFP9140 IRFP9240 IRFPC40 IRFPE50 IRFPS43N50K IRFD020 IRFD110 IRFD113 IRFD120 IRFD213 IRFD220 IRFD9024 IRFD9110 IRFD9113 IRFD9120 IRFD9123 IRLD014 IRLD024 IRLD110 IRLD120</t>
  </si>
  <si>
    <t xml:space="preserve"> Obsolescence of Sn-Pb products.
</t>
  </si>
  <si>
    <t>PCN-SIL-0192014</t>
  </si>
  <si>
    <t>https://www.vishay.com/quality/pcn-doc/PCN-SIL-019-2014-Rev-1/PCN-SIL-0192014%20EOL%20with%20Replacement.pdf/</t>
  </si>
  <si>
    <t>PCN-SIL-0192016</t>
  </si>
  <si>
    <t>https://www.vishay.com/quality/pcn-doc/PCN-SIL-019-2016-Rev-0/MIL-JFET%20OBSOLETE.pdf/</t>
  </si>
  <si>
    <t>End of Life of the Vishay Siliconix Military Products</t>
  </si>
  <si>
    <t>2N4856JAN02 2N4856JTX02 2N4856JTXV02 2N4857JAN02 2N4857JTX02 2N4857JTXV02 2N4858JAN02 2N4858JTVP02 2N4858JTX02 2N4858JTXL02 2N4858JTXV02 2N4858JVP02 2N4859JAN02 2N4859JTX02 2N4859JTXL02 2N4859JTXV02 2N4860JAN02 2N4860JTX02 2N4860JTXV02 2N4861JAN02 2N4861JTX02 2N4861JTXV02 2N5114JAN02 2N5114JTX02 2N5114JTXV02 2N5115JAN02 2N5115JTX02 2N5115JTXV02 2N5545JTX01 2N5545JTXV01 2N5546JTX01 2N5546JTXL01 2N5546JTXV01 2N5547JTX01 2N5547JTXV01 2N6660JAN02 2N6660JTX02 2N6660JTXL02 2N6660JTXV02 2N6661JAN02 2N6661JTX02 2N6661JTXL02 2N6661JTXV02</t>
  </si>
  <si>
    <t xml:space="preserve"> Closure of assembly &amp; test operations
</t>
  </si>
  <si>
    <t>PCN-SIL-0202016</t>
  </si>
  <si>
    <t>https://www.vishay.com/quality/pcn-doc/PCN-SIL-020-2016-Rev-0/MIL-AS%20OBSOLETE.pdf/</t>
  </si>
  <si>
    <t>77053012A 7705301EA 7801401CA 7801401XA 86716012A 8671601EA 86716022A 8671602EA 8767301CA 8767301IA 8767301XA 8768901VA 8976001XA 8976301EA 89961012A 8996101EA 9068901EA 9073101EA 90731022A 9073102EA 9073704PA 9073705PA 9073706PA 9076401EA 92041012A 9204101EA 92041022A 9204102EA 92042012A 92042012C 9204201EA 9204201XA 9204201XC 92042022A 92042022C 9204202EA 9204202XA 9204202XC 9562302XA 9562901CA 9678801EA DG181AA/883 DG181AP/883 DG183AP/883 DG184AP/883 DG186AP/883 DG187AA/883 DG187AP/883 DG190AP/883 DG200AAA/883 DG300AAA/883 DG300AAK/883 DG301AAA/883 DG301AAK/883 DG302AAK/883 DG304AAK/883 DG307AAK/883 DG387AAA/883 DG506AAK/883 SJM181BCA01 SJM184BEA01 SJM184BEC SJM184BXA SJM184BXC SJM185BEA SJM185BXA SJM185BXC SJM187BCA01 SJM187BCC SJM187BIA01 SJM187BIC01 SJM187BXA SJM187BXC SJM188BCA SJM188BCC SJM188BIA SJM188BIC SJM188BXA SJM188BXC SJM190BEA01 SJM190BEC01 SJM190BXA SJM190BXC SJM200BCA01 SJM200BCC SJM200BIA01 SJM200BIC01 SJM201BEA01 SJM301BCA01 SJM301BCC SJM301BIA01 SJM301BIC01 SJM304BCA01 SJM304BCC SJM304BIA01 SJM304BIC01 SJM306BCA01 SJM306BCC SJM307BCA01 SJM307BCC01</t>
  </si>
  <si>
    <t>PCN-SIL-0212010</t>
  </si>
  <si>
    <t>https://www.vishay.com/quality/pcn-doc/PCN-SIL-0212010/PCN-SIL-0212010%20GTBF%20EOL.pdf/</t>
  </si>
  <si>
    <t>GTBF EOL Parts List</t>
  </si>
  <si>
    <t xml:space="preserve"> Termination of production for select commercial Low Voltage MOSFET products
</t>
  </si>
  <si>
    <t>PCN-SIL-0212014</t>
  </si>
  <si>
    <t>SY4435BDFFR SY4435BKGD</t>
  </si>
  <si>
    <t>PCN-SIL-0232010</t>
  </si>
  <si>
    <t>https://www.vishay.com/quality/pcn-doc/PCN-SIL-0232010/PCN-SIL-0232010B%20Rev0.pdf/</t>
  </si>
  <si>
    <t>ICS</t>
  </si>
  <si>
    <t>Obsolescence &amp; Last-Time-buy for PIC Product</t>
  </si>
  <si>
    <t>SI9102DJ02, SI9177BH-T1, SI91822DH-33-T1, SI9183DT-28-T1, SI9102DJ02-E3, SI9177BH-T1-E3, SI91822DH-33-T1-E3, SI9183DT-28-T1-E3, SI9105DW, SI9177BM-T1, SI91822DH-50-T1, SI9183DT-30-T1, SI9105DW-E3, SI9181DQ-15-T1-E3, SI91822DH-50-T1-E3, SI9183DT-30-T1-E3, SI9105DW-T1, SI9181DQ-18-T1-E3, SI91822DH-AD-T1, SI9183DT-33-T1, SI9105DW-T1-E3, SI9181DQ-25-T1-E3, SI91822DH-AD-T1-E3, SI9183DT-33-T1-E3, SI9108DJ02, SI9181DQ-28-T1-E3, SI9182DH-15-T1, SI9183DT-50-T1, SI9108DJ02-E3, SI9181DQ-30-T1-E3, SI9182DH-15-T1-E3, SI9183DT-50-T1-E3, SI9108DW, SI9181DQ-33-T1-E3, SI9182DH-18-T1, SI9183DT-AD-T1, SI9108DW-E3, SI9181DQ-50-T1-E3, SI9182DH-18-T1-E3, SI9183DT-AD-T1-E3, SI9108DW-T1, SI9181DQ-AD-T1-E3, SI9182DH-25-T1, SI91841DT-18-T1, SI9108DW-T1-E3, SI91821DH-18-T1-E3, SI9182DH-25-T1-E3, SI91841DT-18-T1-E3, SI9112DJ, SI91821DH-25-T1, SI9182DH-28-T1, SI91841DT-25-T1, SI9112DJ-E3, SI91821DH-25-T1-E3, SI9182DH-28-T1-E3, SI91841DT-25-T1-E3, SI9114ADJ, SI91821DH-277-E3, SI9182DH-29-T1, SI91841DT-26-T1, SI9114ADJ-E3, SI91821DH-277-T1, SI9182DH-29-T1-E3, SI91841DT-26-T1-E3, 17SI9172BH-T1-E3, SI91821DH-33-T1-E3, SI9182DH-30-T1-E3, SI91841DT-285-T1, SI9174DH-T1, SI91821DH-AD-T1, SI9182DH-33-T1, SI91841DT-28-T1, SI9174DH-T1-E3, SI91821DH-AD-T1-E3, SI9182DH-33-T1-E3, SI91841DT-28-T1-E3, SI9174DM-T1, SI91822DH-12-T1, SI9182DH-50-T1, SI91841DT-29-T1, SI9174DM-T1-E3, SI91822DH-12-T1-E3, SI9182DH-50-T1-E3, SI91841DT-29-T1-E3, SI9175DH-T1, SI91822DH-18-T1, SI9182DH-AD-T1, SI91841DT-30-T1, SI9175DH-T1-E3, SI91822DH-18-T1-E3, SI9182DH-AD-T1-E3, SI91841DT-30-T1-E3, SI9175DM-T1, SI91822DH-25-T1, SI9183DT-18-T1, SI91841DT-33-T1, SI9175DM-T1-E3, SI91822DH-25-T1-E3, SI9183DT-18-T1-E3, SI91841DT-33-T1-E3, SI9176DH-T1, SI91822DH-28-T1, SI9183DT-25-T1, SI91841DT-50-T1, SI9176DH-T1-E3, SI91822DH-28-T1-E3, SI9183DT-25-T1-E3, SI91841DT-50-T1-E3, SI9176DM-T1, SI91822DH-30-T1, SI9183DT-285-T1, SI91842DT-12-T1, SI9176DM-T1-E3, SI91822DH-30-T1-E3, SI9183DT-285-T1-E3, SI91842DT-12-T1-E3, SI91842DT-18-T1, SI91860DY, SI91872DMP-28-E3, SIP21103DLP-12-E3, SI91842DT-18-T1-E3, SI91860DY-E3, SI91872DMP-28-T1, SIP21103DLP-18-E3, SI91842DT-25-T1, SI91860DY-T1, SI91872DMP-30-E3, SIP21103DLP-25-E3, SI91842DT-26-T1, SI91860DY-T1-E3, SI91872DMP-30-T1, SIP21103DLP-26-E3, SI91842DT-26-T1-E3, SI91861DY-T1, SI91872DMP-33-E3, SIP21103DLP-27-E3, SI91842DT-285-E3, SI91861DY-T1-E3, SI91872DMP-33-T1, SIP21103DLP-285-E3, SI91842DT-285-T1, SI91871DMP-12-E3, SI91872DMP-50-E3, SIP21103DLP-28-E3, SI91842DT-28-T1, SI91871DMP-12-T1, SI91872DMP-50-T1, SIP21103DLP-30-E3, SI91842DT-28-T1-E3, SI91871DMP-18-E3, SIP12101DH-T1, SIP21103DLP-33-E3, SI91842DT-30-T1, SI91871DMP-18-T1, SIP12101DH-T1-E3, SIP21103DLP-50-E3, SI91842DT-30-T1-E3, SI91871DMP-25-E3, SIP12510DT-T1-E3, SIP21104DLP-12-E3, SI91842DT-33-T1, SI91871DMP-25-T1, SIP12511DT-T1-E3, SIP21104DLP-18-E3, SI91842DT-33-T1-E3, SI91871DMP-26-E3, SIP21101DR-12-E3, SIP21104DLP-25-E3, SI91842DT-50-T1, SI91871DMP-26-T1, SIP21101DR-18-E3, SIP21104DLP-26-E3, SI9185DMP-12-T1, SI91871DMP-28-E3, SIP21101DR-25-E3, SIP21104DLP-285-E3, SI9185DMP-12-T1-E3, SI91871DMP-28-T1, SIP21101DR-26-E3, SIP21104DLP-28-E3, 17SI9185DMP-18-T1-E3, SI91871DMP-30-T1, SIP21101DR-28-E3, SIP21104DLP-33-E3, SI9185DMP-25-T1, SI91871DMP-33-E3, SIP21101DR-30-E3, SIP21104DLP-50-E3, SI9185DMP-25-T1-E3, SI91871DMP-33-T1, SIP21101DR-33-E3, SIP21301LH-12-E3, SI9185DMP-28-T1, SI91871DMP-50-E3, SIP21101DR-50-E3, SIP21301LH-15-E3, SI9185DMP-28-T1-E3, SI91871DMP-50-T1, SIP21102DR-12-E3, SIP21301LH-AD-E3, SI9185DMP-30-T1, SI91872DMP-12-E3, SIP21102DR-18-E3, SIP41111DYP-T1-E3, SI9185DMP-30-T1-E3, SI91872DMP-12-T1, SIP21102DR-25-E3, SIP4610ADT-T1-E3, SI9185DMP-33-T1, SI91872DMP-18-E3, SIP21102DR-26-E3, SIP4610BDT-T1-E3, SI9185DMP-33-T1-E3, SI91872DMP-18-T1, SIP21102DR-285-E3, SI9185DMP-50-T1, SI91872DMP-25-E3, SIP21102DR-28-E3, SI9185DMP-50-T1-E3, SI91872DMP-25-T1, SIP21102DR-30-E3, SI9185DMP-AD-T1, SI91872DMP-26-E3, SIP21102DR-33-E3, SI9185DMP-AD-T1-E3, SI91872DMP-26-T1, SIP21102DR-50-E3,</t>
  </si>
  <si>
    <t>PCN-SIL-0232014</t>
  </si>
  <si>
    <t>https://www.vishay.com/quality/pcn-doc/PCN-SIL-023-2014/PCN-SIL-0232014%20Rev2%20EOL%20with%20Replacement.pdf/</t>
  </si>
  <si>
    <t>SYC45P03-15AKGD SYC45P03-15BKGD</t>
  </si>
  <si>
    <t>PCN-SIL-0242014</t>
  </si>
  <si>
    <t>https://www.vishay.com/quality/pcn-doc/PCN-SIL-024-2014/PCN-SIL-0242014%20Rev2%20EOL%20with%20Replacement.pdf/</t>
  </si>
  <si>
    <t>SY7461DFFR SI7461DFFR</t>
  </si>
  <si>
    <t>PCN-SIL-0242016</t>
  </si>
  <si>
    <t>https://www.vishay.com/quality/pcn-doc/PCN-SIL-024-2016-Rev-0/PCN-SIL-0242016%20EOL_SCLA_LICs.pdf/</t>
  </si>
  <si>
    <t>End of Life Notification for SOme Legacy Vishay Siliconix Analog ICs</t>
  </si>
  <si>
    <t>DG1411EN-T1-GE4_x000D_
DG1411EQ-T1-GE3_x000D_
DG1413EQ-T1-GE3_x000D_
DG2733DQ-T1-E3_x000D_
DG4051AEN-T1-E4_x000D_
DG4051AEQ-T1-E3_x000D_
DG4052AEN-T1-E4_x000D_
DG4052AEQ-T1-E3_x000D_
DG413LDQ-E3_x000D_
DG413LDQ-T1-E3_x000D_
DG413LDY-E3_x000D_
DG413LDY-T1-E3_x000D_
DG9408DN-T1-E4_x000D_
DG2706DN-T1-E4_x000D_
DG535DJ-E3_x000D_
DG536DN-E3_x000D_
DG538ADJ_x000D_
DG538ADJ-E3_x000D_
DG538ADN-E3_x000D_
DG884DN-E3_x000D_
DG2707DN-T1-E4_x000D_
DG2711DL-T1-E3_x000D_
DG2002DL-T1-E3_x000D_
DG2034DN-T1-E4_x000D_
DG2034DQ-T1-E3_x000D_
DG540DJ_x000D_
DG540DN-E3_x000D_
DG541DY_x000D_
DG541DY-E3_x000D_
DG611DY-E3_x000D_
DG611DY-T1-E3_x000D_
DG612DY_x000D_
DG612DY-E3_x000D_
DG612DY-T1-E3_x000D_
DG613DJ-E3_x000D_
DG613DY_x000D_
DG613DY-E3_x000D_
DG613DY-T1-E3_x000D_
DG642DJ-E3_x000D_
DG642DY-E3_x000D_
DG642DY-T1-E3_x000D_
DG643DY_x000D_
DG643DY-E3_x000D_
DG643DY-T1-E3</t>
  </si>
  <si>
    <t xml:space="preserve"> Closure of Fab Facility in Santa Clara, CA
</t>
  </si>
  <si>
    <t>PCN-SIL-0252010</t>
  </si>
  <si>
    <t>https://www.vishay.com/quality/pcn-doc/PCN-SIL-0252010/PCN-SIL-0252010%20Commerical%20Power%20MOSFET%20Obsolescence.pdf/</t>
  </si>
  <si>
    <t>8M_12M EOL</t>
  </si>
  <si>
    <t xml:space="preserve"> Migration to newer process technologies
</t>
  </si>
  <si>
    <t>PCN-SIL-0252014</t>
  </si>
  <si>
    <t>https://www.vishay.com/quality/pcn-doc/PCN-SIL-025-2014-Rev-1/PCN-SIL-0252014%20EOL%20with%20Replacement.pdf/</t>
  </si>
  <si>
    <t>PCN-SIL-0252015</t>
  </si>
  <si>
    <t>https://www.vishay.com/quality/pcn-doc/PCN-SIL-025-2015-Rev-0/PCN-SIL-0252015%20Commercial%20LVM%20End%20of%20Life%20revA.pdf/</t>
  </si>
  <si>
    <t>See parts list in PCN</t>
  </si>
  <si>
    <t>PCN-SIL-0262010</t>
  </si>
  <si>
    <t>https://www.vishay.com/quality/pcn-doc/PCN-SIL-0262010/PCN-SIL-0262010%20Automotive%20MOSFET%208M%2012M%20EOL.pdf/</t>
  </si>
  <si>
    <t>Automotive 8M 12M EOL</t>
  </si>
  <si>
    <t xml:space="preserve"> The applicable parts use MOSFET processes that are 18 years old.
</t>
  </si>
  <si>
    <t>PCN-SIL-0272014</t>
  </si>
  <si>
    <t>https://www.vishay.com/quality/pcn-doc/PCN-SIL-027-2014-Rev-1/PCN-SIL-0272014%20EOL%20with%20Replacement.pdf/</t>
  </si>
  <si>
    <t>PCN-SIL-0272015</t>
  </si>
  <si>
    <t>https://www.vishay.com/quality/pcn-doc/PCN-SIL-027-2015-Rev-0/PCN-SIL-0272015%20EOL%20TO-223%20Tube%20Pack%20Option.pdf/</t>
  </si>
  <si>
    <t>Obsolescence of Tube Pack Option for Commercial High Voltage Power Mosfets Assembled in SOT-223</t>
  </si>
  <si>
    <t>IRFL014PBF IRFL110PBF IRFL210PBF IRFL214PBF IRFL9014PBF IRFL9110PBF IRLL014PBF IRLL110PBF</t>
  </si>
  <si>
    <t xml:space="preserve"> Obsolescence of Tube Pack Option.
</t>
  </si>
  <si>
    <t>PCN-SIL-0292010</t>
  </si>
  <si>
    <t>https://www.vishay.com/quality/pcn-doc/PCN-SIL-0292010/PCN-SIL-0292010%20AUK%20SC75_SC89%20EOL.pdf/</t>
  </si>
  <si>
    <t>AUK SC75 &amp; SC89 E3 EOL</t>
  </si>
  <si>
    <t>PCN-SIL-0292014</t>
  </si>
  <si>
    <t>https://www.vishay.com/quality/pcn-doc/PCN-SIL-029-2014-Rev-1/PCN-SIL-0292014%20EOL%20with%20Replacement%20SQM120N04-1m9.pdf/</t>
  </si>
  <si>
    <t xml:space="preserve">Closure of Fab at Santa Clara and Global Foundries
</t>
  </si>
  <si>
    <t>PCN-SIL-0302016</t>
  </si>
  <si>
    <t>https://www.vishay.com/quality/pcn-doc/PCN-SIL-030-2016-Rev-0/PCN-SIL-0302016%20EOL_SCLA_LICs.pdf/</t>
  </si>
  <si>
    <t>End of Life Notification for Vishay Siliconix Analog ICs</t>
  </si>
  <si>
    <t>DG2005DQ-T1-E3 DG2019DN-T1-E4 DG2026DQ-T1-E3 DG2037DQ-T1-E3 DG2037DS-T1-E3 DG2038DQ-T1-E3 DG2042DN-T1-E4 DG2042DQ-T1-E3 DG2522DN-T1-E4 DG2538DQ-T1-GE3 DG2539DQ-T1-GE3 DG2616DN-T1-E4 DG2618DN-T1-E4 DG2741DQ-T1-E3 DG2741DS-T1-E3 DG2788DN-T1-E4 DG2789DN-T1-E4 DG534ADN-E3 DG542DJ-E3 DG542DY-E3 DG641DY DG641DY-E3 DG641DY-T1-E3 DG723DQ-T1-GE3 DG9263DQ-T1-E3 DG9263DY-E3 DG9263DY-T1-E3 DG9432DS-T1-E3 DG9433DS-T1-E3 DG9434DQ-T1-E3 DG9451EN-T1-E4 DG1408EN-T1-GE4 DG1412EN-T1-GE4 DG1412EQ-T1-GE3 DG2016DQ-T1-E3 DG2018DN-T1-E4 DG2517DN-T1-E4 DG4053AEN-T1-E4 DG4053AEQ-T1-E3 DG408LDQ-E3 DG408LDQ-T1-E3 DG408LDY-E3 DG408LDY-T1-E3 DG409LDQ-T1-E3 DG409LDY DG409LDY-E3 DG409LDY-T1-E3 DG411LDQ-E3 DG411LDQ-T1-E3 DG411LDY-E3 DG411LDY-T1-E3 DG412LDQ-E3 DG412LDQ-T1-E3 DG412LDY-E3 DG412LDY-T1-E3 DG441LDQ-T1-E3 DG441LDY-E3 DG441LDY-T1-E3 DG442LDQ-T1-E3 DG442LDY-E3 DG442LDY-T1-E3 DG9051DQ-T1-E3 DG9052DQ-T1-E3 DG9053DQ-T1-E3 DG9232DY-E3 DG9233DQ-T1-E3 DG9233DY-E3 DG9233DY-T1-E3 DG9252EN-T1-E4 DG9253EN-T1-E4_x000D_
 G9409DN-T1-E4 DG9424DQ-T1-E3 DG9425DQ-T1-E3 DG9426DQ-T1-E3 DG9431DV-T1-E3 DG9431DY-E3 DG9431DY-T1-E3 DG9454EN-T1-E4 DG9461DV-T1-E3 DG9461DY-E3 DG9461DY-T1-E3</t>
  </si>
  <si>
    <t>https://www.vishay.com/quality/pcn-doc/PCN-SIL-030-2016-Rev-1/PCN-SIL-0302016Rev1%20EOL_SCLA_LICs.pdf/</t>
  </si>
  <si>
    <t>See list on page 2. Typo on one replacement part number correctedDG2723DN-T1-E4</t>
  </si>
  <si>
    <t>PCN-SIL-0332014</t>
  </si>
  <si>
    <t>https://www.vishay.com/quality/pcn-doc/PCN-SIL-033-2014-Rev-3/PCN-SIL-0332014%20Rev3%20EOL%20without%20replacement.pdf/</t>
  </si>
  <si>
    <t>SY6966DQ-T1-E3 SY4490DY-T1-E3 SYM70N04-07L-E3 SY4486PEY-T1-E3 SY4483EDFFR SYM27N20-78-E3 SYM110P08-11L-E3 SY4431BDY-T1-E3 SY6969BDQ-T1-E3 SYD08P06-155L-E3 SYD40N04-10A-E3 SY3460DV-T1-E3 SY3445ADV-T1-E3 SQ7002AK-T1-GE3 SYD40N03-18P-E3 SY3457KGD SYM60N04-05C-E3 SY4835BDFFR SYD06N10-225L-E3 SY3457DFFR SYC50P04-12LDWF SYC40N10-25DFFR SY1905DL-T1-E3 V50248-E3 SYC110P06-08LDFFR SQ1905EL-T1-GE3 V40207-T1-E3 V50181-T1 SY7002-T1-E3 SQ1026X-T1-GE3_x000D_
SY1026X-T1-E3 V50005 SY7002K-T1-E3</t>
  </si>
  <si>
    <t>PCN-SIL-0352011</t>
  </si>
  <si>
    <t>https://www.vishay.com/quality/pcn-doc/PCN-SIL-035-2011-Rev-0/PCN-SIL-0352011%20Commerical%20Power%20MOSFET%20Obsolescence.pdf/</t>
  </si>
  <si>
    <t>PCN-SIL-0352011 Commerical Power MOSFET Obsolescence</t>
  </si>
  <si>
    <t>See PCN for affected part numbers</t>
  </si>
  <si>
    <t xml:space="preserve"> Migration to newer Silicon Die Technologies; obsolescence of Lead-plated products.
</t>
  </si>
  <si>
    <t>PCN-SIL-0352014</t>
  </si>
  <si>
    <t>https://www.vishay.com/quality/pcn-doc/PCN-SIL-035-2014-Rev-1/PCN-SIL-0352014%20EOL%20with%20Replacement.pdf/</t>
  </si>
  <si>
    <t>PCN-SIL-0372014</t>
  </si>
  <si>
    <t>https://www.vishay.com/quality/pcn-doc/PCN-SIL-037-2014-Rev-1/PCN-SIL-0372014%20EOL%20with%20Replacement.pdf/</t>
  </si>
  <si>
    <t>SYD23N06-31L-E3 SYD23N06-31L-T4-E3</t>
  </si>
  <si>
    <t>PCN-SIL-0372015</t>
  </si>
  <si>
    <t>https://www.vishay.com/quality/pcn-doc/PCN-SIL-037-2015-Rev-0/PCN-SIL-0372015_Obsolescence_SCLA_ASM.pdf/</t>
  </si>
  <si>
    <t>End of Life Notification for Vishay Siliconix ICs</t>
  </si>
  <si>
    <t>SiC403CD-T1-GE3 SiC762CD-T1-GE3 SiC769ACD-T1-GE3 SiC769CD-T1-E3 SiC778ACD-T1-GE3 SiC778CD-T1-GE3</t>
  </si>
  <si>
    <t>PCN-SIL-0382010</t>
  </si>
  <si>
    <t>https://www.vishay.com/quality/pcn-doc/PCN-SIL-0382010/PCN-SIL-0382010.pdf/</t>
  </si>
  <si>
    <t>GTBF EOL Parts List Part II</t>
  </si>
  <si>
    <t>PCN-SIL-0392016</t>
  </si>
  <si>
    <t>https://www.vishay.com/quality/pcn-doc/PCN-SIL-039-2016-Rev-0/PCN-SIL-0392016%20Commercial%20LVM%20End%20of%20Life.pdf/</t>
  </si>
  <si>
    <t>See PCN for Parts List</t>
  </si>
  <si>
    <t>PCN-SIL-0432014</t>
  </si>
  <si>
    <t>https://www.vishay.com/quality/pcn-doc/PCN-SIL-043-2014/PCN-SIL-0432014%20Rev2%20EOL%20with%2045M%20Replacement.pdf/</t>
  </si>
  <si>
    <t>SQD35N05-26L-GE3 _x000D_
 SYD35N05-26L-E3 _x000D_
 SQD35N05-26L-T4GE3 _x000D_
 SYD35N05-26L-T4-E3 _x000D_
 SYD40N10-25-E3 _x000D_
 SYM110N05-06L-E3 _x000D_
 SYM60N06-15-E3 _x000D_
 SY4410DY-T1-A-E3 _x000D_
 SY4410DY-T1-REVA _x000D_
 SY4840DY-T1-E3 _x000D_
 SY4850PEY-T1-E3 _x000D_
 SQJ844EP-T1-GE3</t>
  </si>
  <si>
    <t>PCN-SIL-0452014</t>
  </si>
  <si>
    <t>https://www.vishay.com/quality/pcn-doc/PCN-SIL-045-2014-Rev-3/PCN-SIL-0452014%20Rev3%20EOL%20with%2090M%20Replacement.pdf/</t>
  </si>
  <si>
    <t>SQ4401DY-T1-GE3 _x000D_
 SY4401BDY-T1-E3 _x000D_
 SY4401DY-T1-E3 _x000D_
 SQ4483EEY-T1-GE3 _x000D_
 SYM110P04-04L-E3 _x000D_
 SYP90P06-09L-E3 _x000D_
 SY3443BDV-T1-E3 _x000D_
 SY3445DV-T1-E3 _x000D_
 SYD50P06-15L-E3 _x000D_
 SYD50P06-15L-T4-E3 _x000D_
SY3459DV-T1-E3_x000D_
 SY3911DV-T1-E3 _x000D_
 SY4425BDY-T1-E3 _x000D_
 SY4463BDY-T1-E3 _x000D_
 SY4463DY-T1-E3 _x000D_
 SY4431ADY-T1-E3 _x000D_
 SYD50P04-09L-E3</t>
  </si>
  <si>
    <t>PCN-SIL-0472014</t>
  </si>
  <si>
    <t>https://www.vishay.com/quality/pcn-doc/PCN-SIL-047-2014-Rev-1/PCN-SIL-0472014%20Rev1%20EOL%20with%20300M%20Replacement.pdf/</t>
  </si>
  <si>
    <t>SQ4936EY-T1-GE3 _x000D_
 SQ4940EY-T1-GE3 _x000D_
 SY4940DY-T1-E3 _x000D_
 SQD50N04-3M5L-GE3 _x000D_
 SQJ848EP-T1-GE3_x000D_
 SQJ848AEP-T1-GE3_x000D_
 SQ4942EY-T1-GE3 _x000D_
 SY4942DY-T1-E3 _x000D_
 SY3442BDV-T1-E3 _x000D_
 SQ3442EV-T1-GE3 _x000D_
 SQ3456EV-T1-GE3 _x000D_
 SY3454ADV-T1-E3 _x000D_
 SY3456DV-T1-E3 _x000D_
 V50004 _x000D_
 SQ2318ES-T1-GE3 _x000D_
 SY2316DS-T1-E3 _x000D_
 SY2318DS-T1-E3 _x000D_
 SQ2308BES-T1-GE3 _x000D_
 SQ2308ES-T1-GE3 _x000D_
 SY2308BDS-T1-E3 _x000D_
 SQ1902EL-T1-GE3 _x000D_
 SY1902DL-T1-E3 _x000D_
 SY1958DH-T1-E3</t>
  </si>
  <si>
    <t>PCN-SIL-0482012</t>
  </si>
  <si>
    <t>https://www.vishay.com/quality/pcn-doc/PCN-SIL-048-2012/PCN-SIL-0482012%20EOL%20SOT-223,%20DPAK,%20IPAK%20Sn-PB%20ProductsRev2.pdf/</t>
  </si>
  <si>
    <t>Obsolescence of Sn-Pb SOT-223, DPAK and IPAK Commercial</t>
  </si>
  <si>
    <t>IRFL014_x000D_
IRFL014TR_x000D_
IRFL110_x000D_
IRFL110TR_x000D_
IRFL210_x000D_
IRFL210TR_x000D_
IRFL214_x000D_
IRFL214TR_x000D_
IRFL9014_x000D_
IRFL9014TR_x000D_
IRFL9110_x000D_
IRFL9110TR_x000D_
IRFR010_x000D_
IRFR010TRL_x000D_
IRFR010TR_x000D_
IRFR014_x000D_
IRFR014TRL_x000D_
IRFR014TR_x000D_
IRFR014TRR_x000D_
IRFR020_x000D_
IRFR020TRL_x000D_
IRFR020TR_x000D_
IRFR024_x000D_
IRFR024TRL_x000D_
IRFR024TR_x000D_
IRFR110_x000D_
IRFR110TRL_x000D_
IRFR110TR_x000D_
IRFR110TRR_x000D_
IRFR120_x000D_
IRFR120TRL_x000D_
IRFR120TR_x000D_
IRFR120TRR_x000D_
IRFR1N60A_x000D_
IRFR1N60ATR_x000D_
IRFR1N60ATRR_x000D_
IRFR210_x000D_
IRFR210TRL_x000D_
IRFR210TR_x000D_
IRFR210TRR_x000D_
IRFR214_x000D_
IRFR214TR_x000D_
IRFR214TRR_x000D_
IRFR220_x000D_
IRFR220TRL_x000D_
IRFR220TR_x000D_
IRFR220TRR_x000D_
IRFR224_x000D_
IRFR224TRL_x000D_
IRFR224TR_x000D_
IRFR310_x000D_
IRFR310TRL_x000D_
IRFR310TR_x000D_
IRFR310TRR_x000D_
IRFR320_x000D_
IRFR320TRL_x000D_
IRFR320TR_x000D_
IRFR320TRR_x000D_
IRFR420A_x000D_
IRFR420ATRL_x000D_
IRFR420ATR_x000D_
IRFR420_x000D_
IRFR420TRL_x000D_
IRFR420TR_x000D_
IRFR420TRR_x000D_
IRFR430A_x000D_
IRFR430ATRL_x000D_
IRFR430ATR_x000D_
IRFR430ATRR_x000D_
IRFR9010_x000D_
IRFR9010TRL_x000D_
IRFR9010TR_x000D_
IRFR9014_x000D_
IRFR9014TRL_x000D_
IRFR9014TR_x000D_
IRFR9020_x000D_
IRFR9020TRL_x000D_
IRFR9020TR_x000D_
IRFR9024_x000D_
IRFR9024TRL_x000D_
IRFR9024TR_x000D_
IRFR9024TRR_x000D_
IRFR9110_x000D_
IRFR9110TRL_x000D_
IRFR9110TR_x000D_
IRFR9120_x000D_
IRFR9120TRL_x000D_
IRFR9120TR_x000D_
IRFR9120TRR_x000D_
IRFR9210_x000D_
IRFR9210TRL_x000D_
IRFR9210TR_x000D_
IRFR9214_x000D_
IRFR9214TRL_x000D_
IRFR9214TR_x000D_
IRFR9220_x000D_
IRFR9220TRL_x000D_
IRFR9220TR_x000D_
IRFR9220TRR_x000D_
IRFR9310_x000D_
IRFR9310TRL_x000D_
IRFR9310TR_x000D_
IRFR9310TRR_x000D_
IRFRC20_x000D_
IRFRC20TRL_x000D_
IRFRC20TR_x000D_
IRFRC20TRR_x000D_
IRFU014_x000D_
IRFU020_x000D_
IRFU024_x000D_
IRFU110_x000D_
IRFU120_x000D_
IRFU1N60A_x000D_
IRFU210_x000D_
IRFU214_x000D_
IRFU220_x000D_
IRFU224_x000D_
IRFU310_x000D_
IRFU320_x000D_
IRFU420A_x000D_
IRFU420_x000D_
IRFU430A_x000D_
IRFU9010_x000D_
IRFU9014_x000D_
IRFU9020_x000D_
IRFU9024_x000D_
IRFU9110_x000D_
IRFU9120_x000D_
IRFU9210_x000D_
IRFU9214_x000D_
IRFU9220_x000D_
IRFU9310_x000D_
IRFUC20_x000D_
IRLL014_x000D_
IRLL014TR_x000D_
IRLL110_x000D_
IRLL110TR</t>
  </si>
  <si>
    <t>PCN-SIL-0512014</t>
  </si>
  <si>
    <t>https://www.vishay.com/quality/pcn-doc/PCN-SIL-051-2014-Rev-1/PCN-SIL-0512014%20EOL%20with%20300M%20Replacement.pdf/</t>
  </si>
  <si>
    <t>SY4936ADY-T1-E3 SQS404EN-T1-GE3 SY7404DN-T1-E3 SQM110N04-03-GE3 SYM110N04-04-E3 SQM100N04-3M5-GE3 SYM110N04-03-E3 SY7848DP-T1-E3 SQ1912EEH-T1-GE3 SY1912EDH-T1-E3 SQ1470EH-T1-GE3 SY1470DH-T1-E3 SY3458DV-T1-E3 SQ3426EEV-T1-GE3</t>
  </si>
  <si>
    <t>PCN-SIL-0532014</t>
  </si>
  <si>
    <t>https://www.vishay.com/quality/pcn-doc/PCN-SIL-053-2014-Rev-1/PCN-SIL-0532014%20Auto%20PTN%20with%2045M%20Replacement.pdf/</t>
  </si>
  <si>
    <t>SQS466EEN-T1-GE3 _x000D_
 SY7844DP-T1-E3 _x000D_
 SY7850DP-T1-E3 _x000D_
 SYD35N05-26L _x000D_
 SYM47N10-24L-E3 _x000D_
 SYD50N06-09L-E3 _x000D_
 SYD25N15-52-E3 _x000D_
 SQC462AKGD _x000D_
 SQM120N08-05-GE3 _x000D_
 SQJ962EP-T1-GE3</t>
  </si>
  <si>
    <t>PCN-SIL-0542013</t>
  </si>
  <si>
    <t>https://www.vishay.com/quality/pcn-doc/PCN-SIL-054-2013-Rev-0/PCN-SIL-0542013%20Si9241AEY_Si9243AEY%20Obsolesence.pdf/</t>
  </si>
  <si>
    <t>Obsolesence &amp; Last-Time-Buy for Si9241AEY-T1 and Si9243AEY-T1</t>
  </si>
  <si>
    <t>Si9241AEY-T1  Si9243AEY-T1</t>
  </si>
  <si>
    <t xml:space="preserve"> Eliminate lead (Pb) from terminations (leads) of these devices
</t>
  </si>
  <si>
    <t>PCN-SIL-0552014</t>
  </si>
  <si>
    <t>https://www.vishay.com/quality/pcn-doc/PCN-SIL-055-2014-Rev-1/PCN-SIL-0552014%20EOL%20with%20SQD50N04-5M6%20Replacement.pdf/</t>
  </si>
  <si>
    <t>SQD50N03-06P-GE3 SYD50N03-06P-E3 SYD50N03-10CP-E3 SQD40N04-10A-GE3 SQD50N04-09H-GE3 SYD50N03-06P SUD50N03-10P SYD50N03-10CP</t>
  </si>
  <si>
    <t>PCN-SIL-0572013</t>
  </si>
  <si>
    <t>https://www.vishay.com/quality/pcn-doc/PCN-SIL-057-2013-Rev-0/PCN-SIL-0572013%20Product%20Obsolescence.pdf/</t>
  </si>
  <si>
    <t>SQM100N10-10-GE3 SQM85N10-10-GE3 SYB85N10-10-E3 SYB85N10-10_x000D_
SYM110N10-09-E3</t>
  </si>
  <si>
    <t xml:space="preserve">Improvement in operating efficiency
</t>
  </si>
  <si>
    <t>PCN-SIL-0582013</t>
  </si>
  <si>
    <t>https://www.vishay.com/quality/pcn-doc/PCN-SIL-058-2013-Rev-0/PCN-SIL-0582013%20Commercial%20LVM%20End%20of%20Life.pdf/</t>
  </si>
  <si>
    <t>Please see pages 2-4 for affected part numbers and recommended replacements</t>
  </si>
  <si>
    <t>PCN-SIL-0592013</t>
  </si>
  <si>
    <t>https://www.vishay.com/quality/pcn-doc/PCN-SIL-059-2013-Rev-0/PCN-SIL-0592013%20PRD1045A_PRD1071%20Obsolescence.pdf/</t>
  </si>
  <si>
    <t>Obsolescence &amp; Last-Time-Buy for PRD1045A-T1 and PRD1071-T1</t>
  </si>
  <si>
    <t>PRD1045A-T1  PRD1071-T1</t>
  </si>
  <si>
    <t>PCN-SIL-0682014</t>
  </si>
  <si>
    <t>https://www.vishay.com/quality/pcn-doc/PCN-SIL-068-2014-Rev-0/PCN-SIL-0682014%20Automotive%20Obsolescence_Rev0.pdf/</t>
  </si>
  <si>
    <t>End of Life Notification for Vishay Siliconix Automotive ICs</t>
  </si>
  <si>
    <t>Si9241AEY-E3_x000D_
Si9241AEY-T1-E3_x000D_
Si9241ADFFR_x000D_
Si9243AEY-E3_x000D_
Si9243AEY-T1-E3_x000D_
PRD1045A-T1-E3</t>
  </si>
  <si>
    <t xml:space="preserve">Closure of Fab Facility in Santa Clara, CA
</t>
  </si>
  <si>
    <t>PCN-SIL-0722014</t>
  </si>
  <si>
    <t>https://www.vishay.com/quality/pcn-doc/PCN-SIL-072-2014-Rev-0/PCN-SIL-0722014%20Commercial%20LVM%20End%20of%20Life.pdf/</t>
  </si>
  <si>
    <t>Please see pages 2-3 of this PCN for part numbers. If you wish a list of parts in Excel format please submit request to Dave.macdonald@vishay.com</t>
  </si>
  <si>
    <t>PCN-SIL-07420141</t>
  </si>
  <si>
    <t>https://www.vishay.com/quality/pcn-doc/PCN-SIL-074-2014-Rev-0/PCN-SIL-0742014%20Custom%20Power%20IC%20Obsolescence.pdf/</t>
  </si>
  <si>
    <t>End of Life Notification for Vishay Siliconix Custom Power ICs</t>
  </si>
  <si>
    <t>SiC413CB-T1-E3_x000D_
PRD413CB-T1-GE3_x000D_
PRD1067BQ-T1-E3_x000D_
PRD1054-T1-E3_x000D_
Si9122DQ-T1-E3_x000D_
Si9122EDQ-T1-E3_x000D_
Si9122ADQ-T1-E3_x000D_
Si9122ELDP-T1-E3</t>
  </si>
  <si>
    <t>PCN-SIL-07420142</t>
  </si>
  <si>
    <t>https://www.vishay.com/quality/pcn-doc/PCN-SIL-074-2014-Rev-1/PCN-SIL-0742014%20Custom%20Power%20IC%20Obsolescence_Rev1.pdf/</t>
  </si>
  <si>
    <t>SiC413CB-T1-E3_x000D_
PRD413CB-T1-GE3_x000D_
PRD413CB-T1-E3_x000D_
PRD1067BQ-T1-E3_x000D_
PRD1054-T1-E3_x000D_
Si9122DQ-T1-E3_x000D_
Si9122EDQ-T1-E3_x000D_
Si9122ADQ-T1-E3_x000D_
Si9122EDLP-T1-E3</t>
  </si>
  <si>
    <t>PCN-SIL-0752014</t>
  </si>
  <si>
    <t>https://www.vishay.com/quality/pcn-doc/PCN-SIL-075-2014-Rev-0/PCN-SIL-0752014%20Power%20IC%20Obsolescence.pdf/</t>
  </si>
  <si>
    <t>End of Life Notification for Vishay Siliconix Power ICs</t>
  </si>
  <si>
    <t>BCEHCDWF_x000D_
PRD1042-T1_x000D_
PRD1049-T1-E3_x000D_
SI4720CY-T1-E3_x000D_
SI4724CY-T1-E3_x000D_
SI9100DJ02_x000D_
SI9100DJ02-E3_x000D_
SI9100DN02-E3_x000D_
SI9102DJ02-E3_x000D_
SI9102DN02-E3_x000D_
SI9102DN02-T1-E3_x000D_
SI9104DW-T1-E3_x000D_
SI9105DN02-E3_x000D_
SI9105DN02-T1-E3_x000D_
SI9105DW-E3_x000D_
SI9105DW-T1-E3_x000D_
SI9108DN02-T1_x000D_
SI9110AK_x000D_
SI9110DJ_x000D_
SI9110DJ-E3_x000D_
SI9110DWF_x000D_
SI9110DY_x000D_
SI9110DY-E3_x000D_
SI9110DY-T1_x000D_
SI9110DY-T1-E3_x000D_
SI9111DY-E3_x000D_
SI9111DY-T1-E3_x000D_
SI9112DJ-E3_x000D_
SI9112DY-E3_x000D_
SI9112DY-T1_x000D_
SI9112DY-T1-E3_x000D_
SI9113DY-E3_x000D_
SI9113DY-T1-E3_x000D_
SI9114ADY-E3_x000D_
SI9114ADY-T1-E3_x000D_
SI9118DY-E3_x000D_
SI9118DY-T1-E3_x000D_
SI9120DJ_x000D_
SI9120DJ-E3_x000D_
SI9120DY_x000D_
SI9120DY-E3_x000D_
SI9120DY-T1_x000D_
SI9120DY-T1-E3_x000D_
SI9121DY-5-T1-E3_x000D_
SI9136LG-E3_x000D_
SI9138LG-T1-E3_x000D_
SI9139DG-3325-E3_x000D_
SI9140DQ-T1-E3_x000D_
SI9140DY-T1-E3_x000D_
SI9145BQ-T1-E3_x000D_
SI9145BY-E3_x000D_
SI9145BY-T1-E3_x000D_
SI9166BQ-T1_x000D_
SI9166BQ-T1-E3_x000D_
SI9169BQ-T1-E3_x000D_
SI9169DQ-T1-E3_x000D_
SI9181DQ-18-T1-E3_x000D_
SI9181DQ-33-T1-E3_x000D_
SI91821DH-25-T1-E3_x000D_
SI9182DH-25-T1-E3_x000D_
SI9182DH-29-T1-E3_x000D_
SI9182DH-33-T1-E3_x000D_
SI9182DH-AD-T1_x000D_
SI9182DH-AD-T1-E3_x000D_
SI9183DT-18-T1-E3_x000D_
SI9183DT-33-T1_x000D_
SI9183DT-33-T1-E3_x000D_
SI9183DT-50-T1-E3_x000D_
SI9183DT-AD-T1-E3_x000D_
SI91841DT-33-T1-E3_x000D_
SI91841DT-50-T1-E3_x000D_
SI9185DMP-12-T1-E3_x000D_
SI9185DMP-30-T1-E3_x000D_
SI9185DMP-AD-T1-E3_x000D_
SI91871DMP-12-E3_x000D_
SI91871DMP-25-E3_x000D_
SI91872DMP-25-E3_x000D_
SI91872DMP-33-E3_x000D_
SI9200EY_x000D_
SI9200EY-E3_x000D_
SI9200EY-T1_x000D_
SI9200EY-T1-E3_x000D_
SI9706DY-E3_x000D_
SI9706DY-T1-E3_x000D_
SI9717CY-T1-E3_x000D_
SI9730ABY-E3_x000D_
SI9730ABY-T1-E3_x000D_
SI9731DQ-T1-E3_x000D_
SI9910DJ_x000D_
SI9910DJ-E3_x000D_
SI9910DY-E3_x000D_
SI9910DY-T1-E3_x000D_
SI9912DWF_x000D_
SI9912DY-E3_x000D_
SI9912DY-T1-E3_x000D_
SI9913DY_x000D_
SI9913DY-T1-E3_x000D_
SI9961ACY-T1-E3_x000D_
SI9976DY-E3_x000D_
SI9976DY-T1-E3_x000D_
SI9978DW_x000D_
SI9978DW-E3_x000D_
SI9978DW-T1-E3_x000D_
SI9979CS_x000D_
SI9979CS-E3_x000D_
SI9979DS-E3_x000D_
SI9986CY_x000D_
SI9986CY-E3_x000D_
SI9986CY-T1-E3_x000D_
SI9986DY-E3_x000D_
SI9986DY-T1-E3_x000D_
SI9987CY-E3_x000D_
SI9987CY-T1-E3_x000D_
SI9987DY_x000D_
SI9987DY-E3_x000D_
SI9987DY-T1-E3_x000D_
SI9988DQ-T1-E3_x000D_
SIC413DB_x000D_
SIP12202DM-T1-E3_x000D_
SIP21101DR-28-E3_x000D_
SIP21101DR-33-E3_x000D_
SIP21106DR-18-E3_x000D_
SIP21106DR-25-E3_x000D_
SIP21106DR-28-E3_x000D_
SIP21106DR-33-E3_x000D_
SIP21106DT-18-E3_x000D_
SIP21106DT-25-E3_x000D_
SIP21106DT-28-E3_x000D_
SIP21106DT-30-E3_x000D_
SIP21106DT-33-E3_x000D_
SIP21106DVP-33-E3_x000D_
SIP21107DT-33-E3_x000D_
SIP21108DB_x000D_
SIP21108DR-T1-E3_x000D_
SIP21108DT-T1-E3_x000D_
SIP21108DVP-T1-E3_x000D_
SIP21110DT-T1-E3_x000D_
SIP21123DR-T1-E3_x000D_
SIP41104DY-T1-E3_x000D_
SIP41109DY-T1-E3_x000D_
SIP42104DX-T1-E3_x000D_
SIP4280ADT-1-T1-E3_x000D_
SIP4280ADT-3-T1-E3_x000D_
SIP4280DT-1-T1-E3_x000D_
SIP4280DT-3-T1-E3_x000D_
SIP4282ADVP-1-E3_x000D_
SIP4282ADVP2-T1GE3_x000D_
SIP4282ADVP-3-E3_x000D_
SIP4282DVP-1-T1-E3_x000D_
SIP4610ADT-T1-E3_x000D_
SIP4612ADVP-T1-E3_x000D_
SIP4612BDVP-T1-E3_x000D_
SIP4613ADVP-T1-E3_x000D_
SIP4613BDVP-T1-E3</t>
  </si>
  <si>
    <t>PCN-SIL-0812014</t>
  </si>
  <si>
    <t>https://www.vishay.com/quality/pcn-doc/PCN-SIL-081-2014-Rev-1/PCN-SIL-0812014%20Auto%20PTN%20with%20300M%20Replacement.pdf/</t>
  </si>
  <si>
    <t>SQM110N06-04L-GE3 _x000D_
 SY2302ADS-T1-E3 _x000D_
 SY2312DS-T1-E3 _x000D_
 SY4936ADY-T1-E3 _x000D_
 SYM110N06-04L-E3 _x000D_
 SQD50N04-5M0-GE3 _x000D_
 SQD50N02-04L-T4GE3 _x000D_
 SYD50N02-04P-E3 _x000D_
 SYD50N02-04P-T4-E3_x000D_
 SQ3418EEV-T1-GE3 _x000D_
 SYD50N04-07L-E3 _x000D_
 SQJ912EP-T1-GE3</t>
  </si>
  <si>
    <t>PCN-SIL-0852014</t>
  </si>
  <si>
    <t>https://www.vishay.com/quality/pcn-doc/PCN-SIL-085-2014-Rev-3/PCN-SIL-0852014%20Rev3%20Auto%20SQ2361EES%20PTN.pdf/</t>
  </si>
  <si>
    <t>PCN-SIL-0912014</t>
  </si>
  <si>
    <t>https://www.vishay.com/quality/pcn-doc/PCN-SIL-091-2014-Rev-0/PCN-SIL-0912014%20EOL%20TNCB2DWF.pdf/</t>
  </si>
  <si>
    <t>End of Life TNCB2DWF</t>
  </si>
  <si>
    <t>PCN-SIL-1072014</t>
  </si>
  <si>
    <t>https://www.vishay.com/quality/pcn-doc/PCN-SIL-107-2014-Rev-0/PCN-SIL-1072014%20Commercial%20LVM%20End%20of%20Life.pdf/</t>
  </si>
  <si>
    <t>See PCN for parts list</t>
  </si>
  <si>
    <t>PCN-SSP-396-2010</t>
  </si>
  <si>
    <t>https://www.vishay.com/quality/pcn-doc/PCN-SSP-396-2010-Rev-0/ssp_396_2010_rev0.pdf/</t>
  </si>
  <si>
    <t>Discontinuation of 0,8mm height LLP75-7A package</t>
  </si>
  <si>
    <t>VEMI353A-HA3-GS08 100% replacement typeVEMI353A-HAF-G-08_x000D_
VEMI355A-HA3-GS08 100% replacement typeVEMI355A-HAF-G-08_x000D_
VEMI35AA-HA3-GS08 100% replacement typeVEMI35AA-HAF-G-08_x000D_
VESD05A6A-HA3-GS08 100% replacement typeVESD05A6A-HAF-GS08_x000D_
VESD05A6-HA3-GS08 100% replacement typeVESD05A6-HAF-GS08</t>
  </si>
  <si>
    <t xml:space="preserve">Unification of LLP package portfolio
</t>
  </si>
  <si>
    <t>PCN-SSP-443-2010</t>
  </si>
  <si>
    <t>Discontinuation and Replacement of Non Prefered Partnumbers (GLL47xx</t>
  </si>
  <si>
    <t>see list of partnumbers on page 2 continued</t>
  </si>
  <si>
    <t>PCN-TC-001-2010</t>
  </si>
  <si>
    <t>https://www.vishay.com/quality/pcn-doc/PCN-TC-001-2010-Rev-1/PCN%20TC-001-2010-Rev%201.pdf/</t>
  </si>
  <si>
    <t>Products Obsolescence</t>
  </si>
  <si>
    <t>293D156X9035D2_610; 593D107X9016D2_610</t>
  </si>
  <si>
    <t>The current design of these parts does not support acceptable quality levels at Customer’s sites and therefore need to be discontinued and replaced by previous, more robust design.</t>
  </si>
  <si>
    <t>PCN-TC-001-2017</t>
  </si>
  <si>
    <t>https://www.vishay.com/quality/pcn-doc/PCN-TC-001-2017-Rev-0/001-2017.pdf/</t>
  </si>
  <si>
    <t>Vishay&gt;</t>
  </si>
  <si>
    <t>Discontinuation of seriesCH2, ANP2, CS2, CX2</t>
  </si>
  <si>
    <t>CH2, ANP2, CS2, and CX2</t>
  </si>
  <si>
    <t>The cost of dedicating and maintaining these product styles/series is no longer cost effective based on market demand.</t>
  </si>
  <si>
    <t>PCN-TC-002-2016</t>
  </si>
  <si>
    <t>https://www.vishay.com/quality/pcn-doc/PCN-TC-002-2016-Rev-0/PTN-002-2016%20CLR65%2014-125%20T2%20and%2018-125%20T3%20discontinuation.pdf/</t>
  </si>
  <si>
    <t>Discontinuation of CLR65 14 uF-125V case T2 and 18uF -125V case T3 capcitors</t>
  </si>
  <si>
    <t>Per attached table</t>
  </si>
  <si>
    <t>We continue to have ongoing performance and yield issue for two CLR65 ratings 14µF-125V case T2 and 18µF -125V case T3. Vishay has attempted multiple improvement plans without positive results over the past year. Vishay had decided to discontinue any further engineering redesign efforts on these ratings in the silver case. The M39006/09 or CLR65 style has been labeled as inactive for new design since 1982. Vishay will continue to offer the same ratings in the improved and recommended style CLR79 (MIL-PRF-39006/22) tantalum case design. For more details, refer to table 2.</t>
  </si>
  <si>
    <t>PCN-TC-002-2017</t>
  </si>
  <si>
    <t>https://www.vishay.com/quality/pcn-doc/PCN-TC-002-2017-Rev-0/002-2017.pdf/</t>
  </si>
  <si>
    <t>Discontinuation of seriesHE4</t>
  </si>
  <si>
    <t>HE4</t>
  </si>
  <si>
    <t>PCN-TC-004-2014</t>
  </si>
  <si>
    <t>https://www.vishay.com/quality/pcn-doc/PCN-TC-004-2014-Rev-0/PTN%20TC%20004%202014%20Rev%200.pdf/</t>
  </si>
  <si>
    <t>Discontinuation of D3 case 202D wet tantalum capacitor assemblies</t>
  </si>
  <si>
    <t>202D style capacitors, D3 case ratings _x000D_
  _x000D_
202D228X0015D3    202D198X0020D3   202D168X0025D3   202D138X0030D3   202D118X0035D3_x000D_
202D887X0040D3    202D727X0050D3   202D607X0060D3   202D487X0075D3   202D407X0085D3_x000D_
202D347X0100D3    202D227X0125D3   202D138X0050D3   202D118X0060D3   202D887X0075D3</t>
  </si>
  <si>
    <t xml:space="preserve">There have been no sales of any D3 case assembly for over 10 years.
Tooling and material costs no longer make it economical to offer as an option for small orders. </t>
  </si>
  <si>
    <t>PCN-TC-007-2009</t>
  </si>
  <si>
    <t>https://www.vishay.com/quality/pcn-doc/PCN-TC-007-2009-Rev-0/PCN-TC-007-2009-Rev%200.pdf/</t>
  </si>
  <si>
    <t>End of Life for CC and EC Series</t>
  </si>
  <si>
    <t>CCxxxxxxxxxx_x000D_
ECxxxxxxxxxx</t>
  </si>
  <si>
    <t>The availability of a form-fit-function replacement (Vishay 194D, CWR06 and CWR16 Series) coupled with declining sales and increasing costs have led to the need to realign our product lines and eliminate this redundant product family.</t>
  </si>
  <si>
    <t>PCN-TC-007-2014</t>
  </si>
  <si>
    <t>https://www.vishay.com/quality/pcn-doc/PCN-TC-007-2014-Rev-0/PTN%20TC%20007%202014%20Rev%200.pdf/</t>
  </si>
  <si>
    <t>Discontinuation of subminiature solid tantalum series HA, SHA, TC, STC, CX06, CX16</t>
  </si>
  <si>
    <t>series HA, SHA, TC, STC, CX06, and CX16</t>
  </si>
  <si>
    <t>The cost of dedicating and maintaining these product lines is no longer cost effective based on market demand.</t>
  </si>
  <si>
    <t>https://www.vishay.com/quality/pcn-doc/PCN-TC-007-2014-Rev-1/PTN%20TC%20007%202014%20Rev%201.pdf/</t>
  </si>
  <si>
    <t>series HA, SHA, TC, STC, CX06, and CX16 (attached file with all active part numbers)</t>
  </si>
  <si>
    <t>PCN-TC-008-2009</t>
  </si>
  <si>
    <t>https://www.vishay.com/quality/pcn-doc/PCN-TC-008-2009-Rev-0/PCN%20TC%20-08%20-%202009%20Rev%200.pdf/</t>
  </si>
  <si>
    <t>Discontinuation of Arcotronics Part Numbers</t>
  </si>
  <si>
    <t>Arcotronics Styles â?? BMS, MT, MWD, TM, DMT_x000D_
All Arcotronics part numbers with the following prefix and format402/1/xxxxx/xxx.       _x000D_
The specific Arcotronics part numbers 402/180124/012 and 402/1/80124/A12.</t>
  </si>
  <si>
    <t>To official record the discontinuation of Arcotronics wet tantalum capacitor array part numbers as of October 24, 2008. With the acquisition of the Kemet and Arcotronics wet tantalum business on September 15, 2008, and consolidation of all wet tantalum manufacturing into our Vishay facilities, we converted all Kemet and Arcotronics part numbers to Vishay part numbers.</t>
  </si>
  <si>
    <t>PCN-TC-009-2010</t>
  </si>
  <si>
    <t>https://www.vishay.com/quality/pcn-doc/PCN-TC-009-2010-Rev-0/PCN%20TC-09-2010-Rev0.pdf/</t>
  </si>
  <si>
    <t>Product EOL</t>
  </si>
  <si>
    <t>CL66 CL67</t>
  </si>
  <si>
    <t>Defense Supply Center, Columbus has issued a Notice of Cancellation for MIL-DTL-3965/24 dated 7 July 2010 which includes wet tantalum capacitor styles CL66 and CL67. Notice 1 also includes a comprehensive cross reference for converting all ratings to MIL-PRF-39006/09 or Style CLR65 part numbers</t>
  </si>
  <si>
    <t>PCN-TC-010-2014</t>
  </si>
  <si>
    <t>https://www.vishay.com/quality/pcn-doc/PCN-TC-010-2014-Rev-0/PCN%20TC010-2014%20Rev%200.pdf/</t>
  </si>
  <si>
    <t>Discontinuation of all silver case wet tantalum manufacturing in Bennington, Vermont, US</t>
  </si>
  <si>
    <t>109D 769D 738D CT9 738D M39006/09 M39006/21 - all cases</t>
  </si>
  <si>
    <t xml:space="preserve"> The ongoing sales of these old wet tantalum silver case designs has declined
</t>
  </si>
  <si>
    <t>PCN-TC-011-2011</t>
  </si>
  <si>
    <t>https://www.vishay.com/quality/pcn-doc/PCN-TC-011-2011-Rev-1/PTN%20TC011-2014%20Built-In-Fuse%20Molded%20Chip%20Capacitors%20discontinuation%20with%20lead%20bearing%20Rev%201.pdf/</t>
  </si>
  <si>
    <t>Discontinuation of Built-In-Fuse Molded Chip Capacitors with Tin-Lead termination</t>
  </si>
  <si>
    <t>see attached file</t>
  </si>
  <si>
    <t>The cost of dedicating and maintaining these product lines is no longer cost effective based on Market demand.</t>
  </si>
  <si>
    <t>PCN-TC-011-2014</t>
  </si>
  <si>
    <t>https://www.vishay.com/quality/pcn-doc/PCN-TC-011-2014-Rev-0/PTN%20TC011-2014%20Built-In-Fuse%20Molded%20Chip%20Capacitors%20discontinuation%20with%20lead%20bearing%20t...pdf/</t>
  </si>
  <si>
    <t xml:space="preserve"> The cost of dedicating and maintaining these product lines is no longer cost
</t>
  </si>
  <si>
    <t>PCN-TC-012-2014</t>
  </si>
  <si>
    <t>https://www.vishay.com/quality/pcn-doc/PCN-TC-012-2014-Rev-0/PTN%20TC012-2014%20DLA%2004053%20Built-In-Fuse%20Molded%20Chip%20Capacitors%20discontinuation.pdf/</t>
  </si>
  <si>
    <t>Discontinuation of series04053 - DSCC approved Built-In-Fuse Molded Chip Capacitors</t>
  </si>
  <si>
    <t>series 04053</t>
  </si>
  <si>
    <t>https://www.vishay.com/quality/pcn-doc/PCN-TC-012-2014-Rev-1/PTN%20TC012-2014%20DLA%2004053%20Built-In-Fuse%20Molded%20Chip%20Capacitors%20discontinuation%20Rev%201.pdf/</t>
  </si>
  <si>
    <t>Discontinuation of series 04053</t>
  </si>
  <si>
    <t>PCN-TC-014-2014</t>
  </si>
  <si>
    <t>https://www.vishay.com/quality/pcn-doc/PCN-TC-014-2014-Rev-0/Notification%20letter%20Data%20sheet%20update%20Automotive.pdf/</t>
  </si>
  <si>
    <t>Information Notification</t>
  </si>
  <si>
    <t>TH3,TH4,TP3, 293D and 593D with special suffix</t>
  </si>
  <si>
    <t>Since customers approved usage of halogen free mold compound, it has been decided to reflect this change in the respective data sheets in order to show that parts meet the definition of halogen free and “Green”.</t>
  </si>
  <si>
    <t>PCN-TF-002-2015</t>
  </si>
  <si>
    <t>Vishay Thin Film&gt;</t>
  </si>
  <si>
    <t>MPD  MPDA series (SOT143) surface mount molded resistor network</t>
  </si>
  <si>
    <t>MPD   MPDA   SOT143  Resistor network</t>
  </si>
  <si>
    <t xml:space="preserve"> Declining sales volume and discontinuation of molding services by 3 rd party
</t>
  </si>
  <si>
    <t>PCN OSI-1007-2017</t>
  </si>
  <si>
    <t>https://www.vishay.com/quality/pcn-doc/PTN OSI-1007-2017-Rev-0/pcn_osi_1007_2017_rev0.pdf/</t>
  </si>
  <si>
    <t>Die and Wafer</t>
  </si>
  <si>
    <t>Product Discontinuation - End of Life of T8810VC</t>
  </si>
  <si>
    <t>T8810VC</t>
  </si>
  <si>
    <t xml:space="preserve">End of life for T8810VC.
</t>
  </si>
  <si>
    <t>PCN OSI-1059-2019</t>
  </si>
  <si>
    <t>https://www.vishay.com/quality/pcn-doc/PTN OSI-1059-2019-Rev-0/ptn_osi_1059_2019_rev0.pdf/</t>
  </si>
  <si>
    <t>Product discontinuation VEML6075 and VEML6075-SB</t>
  </si>
  <si>
    <t>VEML6075_x000D_
VEML6075-SB</t>
  </si>
  <si>
    <t xml:space="preserve">Discontinuation of sensor IC
</t>
  </si>
  <si>
    <t>PCN OSI-1061-2019</t>
  </si>
  <si>
    <t>https://www.vishay.com/quality/pcn-doc/PTN OSI-1061-2019-Rev-0/ptn_osi_1061_2019_rev0.pdf/</t>
  </si>
  <si>
    <t>Die and Wafer, Optoelectronics, Sensors</t>
  </si>
  <si>
    <t>Product discontinuation of low running Sensors parts</t>
  </si>
  <si>
    <t>T1070PC-SF-F T1090P-SD-F T1110P6-SU-F T163VU-SF-F T165V-SF T337P-SD-F T363P-67-SF-F T5090PC-SD-F T5090PD-SD-F T5090PE-SD-F T5090PF-SD-F T5090PG-SD-F T5090PH-SD-F T5090PI-SD-F T5090P-SD-F T5190P-P-F T8511VB-SF-F T8514VB-SF-F T8714VA-SF-F T8719VA-SF-F T9508VA-SF-F T9508VAU-SF-F T9511VA-SF-F T9511VAU-SF-F TS8510VB-SF-F TS8514VB-SF-F TS9410VB-SF-F TS9414VB-SF-F TSFF5512 VCNL36687-SB VEML6033 VEML6041 VEML6042 VSMY98575DS</t>
  </si>
  <si>
    <t xml:space="preserve">Due to the low demand of listed devices a product and production
</t>
  </si>
  <si>
    <t>PCN OSI-1093-2019</t>
  </si>
  <si>
    <t>https://www.vishay.com/quality/pcn-doc/PTN OSI-1093-2019-Rev-0/ptn_osi_1093_2019_rev0.pdf/</t>
  </si>
  <si>
    <t>Product discontinuation VEML6070 and VEML6070-SB</t>
  </si>
  <si>
    <t>VEML6070_x000D_
VEML6070-SB</t>
  </si>
  <si>
    <t>PCN OSI-1098-2019</t>
  </si>
  <si>
    <t>https://www.vishay.com/quality/pcn-doc/PTN OSI-1098-2019-Rev-0/ptn_osi_1098_2019_rev0.pdf/</t>
  </si>
  <si>
    <t>Product discontinuation of selected infrared and visible LEDs</t>
  </si>
  <si>
    <t>VSMF2890(G/RG)X01_x000D_
VSMF2893(G/RG/SL)X01_x000D_
VSMG2000X01 / VSMG2020X01_x000D_
VSMG285011(G/RG)_x000D_
VSMB10940X01_x000D_
VSMG10850_x000D_
VSMB14942_x000D_
TLWR8902-60_x000D_
TLWY8905-60_x000D_
TLHG5100_x000D_
TLHG5800_x000D_
TLHP5800</t>
  </si>
  <si>
    <t>PCN OSI-1103-2019</t>
  </si>
  <si>
    <t>https://www.vishay.com/quality/pcn-doc/PTN OSI-1103-2019-Rev-0/ptn_osi_1103_2019_rev0.pdf/</t>
  </si>
  <si>
    <t>Product discontinuation 1990-2302</t>
  </si>
  <si>
    <t>1990-2302</t>
  </si>
  <si>
    <t xml:space="preserve">very low demand
</t>
  </si>
  <si>
    <t>PCN OSI-1125-2020</t>
  </si>
  <si>
    <t>https://www.vishay.com/quality/pcn-doc/PTN OSI-1125-2020-Rev-0/ptn_osi_1125_2020_rev0.pdf/</t>
  </si>
  <si>
    <t>Product discontinuation T290V-SF-F and T291V-SF-F</t>
  </si>
  <si>
    <t>T290V-SF-F_x000D_
T291V-SF-F</t>
  </si>
  <si>
    <t xml:space="preserve">End of Life of T290V-SF-F and T291V-SF-F
</t>
  </si>
  <si>
    <t>PCN OSI-1127-2020</t>
  </si>
  <si>
    <t>https://www.vishay.com/quality/pcn-doc/PTN OSI-1127-2020-Rev-0/ptn_osi_1127_2020_rev0.pdf/</t>
  </si>
  <si>
    <t>Product discontinuation of selected infrared emitting diodes</t>
  </si>
  <si>
    <t>refer to detailed part numberlist_x000D_
S420P,_x000D_
TCZT8020, TSAL7200, TSKS5400S,_x000D_
V3712PH, V420P,_x000D_
VSMF288011(G/RG)X01, VSMF3700, VSMF3710, VSMF4710, VSMF4720, VSMF9700X01, VSMF970011X01,_x000D_
VSMG2700, VSMG2720, VSMG3700, VSMG3850X01,_x000D_
VSMS3700_x000D_
VSMY1850-O, VSMY98545DS</t>
  </si>
  <si>
    <t>PCN OSI-1188-2021</t>
  </si>
  <si>
    <t>https://www.vishay.com/quality/pcn-doc/PTN OSI-1188-2021-Rev-0/ptn_osi_1188_2021_rev0.pdf/</t>
  </si>
  <si>
    <t>Discontinuation of selected proximity sensors</t>
  </si>
  <si>
    <t>VCNL4100_x000D_
VCNL36821S_x000D_
VCNL36821S-SB</t>
  </si>
  <si>
    <t>PCN OSI-1189-2021</t>
  </si>
  <si>
    <t>https://www.vishay.com/quality/pcn-doc/PTN OSI-1189-2021-Rev-0/ptn_osi_1189_2021_rev0.pdf/</t>
  </si>
  <si>
    <t>Product DiscontinuationTSPF6200</t>
  </si>
  <si>
    <t>TSPF6200_x000D_
TSPF6200-CS12_x000D_
TSPF6200-CS21</t>
  </si>
  <si>
    <t>Discontinuation of LPE Technology.</t>
  </si>
  <si>
    <t>PCN-AC-00002-2018</t>
  </si>
  <si>
    <t>https://www.vishay.com/quality/pcn-doc/PTN-AC-00002-2018-Rev-0/PTN-AC-000002-2018%20Rev%200.pdf/</t>
  </si>
  <si>
    <t>End of Life for 197 PGP-SI and 199 PEL-SI series</t>
  </si>
  <si>
    <t>MAL2197* MAL2199*</t>
  </si>
  <si>
    <t xml:space="preserve">Decreasing sales and availability of good replacements in 157 PUM-SI and
</t>
  </si>
  <si>
    <t>PCN-AC-00002-2020</t>
  </si>
  <si>
    <t>https://www.vishay.com/quality/pcn-doc/PTN-AC-00002-2020-Rev-0/PTN-AC-00002-2020%20End%20of%20Life%20some%20Large%20can%20Roederstein%20series.pdf/</t>
  </si>
  <si>
    <t>End of Life of some Large can Roederstein series</t>
  </si>
  <si>
    <t>EYD* EYZ* EY* EYK* EFB* EYL* EYC* EYS* EYX* EYE* EYM* EYP* EYX* ZUB* MALPEYD* MALPEYZ* MALLEY* MALLEYK* MALLEFB* MALLEYL* MALIEYC* MALIEYS* MALIEYX* MALTEYE* MALTEYM* MALTEYP* MALTEYX* MALMZUB*</t>
  </si>
  <si>
    <t>Low sales numbers and availability of more modern alternatives</t>
  </si>
  <si>
    <t>PCN-AC-00002-2021</t>
  </si>
  <si>
    <t>https://www.vishay.com/quality/pcn-doc/PTN-AC-00002-2021-REV-0/PTN-AC-00002-2021-REV-0-VERSION-1488.pdf/</t>
  </si>
  <si>
    <t>SNAP IN</t>
  </si>
  <si>
    <t>Vishay BCcomponents Aluminum Electrolytic Capacitors
End of Life for 159 PUL-SI Compact</t>
  </si>
  <si>
    <t>MAL215949331E3, MAL215959101E3, MAL215959121E3, MAL215959151E3, MAL215959181E3, MAL215959221E3, MAL215959271E3, MAL215959471E3, MAL215959689E3, MAL215959829E3, MAL215979121E3</t>
  </si>
  <si>
    <t xml:space="preserve">Portfolio Management. Better and more suitable products available in other Snap-In series.
</t>
  </si>
  <si>
    <t>PCN-AC-00003-2018</t>
  </si>
  <si>
    <t>https://www.vishay.com/quality/pcn-doc/PTN-AC-00003-2018-Rev-0/PTN-AC-00003-2018%20Rev%200.pdf/</t>
  </si>
  <si>
    <t>End of Life MAL219390008E3</t>
  </si>
  <si>
    <t>MAL219390008E3</t>
  </si>
  <si>
    <t xml:space="preserve"> Low demand
</t>
  </si>
  <si>
    <t>PCN-AC-00501-2018</t>
  </si>
  <si>
    <t>https://www.vishay.com/quality/pcn-doc/PTN-AC-00501-2018-Rev-0/PCN-AC-501-2018%20Rev%200_PhaseOut_ROE_SI_EYN_EYH.pdf/</t>
  </si>
  <si>
    <t>Discontinuance of ROE Snap-In Series EYN and EYH</t>
  </si>
  <si>
    <t>EYN EYH</t>
  </si>
  <si>
    <t>PCN-AC-00501-2019</t>
  </si>
  <si>
    <t>https://www.vishay.com/quality/pcn-doc/PTN-AC-00501-2019-Rev-0/PCN-AC-00501-2019%20Rev%200_PhaseOut_45F-Cells_196HVC.pdf/</t>
  </si>
  <si>
    <t>Discontinuance of 45F cells of Series 196 HVC</t>
  </si>
  <si>
    <t>MAL219690994E3 MAL219690997E3 MAL219690201E3 MAL219690202E3 MAL219690203E3 MAL219690206E3 MAL219690211E3 MAL219690212E3 MAL219690213E3 MAL219690216E3</t>
  </si>
  <si>
    <t xml:space="preserve">Poor availability of key raw materials.
</t>
  </si>
  <si>
    <t>PCN-AC-00501-2020</t>
  </si>
  <si>
    <t>https://www.vishay.com/quality/pcn-doc/PTN-AC-00501-2020-Rev-0/PCN-AC-00501-2020-Rev0_PhaseOut_BCc-097RLP7-low_capacitance_types.pdf/</t>
  </si>
  <si>
    <t>Discontinuance of low capacitance types of series 097 RLP7</t>
  </si>
  <si>
    <t>MAL209738107E6 MAL209758107E6 MAL209778107E6 MAL209738227E6 MAL209758227E6 MAL209778227E6 MAL209738477E6 MAL209758477E6 MAL209778477E6</t>
  </si>
  <si>
    <t xml:space="preserve">Poor availability of key raw materials and low market demand
</t>
  </si>
  <si>
    <t>PCN-AC-00501-2021</t>
  </si>
  <si>
    <t>https://www.vishay.com/quality/pcn-doc/PTN-AC-00501-2021-Rev-1/PTN-AC-00501-2021-Rev1_PhaseOut_BCc-097RLP7-134RLP5.pdf/</t>
  </si>
  <si>
    <t>Discontinuance of Product Series 097 RLP7 and 134 RLP5</t>
  </si>
  <si>
    <t>097RLP7 134RLP5</t>
  </si>
  <si>
    <t>PCN-AC-00502-2019</t>
  </si>
  <si>
    <t>https://www.vishay.com/quality/pcn-doc/PTN-AC-00502-2019-Rev-1/PCN-AC-00502-2019%20Rev1_PhaseOut_ROE-ECA-low_capacitance_types.pdf/</t>
  </si>
  <si>
    <t>Discontinuance of low capacitance types of aluminum capacitor series ECA</t>
  </si>
  <si>
    <t>MALSECA00BB010HARK MALSECA00BB022HARK MALSECA00BB033HARK MALSECA00BB047HARK</t>
  </si>
  <si>
    <t xml:space="preserve">Poor availability of key raw materials
</t>
  </si>
  <si>
    <t>PCN-AC-00502-2021</t>
  </si>
  <si>
    <t>https://www.vishay.com/quality/pcn-doc/PTN-AC-00502-2021-Rev-0/PTN-AC-00502-2021-Rev0_PhaseOut_BCc-EKC-136RVI.pdf/</t>
  </si>
  <si>
    <t>Discontinuance of product series EKC (complete series) and 136 RVI (partly)</t>
  </si>
  <si>
    <t>EKC (complete series), 136RVI (only case sizes 10x25 mm, 10x30 mm, 12,5x16 mm and 12,5x31 mm)</t>
  </si>
  <si>
    <t>PCN-AC-00503-2021</t>
  </si>
  <si>
    <t>https://www.vishay.com/quality/pcn-doc/PTN-AC-00503-2021-REV-0/PTN-AC-00503-2021-REV-0.pdf/</t>
  </si>
  <si>
    <t>RADIAL,SURFACE MOUNT</t>
  </si>
  <si>
    <t>Vishay Roederstein Aluminum Capacitors 
Discontinuance of Radial and SMD Series</t>
  </si>
  <si>
    <t>MALREKB00FE215X00K, MALREKE00DD322HG0K, MALREKA00DC347EG0K, MALREKA00JG422F00K, MALREKA00KK468F00K, MALREKB00DC322HG0K, MALREKB00DD322JG0K, MALREKB00DE210X00K, MALREKB00DE347HG0K, MALREKB05JG422F00K, MALREKE00AA147JL0K, MALREKE00AA222H00K, MALREKE00BA210L00K, MALREKE00DC322FG0K, MALREKE00DD247L00K, MALREKE00DD322H00K, MALREKE00DE347FG0K, MALREKA00AA210JM0K, MALREKA00DE210P00K, MALREKA00JG347L00K, MALREKB00DD347FG0K, MALREKB00FE210PG0K, MALREKB00FE215XG0K, MALREKB00FG410H00K, MALREKB00JG333LG0K, MALREKB00JS422H00K, MALREKB00JS447E00K, MALREKE00AA222HL0K, MALREKE00AA222HM0K, MALREKE00BA310E00K, MALREKE00DC322F00K, MALREKA00AA247FM0K, MALREKA00AA310EM0K, MALREKA00DC322HG0K, MALREKA00FE422E00K, MALREKB00DC347E00K, MALREKB00DE347H00K, MALREKB00JL433H00K, MALREKB00KL333M00K, MALREKB00PB310JL0K, MALREKE00AA110HM0K, MALREKE00AA210J00K, MALREKE00DE233M00K, MALREKA00BA322EL0K, MALREKA00DE347H00K, MALREKA00FE322L00K, MALREKB00DC347EG0K, MALREKB00DD410DG0K, MALREKB00FE347J00K, MALREKB00JG410J00K, MALREKE00DD310J00K, MALREKE00DE410D00K, MALREKA00KK433J00K, MALREKB00DE310LG0K, MALREKE00DC333EG0K, MALREKE00DC347DG0K, MALREKA00AA210J00K, MALREKA00BA310FL0K, MALREKA00BA310FM0K, MALREKB00AA310D00K, MALREKA00JG410J00K, MALREKE00DD347EG0K, MALREKE00DE410DG0K, MALREKB00BA222LL0K, MALREKB05DC210N00K, MALREKE00DD347E00K, MALREKE00DE347F00K, MALREKA00AA110J00K, MALREKB00JS368L00K, MALREKB00JS310N00K, MALREKB00FE247SG0K, MALREKB00DD268L00K, MALREKA00AA247FL0K, MALREKA00AA147J00K, MALREKB00JG333L00K, MALREKA00JE315M00K, MALREKE00BA310EL0K, MALREKB00DC122P00K, MALREKA00FE410F00K, MALREKA00FE247N00K, MALREKB05DE347H00K, MALREKA00DD310L00K, MALREKE00BA247H00K, MALREKA00DE422D00K, MALREKA00DD347F00K, MALREKE00DE210X00K, MALREKB00BA310F00K, MALREKA00BA233J00K, MALREKE00AA210JM0K, MALREKE00AA247EM0K, MALREKA00JG310N00K, MALREKB00FG310M00K, MALREKE00BA222JM0K, MALREKA00FG410H00K, MALREKA00FE410FG0K, MALREKA00FE347J00K, MALREKB00KL468E00K, MALREKA00DC333F00K, MALREKB00JL422J00K, MALREKA00FG310M00K, MALREKA00AA110JL0K, MALREKA00PB122P00K, MALREKB00JG347L00K, MALREKA00AA222JM0K, MALREKA00DC322H00K, MALREKA00JG347LG0K, MALREKB00JG422F00K, MALREKB00KK433J00K, MALREKB00DC322H00K, MALREKB00AA210JL0K, MALREKE00DD247LG0K, MALREKB00BA322D00K, MALREKB00JG447D00K, MALREKA00DC410DG0K, MALREKA00BA310F00K, MALREKE00BA247HL0K, MALREKA00DD333H00K, MALREKA00JS422H00K, MALREKA00AA210L00K, MALREKA00DD347FG0K, MALREKE00DD410C00K, MALREKB00FE410F00K, MALREKA00AA310E00K, MALREKA00PB333E00K, MALREKB00DD410D00K, MALREKA00BA247J00K, MALREKB00PB347DL0K, MALREKE00AA047H00K, MALSECV00AD210HARK, MALREKV00JE233O00K, MALREKE00DG322J00K, MALREKE00FE310L00K, MALREKE00FE347H00K, MALREKE00FE410EG0K, MALREKE00JG322L00K, MALREKE00KL422H00K, MALREKE00PB310HL0K, MALREKV00DD133P00K, MALSECA00AF222LARK, MALSECA00AG247LARK, MALSECV00AG410CARK, MALREKE00FE347HG0K, MALREKE00FG410F00K, MALREKE00PB322E00K, MALSECA00AD133LARK, MALSECA00AH310LARK, MALREKE00JL410J00K, MALREKE00JS422F00K, MALREKE00PB310H00K, MALSECA00AE310EARK, MALREKE00PB222LN0K, MALSECA00AF310FARK, MALREKE00PB222L00K, MALREKE00PB247JN0K, MALREKE00PB310HN0K, MALSECL00AE247HARK, MALREKE00JG422E00K, MALSECA00AG347EARK, MALREKE00FG410FG0K, MALREKE00JG333L00K, MALREKE05JG410H00K, MALREKE05FE347H00K, MALSECV00AD247DARK, MALSECL00AE310EARK, MALREKV00DC122X00K, MALSECA00AG333FARK, MALSECA00BC222EARK, MALREKE00FE310LG0K, MALREKE05DE410D00K, MALREKE00PB247J00K, MALREKE05DD310J00K, MALREKE00KS322SG0K, MALREKE00PB222LL0K, MALREKE05JG422E00K, MALREKE00PB322EL0K, MALSECA00AF210LARK, MALSECA00BB010HARK, MALSECV00AD233EARK, MALSECV00AB210DARK, MALSECA00BB022HARK, MALSECL00AD222HARK, MALREKE00PB310FL0K, MALSECA00BC122LARK, MALREKE00FE147P00K, MALSECA00BC247DARK, MALREKE00DG322JG0K, MALREKE00FE422CG0K, MALREKE05JE233X00K, MALREKE00PB322EN0K, MALREKE00KL468D00K, MALSECV00AD222FARK, MALREKE05FE310L00K, MALREKE00PB333D00K, MALREKE00PB310F00K, MALREKE00JS433E00K</t>
  </si>
  <si>
    <t xml:space="preserve">Poor availability of key raw materials and low market demand.
</t>
  </si>
  <si>
    <t>https://www.vishay.com/quality/pcn-doc/PTN-AC-00503-2021-REV-1/PTN-AC-00503-2021-REV-1.pdf/</t>
  </si>
  <si>
    <t>Vishay Roederstein Aluminum Capacitors
Discontinuance of Radial and SMD Series</t>
  </si>
  <si>
    <t>MALREKE00JS410J00K, MALREKA00BA247H00K, MALREKB00DC310JG0K, MALREKB00DC322FG0K, MALREKB00DD168Y00K, MALREKE00DC310J00K, MALREKE00DC310JG0K, MALREKE00FG347J00K</t>
  </si>
  <si>
    <t>PCN-AC-00506-2021</t>
  </si>
  <si>
    <t>https://www.vishay.com/quality/pcn-doc/PTN-AC-00506-2021-REV-0/PTN-AC-00506-2021-REV-0-VERSION-5911.pdf/</t>
  </si>
  <si>
    <t>ENERGY STORAGE</t>
  </si>
  <si>
    <t>Vishay BCcomponents Capacitors 
Termination of 6.3V Voltage Range of 196 DLC Series</t>
  </si>
  <si>
    <t>MAL219613473E3</t>
  </si>
  <si>
    <t>PCN-AC-00901-2019</t>
  </si>
  <si>
    <t>https://www.vishay.com/quality/pcn-doc/PTN-AC-00901-2019-Rev-0/PTN-AC-00901-2019%20Rev%200%20-%20phase%20out%20516D.pdf/</t>
  </si>
  <si>
    <t>Phase out 516D series</t>
  </si>
  <si>
    <t>516D</t>
  </si>
  <si>
    <t xml:space="preserve">Discontinuance of third party materials
</t>
  </si>
  <si>
    <t>PCN-CC-00001-2020</t>
  </si>
  <si>
    <t>https://www.vishay.com/quality/pcn-doc/PTN-CC-00001-2020-Rev-0/PTN-CC-001-2020.pdf/</t>
  </si>
  <si>
    <t>Discontinuation of 561U and 564U Series</t>
  </si>
  <si>
    <t>561U10TCCV22BA 561U10TCCQ27BA 561U10TCCQ47BA 561U10TCCV10BA 561U10TCCV30BA 561U10TCCV47BA_x000D_
561UP2GEE501EE100J 561UC0GBA501EE150H 561UP2GEE501EE150H 561UC0GBA501EE150G 561UP2GBA501EE100D 561UP2GEE501EE150D 561UP2GFA501EE100J 561UP2GFA501EE150D 561UP3KEE501EC680G_x000D_
561UP3KEE501EC680H 561UP3KFA501EC680G 561UU2JBA501EE330G_x000D_
561UU2JBA501EE330H 561UU2JBA501EE470G 561UU2JBA501EE470H_x000D_
564UC0GBL402EH120J 564UC0KBL402EG2R2C 564UC0GBL402EH330J_x000D_
564UC0HBL402EE4R7C 564UC0GBL402EG220J 564UC0GBL402EJ470J_x000D_
564UC0GAA302EG270J 564UC0GAA302EK270J 564UC0JBL402EF3R3C</t>
  </si>
  <si>
    <t>PCN-CC-00002-2020</t>
  </si>
  <si>
    <t>https://www.vishay.com/quality/pcn-doc/PTN-CC-00002-2020-Rev-0/PTN-CC-002-2020%20Rev0.pdf/</t>
  </si>
  <si>
    <t>Discontinuation of a few leaded MLCC part numbers</t>
  </si>
  <si>
    <t>A473#15X7RF5###V K473#15X7RF5###V A563#15X7RF5###V K563#15X7RF5###V A473#15X7RH5###V K473#15X7RH5###V A103#20C0GF5###V K103#20C0GF5###V A103#20C0GH5###V K103#20C0GH5###V A103#20C0GF5###R K103#20C0GF5###R K103#20C0GF5###H A103#20C0GH5###R K103#20C0GH5###R K103#20C0GH5###H</t>
  </si>
  <si>
    <t>PCN-CC-00003-2021</t>
  </si>
  <si>
    <t>https://www.vishay.com/quality/pcn-doc/PTN-CC-00003-2021-REV-0/PTN-CC-00003-2021-REV-0.pdf/</t>
  </si>
  <si>
    <t>CERAMIC</t>
  </si>
  <si>
    <t>Obsolescence of Certain Power Capacitors</t>
  </si>
  <si>
    <t>TC020030BP10036BF1, TC020030BP12136BJ1, TC020030BP16036BF1, TC020030BP20036BF1, TC020030VY80036BH1, TC020050BP25136BJ1, TC020050BP50138BJ1, TC020080BP10136BG1, TC020080BP10236BJ1, TC020080BP16136BG1, TC020080BP20136BH1, TC020080BP25136BH1, TC020080BP40036BF1, TC020080BP40136BJ1, TC020080BP60036BF1, TC020080BP60136BJ1, TC020080VY12236BJ1, TC030090BH50038BF1, TC030090WC16238BJ1, TC045090BH16136BF1, TC045090WC25236BJ1, TC045090WC25238BJ1</t>
  </si>
  <si>
    <t xml:space="preserve">Raw material is not available any longer
</t>
  </si>
  <si>
    <t>PCN-CC-00005-2020</t>
  </si>
  <si>
    <t>https://www.vishay.com/quality/pcn-doc/PTN-CC-00005-2020-Rev-0/PTN-CC-00005-2020-Rev0.pdf/</t>
  </si>
  <si>
    <t>Obsolescence of certain Cera-Mite products with low sales</t>
  </si>
  <si>
    <t>Cera-Mite</t>
  </si>
  <si>
    <t xml:space="preserve">The low demand for these products in the market has rendered these parts
</t>
  </si>
  <si>
    <t>PCN-CC-00005-2021</t>
  </si>
  <si>
    <t>https://www.vishay.com/quality/pcn-doc/PTN-CC-00005-2021-REV-0/PTN-CC-00005-2021-REV-0.pdf/</t>
  </si>
  <si>
    <t>SINGLELAYER</t>
  </si>
  <si>
    <t>Obsolescence of IEL series</t>
  </si>
  <si>
    <t>IEL120KBQDJ0KR, IEL150MBQDJ0KR, IEL360MBQRGXKR</t>
  </si>
  <si>
    <t xml:space="preserve">Ceramic disc manufacturing process no longer available
</t>
  </si>
  <si>
    <t>PCN-DBR-00001-2020 Rev 0</t>
  </si>
  <si>
    <t>https://www.vishay.com/quality/pcn-doc/PCN-DBR-00001-2020-Rev-0/PCN-DBR-00001-2020%20Rev0.pdf/</t>
  </si>
  <si>
    <t>Product Discontinuation  -  Film Trimmer Potentiometers</t>
  </si>
  <si>
    <t>D125 D12A  D12C D13A D16A D172 D192 D198 D23A D265 E082 E101 E103 E133 E15C</t>
  </si>
  <si>
    <t>Product obsolescence (End of Life)</t>
  </si>
  <si>
    <t>PCN-DBR-00002-2019 Rev0</t>
  </si>
  <si>
    <t>https://www.vishay.com/quality/pcn-doc/PCN-DBR-00002-2019-Rev-0/PCN-DBR-00002-2019%20Rev0.pdf/</t>
  </si>
  <si>
    <t>Product Discontinuation    SKA1 and SKA3 Axial Cemented wire wound resistors</t>
  </si>
  <si>
    <t>SKA138201KA1000 SKA1A330FMA1000 SKA1B5607KA1000 SKA1B8200KA1000 SKA1C2201KA1000 SKA3B2700KA1000</t>
  </si>
  <si>
    <t>PCN-DBR-00003-2019 Rev0</t>
  </si>
  <si>
    <t>https://www.vishay.com/quality/pcn-doc/PCN-DBR-00003-2019-Rev-0/PCN-DBR-00003-2019%20Rev0.pdf/</t>
  </si>
  <si>
    <t>Product Discontinuation   KKA and KKE Fusible Leaded wire wound resistors in ceramic case</t>
  </si>
  <si>
    <t>KKA04* KKA05* KKA07* KKA09* KKA11* KKA17*, KKE04* KKE07* KKE09* KKE11* KKE17* KKE07L* KKE09L, KKE11L*</t>
  </si>
  <si>
    <t>PCN-DBR-00005-2019 Rev0</t>
  </si>
  <si>
    <t>https://www.vishay.com/quality/pcn-doc/PCN-DBR-00005-2019-Rev-0/PCN-DBR-00005-2019%20Rev0.pdf/</t>
  </si>
  <si>
    <t>Withdrawal of NCS 0402</t>
  </si>
  <si>
    <t>NCS0402...</t>
  </si>
  <si>
    <t>PCN-DBR-00007-2019 Rev0</t>
  </si>
  <si>
    <t>https://www.vishay.com/quality/pcn-doc/PCN-DBR-00000-2019-Rev-0/PCN-DBR-00007-2019%20Rev0.pdf/</t>
  </si>
  <si>
    <t>Withdrawal of NCT 0603 and NCU 0805</t>
  </si>
  <si>
    <t>NCT0603 NCU0805</t>
  </si>
  <si>
    <t>https://www.vishay.com/quality/pcn-doc/PCN-DBR-00007-2019-Rev-0/PCN-DBR-0007-2019%20Rev0.pdf/</t>
  </si>
  <si>
    <t>PCN-DBR-00008-2021</t>
  </si>
  <si>
    <t>https://www.vishay.com/quality/pcn-doc/PCN-DBR-00008-2021-REV-0/PCN-DBR-00008-2021-REV-0.pdf/</t>
  </si>
  <si>
    <t>METAL FILM,FIXED</t>
  </si>
  <si>
    <t>Product Discontinuation – Zero Ohm Jumpers - Standard Metal Film
Leaded Resistors SFR16S and SFR25.</t>
  </si>
  <si>
    <t>SFR16S00Z0000ZA500, SFR16S00Z0000ZR500, SFR25000Z0000ZA100, SFR25000Z0000ZA500, SFR25000Z0000ZR500</t>
  </si>
  <si>
    <t xml:space="preserve">Unviable manufacturing due to low market demand and non availability of raw materials.
</t>
  </si>
  <si>
    <t>PCN-DBR-00009-2018 Rev0</t>
  </si>
  <si>
    <t>https://www.vishay.com/quality/pcn-doc/PCN-DBR-00009-2018-Rev-0/PCN-DBR-00009-2018%20Rev0.pdf/</t>
  </si>
  <si>
    <t>Discontinuation of Thick Film Chip Resistor Array Series CRA</t>
  </si>
  <si>
    <t>CRA04S CRA06E CRA06S CRA12E CRA12S CRA04P CRA06P CRAS0606 CRAS0612 CRAE0612</t>
  </si>
  <si>
    <t>PCN-DBR-00010-2021</t>
  </si>
  <si>
    <t>https://www.vishay.com/quality/pcn-doc/PCN-DBR-00010-2021-REV-0/PCN-DBR-00010-2021-REV-0.pdf/</t>
  </si>
  <si>
    <t>RESISTORS,FIXED</t>
  </si>
  <si>
    <t>Withdrawal of M10, M11, M12, M25 series</t>
  </si>
  <si>
    <t>M1004020D1021DP000, M1004020D1581DP000, M1004020D1801DP000, M1004020D2001DP000, M1004020D2701DP000, M1004020D4021DP000, M1004020D4750DP000, M1004020D5600DP000, M1004020D6981DP000, M1106030C1001BP500, M1106030C1002BP500, M1106030C1242DP500, M1106030C1602BP500, M1106030C2002BP500, M1106030C5602CPN03, M1106030C8871BP500, M1106030D1001BP500, M1106030D1002BP500, M1106030D1002DP500, M1106030D1011BP500, M1106030D1012BP500, M1106030D1601BP500, M1106030D1691BP500, M1106030D2001BP500, M1106030D2002FP500, M1106030D2051BP500, M1106030D2201BP500, M1106030D2201FP500, M1106030D2202BP500, M1106030D2552BP500, M1106030D3302BP500, M1106030D3652BP500, M1106030D4751BP500, M1106030D4752BP500, M1106030D4871BP500, M1106030D4991BP500, M1106030D4991BPN00, M1106030D5009BP505, M1106030D5051BP500, M1106030D5111FP500, M1106030D5621BP500, M1106030D6811BP500, M1106030D8660BP500, M1106030D9101BP500, M1208050C3839BP500, M1208050D1000BP500, M1208050D1001BP100, M1208050D1001BP500, M1208050D1002BP100, M1208050D1002BP500, M1208050D1003BP100, M1208050D1003BP500, M1208050D1009BP500, M1208050D1022BP500, M1208050D1052BP500, M1208050D1150BP500, M1208050D1500BP500, M1208050D1501BP100, M1208050D1501BP500, M1208050D1502BP500, M1208050D1692BP100, M1208050D1692BP500, M1208050D2000BP100, M1208050D2001BP100, M1208050D2002BP100, M1208050D2002BP500, M1208050D2202BP500, M1208050D2211BP500, M1208050D2261BP500, M1208050D2871BP500, M1208050D3161BP500, M1208050D3302BP500, M1208050D3920BP500, M1208050D4701BP500, M1208050D4702BP500, M1208050D4991BP500, M1208050D4992BP100, M1208050D4992BP500, M1208050D5111BP500, M1208050D6801BP500, M1208050D6810BP500, M1208050D7501BP100, M1208050D7501BP500, M1208050D7509BP100, M1208050D8252BP100, M1208050D8669BP500, M1208050D9761BP500, M2512060C1000BP500, M2512060C1002BP500, M2512060C1003BP500, M2512060D1000BP500, M2512060D1001BP500, M2512060D1002BP500, M2512060D1003BP500, M2512060D1009BP500, M2512060D1010BP500, M2512060D1011BP500, M2512060D1022BP500, M2512060D1040BP500, M2512060D1052BP500, M2512060D1109BP500, M2512060D1150BP500, M2512060D1260BP500, M2512060D1261BP500, M2512060D1301BP500, M2512060D1370BP500, M2512060D1490BP500, M2512060D1500BP500, M2512060D1501BP500, M2512060D1502BP500, M2512060D1509BP500, M2512060D1540BP500, M2512060D1621BP500, M2512060D1829BP500, M2512060D1871BP500, M2512060D2001BP500, M2512060D2002BP500, M2512060D2003BP500, M2512060D2009BP500, M2512060D2102BP500, M2512060D2340BP500, M2512060D2400BP500, M2512060D2491BP500, M2512060D3001BP500, M2512060D3010BP500, M2512060D3050BP500, M2512060D3091BP500, M2512060D3321BP500, M2512060D3480BP500, M2512060D3481BP500, M2512060D3790BP500, M2512060D3830BP500, M2512060D3922BP500, M2512060D3929BP500, M2512060D4750BP500, M2512060D4751BP500, M2512060D4991BP500, M2512060D5110BP500, M2512060D5490BP500, M2512060D6191BP500, M2512060D6801BP500, M2512060D6812BP500, M2512060D7500BP500, M2512060D7509BP500, M2512060D8250BP500, M2512060D8870BP500, M2512060D8872BP500, M2512060D9091BP500, M2512060D9531BP500</t>
  </si>
  <si>
    <t xml:space="preserve">Lack of market demand. Replacement TNPW e3 or MC series depending on customer requirement.
</t>
  </si>
  <si>
    <t>https://www.vishay.com/quality/pcn-doc/PCN-DBR-00010-2021-REV-1/PCN-DBR-00010-2021-REV-1.pdf/</t>
  </si>
  <si>
    <t>FIXED</t>
  </si>
  <si>
    <t>M1004020D1021DP000, M1004020D1581DP000, M1004020D1801DP000, M1004020D2001DP000, M1004020D2701DP000, M1004020D4021DP000, M1004020D4750DP000, M1004020D5600DP000, M1004020D6981DP000, M1106030C1001BP500, M1106030C1002BP500, M1106030C1242DP500, M1106030C1502BP500, M1106030C1502FP500, M1106030C1602BP500, M1106030C2001BP500, M1106030C2002BP100, M1106030C2002BP500, M1106030C2371BP500, M1106030C2801BP500, M1106030C3321BP500, M1106030C5602CPN03, M1106030C6199DP500, M1106030C8451BP500, M1106030C8871BP500, M1106030D1001BP500, M1106030D1002BP500, M1106030D1002DP500, M1106030D1009BP500, M1106030D1011BP500, M1106030D1012BP500, M1106030D1301BP500, M1106030D1491BP500, M1106030D1502BP100, M1106030D1509BP500, M1106030D1601BP500, M1106030D1609BP100, M1106030D1691BP500, M1106030D1912BP100, M1106030D2001BP500, M1106030D2002FP500, M1106030D2009BP100, M1106030D2051BP500, M1106030D2201BP500, M1106030D2201FP500, M1106030D2202BP100, M1106030D2202BP500, M1106030D2431BP100, M1106030D2490DP500, M1106030D2552BP500, M1106030D2671BP500, M1106030D3011BP500, M1106030D3241BP500, M1106030D3302BP500, M1106030D3401BP500, M1106030D3652BP500, M1106030D4001BP505, M1106030D4642BP100, M1106030D4700BP100, M1106030D4700BP500, M1106030D4702BP500, M1106030D4751BP500, M1106030D4752BP500, M1106030D4759BP500, M1106030D4871BP500, M1106030D4872BP500, M1106030D4990BP100, M1106030D4990BP500, M1106030D4991BP500, M1106030D4991BPN00, M1106030D5009BP505, M1106030D5051BP500, M1106030D5111BP500, M1106030D5111FP500, M1106030D5621BP500, M1106030D6190BP500, M1106030D6801BP500, M1106030D6811BP500, M1106030D8660BP500, M1106030D9091BP500, M1106030D9101BP500, M1208050C1001BP500, M1208050C1003BP500, M1208050C3839BP500, M1208050C5601BP500, M1208050D1000BP100, M1208050D1000BP500, M1208050D1000DP500, M1208050D1001BP100, M1208050D1001BP500, M1208050D1002BP100, M1208050D1002BP500, M1208050D1002BPN00, M1208050D1003BP100, M1208050D1003BP500, M1208050D1009BP500, M1208050D1022BP500, M1208050D1052BP500, M1208050D1100BP100, M1208050D1150BP500, M1208050D1181BP500, M1208050D1202BP500, M1208050D1212BP500, M1208050D1272BP100, M1208050D1500BP500, M1208050D1501BP100, M1208050D1501BP500, M1208050D1501DP500, M1208050D1502BP500, M1208050D1652BP100, M1208050D1692BP100, M1208050D1692BP500, M1208050D1821BP500, M1208050D1871BP500, M1208050D1912BP500, M1208050D1913BP500, M1208050D2000BP100, M1208050D2000BP500, M1208050D2001BP100, M1208050D2001BP500, M1208050D2002BP100, M1208050D2002BP500, M1208050D2002BPN00, M1208050D2101BP500, M1208050D2201BP500, M1208050D2202BP500, M1208050D2202CP500, M1208050D2211BP100, M1208050D2211BP500, M1208050D2260BP500, M1208050D2261BP500, M1208050D2402CP500, M1208050D2671BP500, M1208050D2742BP500, M1208050D2801BP500, M1208050D2802BP100, M1208050D2871BP500, M1208050D3001BP100, M1208050D3012BP500, M1208050D3161BP500, M1208050D3301FP500, M1208050D3302BP500, M1208050D3401BP100, M1208050D3920BP500, M1208050D3921BP500, M1208050D4002BP500, M1208050D4022BP500, M1208050D4222BP500, M1208050D4701BP500, M1208050D4702BP500, M1208050D4751BP500, M1208050D4752BP500, M1208050D4810BP500, M1208050D4991BP500, M1208050D4991BPN00, M1208050D4992BP100, M1208050D4992BP500, M1208050D5102CP500, M1208050D5111BP500, M1208050D5601BP500, M1208050D5621BP500, M1208050D5622BP500, M1208050D5761BP500, M1208050D6340BP500, M1208050D6341BP500, M1208050D6801BP500, M1208050D6810BP500, M1208050D7500BP100, M1208050D7501BP100, M1208050D7501BP500, M1208050D7502BP500, M1208050D7509BP100, M1208050D7509BP500, M1208050D8209BP500, M1208050D8252BP100, M1208050D8661BP500, M1208050D8669BP500, M1208050D8871BP500, M1208050D9101BP500, M1208050D9761BP500, M2512060C1000BP500, M2512060C1002BP500, M2512060C1003BP500, M2512060D1000BP100, M2512060D1000BP500, M2512060D1001BP500, M2512060D1002BP500, M2512060D1003BP500, M2512060D1009BP100, M2512060D1009BP500, M2512060D1010BP500, M2512060D1011BP500, M2512060D1022BP500, M2512060D1040BP500, M2512060D1052BP500, M2512060D1109BP500, M2512060D1150BP500, M2512060D1212BP500, M2512060D1260BP500, M2512060D1261BP500,</t>
  </si>
  <si>
    <t>PCN-DBR-00011-2020</t>
  </si>
  <si>
    <t>https://www.vishay.com/quality/pcn-doc/PCN-DBR-00011-2020-REV-0/PCN-DBR-00011-2020-REV-0.pdf/</t>
  </si>
  <si>
    <t>METAL FILM</t>
  </si>
  <si>
    <t>Product Discontinuation – HID Lamp Metal Film Leaded ResistorsPR02L, PR02.5L, PR02.5LS</t>
  </si>
  <si>
    <t>PR02L00001802JR500, PR02L00004002JR500, PR25L00004002JF200, PR25L00004002JR200, PR25L00007002JR200, PR25LS0003002JR200, PR25LS0004002JR200</t>
  </si>
  <si>
    <t>PCN-DBR-00014-2021</t>
  </si>
  <si>
    <t>https://www.vishay.com/quality/pcn-doc/PCN-DBR-00014-2021-REV-0/PCN-DBR-00014-2021-REV-0.pdf/</t>
  </si>
  <si>
    <t>METAL FILM,RESISTORS,FIXED</t>
  </si>
  <si>
    <t>Withdrawal of 100 pieces packaging for metal film leaded resistors MBA/SMA 0204, MBB/SMA 0207 and MBE/SMA 0414 series.</t>
  </si>
  <si>
    <t>MBB0207VD1001BCU00, MBB0207VD1051CCU00, MBB0207VD1401BCU00, MBB0207VD2001BCU00, MBB0207VD2071BCU00, MBB0207VD6801BCU00, MBB0207VD9001BCU00, MBB0207VE2671BCU00, MBB0207VE6191BCU00</t>
  </si>
  <si>
    <t xml:space="preserve">Unviable manufacturing due to very low market demand. Choose 1000 pcs packaging option.
</t>
  </si>
  <si>
    <t>PCN-DBR-002-2018 Rev0</t>
  </si>
  <si>
    <t>https://www.vishay.com/quality/pcn-doc/PCN-DBR-00002-2018-Rev-0/PCN-DBR-002-2018%20Rev0.pdf/</t>
  </si>
  <si>
    <t>Withdrawal of OCT 0603, OCU 0805</t>
  </si>
  <si>
    <t>OCT06030BxxxxJP500 OCT06030WxxxxJP500 OCU08050BxxxxJP500 OCU08050WxxxxJP500</t>
  </si>
  <si>
    <t>Lack of market demand</t>
  </si>
  <si>
    <t>PCN-DD-001-2020</t>
  </si>
  <si>
    <t>https://www.vishay.com/quality/pcn-doc/PTN-DD-00001-2020-Rev-0/DD-001-2020%20Rev%200.pdf/</t>
  </si>
  <si>
    <t>VS-GB150TH120U; VS-GB200TH120U; VS-ETF150Y65N</t>
  </si>
  <si>
    <t xml:space="preserve">  Discontinued supply of IGBT dice
</t>
  </si>
  <si>
    <t>PCN-DD-002-2020</t>
  </si>
  <si>
    <t>https://www.vishay.com/quality/pcn-doc/PTN-DD-00002-2020-Rev-0/DD-002-2020%20Rev%200.pdf/</t>
  </si>
  <si>
    <t>VS-20MT120UFP; VS-40MT060WFHT; VS-40MT120UHAPBF; ... see complete part number list inside PCN document.</t>
  </si>
  <si>
    <t>PCN-DD-002-2021</t>
  </si>
  <si>
    <t>Product Obsolescence of some Fred and Schottky Part Numbers</t>
  </si>
  <si>
    <t>VS-E5TH3012-N3, VS-E5TX3012-N3, VS-30CPU04HN3,... see complete part number list inside the PCN document</t>
  </si>
  <si>
    <t xml:space="preserve"> Portfolio consolidation
</t>
  </si>
  <si>
    <t>PCN-DD-003-2018</t>
  </si>
  <si>
    <t>See complete part number list inside the PTN document</t>
  </si>
  <si>
    <t>PCN-DD-004-2021</t>
  </si>
  <si>
    <t>Product Discontinuation Notice of Rectifier and TVS Products</t>
  </si>
  <si>
    <t>detail P/N please see PCN form</t>
  </si>
  <si>
    <t xml:space="preserve">Low sales
</t>
  </si>
  <si>
    <t>PCN-DD-005-2019</t>
  </si>
  <si>
    <t>https://www.vishay.com/quality/pcn-doc/PTN-DD-00005-2019-Rev-0/PCN-DD-005-2019%20Rev%200_Product%20Discontinuation%20of%20HVTVS%20Products.pdf/</t>
  </si>
  <si>
    <t>Product Discontinuation Notice of High Voltage TRANSZORB TVS in Non- Halogen Free SMX Packages</t>
  </si>
  <si>
    <t>P4SMA250A-E3/5A, P4SMA250A-E3/61, P4SMA300A-E3/5A, P4SMA300A-E3/61, P4SMA350A-E3/5A, P4SMA350A-E3/61, P4SMA400A-E3/5A, P4SMA400A-E3/61, P4SMA440A-E3/5A, P4SMA440A-E3/61, P4SMA480A-E3/5A, P4SMA480A-E3/61, P4SMA510A-E3/5A, P4SMA510A-E3/61, P4SMA540A-E3/5A, P4SMA540A-E3/61, SMAJ530-E3/5A, SMAJ530-E3/61, SMAJ550-E3/5A, SMAJ550-E3/61, SMAJ550-E3R/61, P6SMB250A-E3/52, P6SMB250A-E3/5B, P6SMB250A-E3R/52, P6SMB300A-E3/52, P6SMB300A-E3/5B, P6SMB350A-E3/52, P6SMB350A-E3/5B, P6SMB400A-E3/52, P6SMB400A-E3/5B, P6SMB440A-E3/52, P6SMB440A-E3/5B, P6SMB480A-E3/52, P6SMB480A-E3/5B, P6SMB510A-E3/52, P6SMB510A-E3/5B, P6SMB540A-E3/52, P6SMB540A-E3/5B, 1.5SMC540A-E3/9AT, 1.5SMC540A-E3/57T, 1.5SMC510A-E3/9AT, 1.5SMC510A-E3/57T, 1.5SMC480A-E3/9AT, 1.5SMC480A-E3/57T, 1.5SMC440A-E3/9AT, 1.5SMC440A-E3/57T, 1.5SMC400A-E3/9AT, 1.5SMC400A-E3/57T, 1.5SMC350A-E3/9AT, 1.5SMC350A-E3/57T, 1.5SMC300A-E3/9AT, 1.5SMC300A-E3/57T, P4SMA250AHE3_A/H, P4SMA250AHE3_A/I, P4SMA300AHE3_A/H, P4SMA300AHE3_A/I, P4SMA300AHE3J_A/H, P4SMA350AHE3_A/H, P4SMA350AHE3_A/I, P4SMA400AHE3_A/H, P4SMA400AHE3_A/I, P4SMA440AHE3_A/H, P4SMA440AHE3_A/I, P4SMA480AHE3_A/H, P4SMA480AHE3_A/I, P4SMA510AHE3_A/H, P4SMA510AHE3_A/I, P4SMA540AHE3_A/H, P4SMA540AHE3_A/I, SMAJ530HE3_A/H, SMAJ530HE3_A/I, SMAJ550HE3_A/H, SMAJ550HE3_A/I, P6SMB250AHE3_A/H, P6SMB250AHE3_A/I, P6SMB300AHE3_A/H, P6SMB300AHE3_A/I, P6SMB350AHE3_A/H, P6SMB350AHE3_A/I, P6SMB400AHE3_A/H, P6SMB400AHE3_A/I, P6SMB440AHE3_A/H, P6SMB440AHE3_A/I, P6SMB480AHE3_A/H, P6SMB480AHE3_A/I, P6SMB510AHE3_A/H, P6SMB510AHE3_A/I, P6SMB540AHE3_A/H, P6SMB540AHE3_A/I, 1.5SMC250AHE3_A/H, 1.5SMC250AHE3_A/I, 1.5SMC300AHE3_A/H, 1.5SMC300AHE3_A/I, 1.5SMC350AHE3_A/H, 1.5SMC350AHE3_A/I, 1.5SMC400AHE3_A/H, 1.5SMC400AHE3_A/I, 1.5SMC440AHE3_A/H, 1.5SMC440AHE3_A/I, 1.5SMC480AHE3_A/H, 1.5SMC480AHE3_A/I, 1.5SMC510AHE3_A/H, 1.5SMC510AHE3_A/I, 1.5SMC540AHE3_A/H, 1.5SMC540AHE3_A/I</t>
  </si>
  <si>
    <t xml:space="preserve">Product Consolidation to offer only Halogen Free molding compound type for High
</t>
  </si>
  <si>
    <t>PCN-DD-006-2018</t>
  </si>
  <si>
    <t>https://www.vishay.com/quality/pcn-doc/PTN-DD-00006-2018-Rev-0/PCN-DD-006-2018%20Rev%200_Product%20Discontinuation%20Notice%20of%20Rectifier%20Products.pdf/</t>
  </si>
  <si>
    <t>Product Discontinuation Notice of Rectifier Products</t>
  </si>
  <si>
    <t>1N4001GPE-E3/91, 1N4002GPE-E3/91, 1N4004GPE-E3/91, 1N4004GPE-E3/93, 1N4007GPE-E3/91, 1N4934GPE-E3/91, 1N4937GPE-E3/91, G2SBA20-E3/45, G2SBA20-E3/51, G2SBA20-M3/45, G2SBA20-M3/51, G2SBA60-E3/45, G2SBA60-E3/51, G2SBA60-M3/45, G2SBA60-M3/51, G2SBA60L-5700E3/45, G2SBA60L-5701E3/45, G2SBA60L-5701E3/51, G2SBA60L-5702E3/45, G2SBA60L-5703E3/45, G2SBA60L-5704E3/51, G2SBA60L-5705E3/45, G2SBA60L-6826E3/51, G2SBA60L-6847E3/45, G2SBA60L-6847E3/51, G2SBA60L-E3/45, G2SBA60L-E3/51, G2SBA80-E3/45, G2SBA80-E3/51, G2SBA80-M3/45, G2SBA80-M3/51, GBPC1005-E4/51, GBPC101-E4/51, GBPC102-E4/51, GBPC104-E4/51, GBPC104L-6740E4/51, GBPC106-5700E4/51, GBPC106-E4/51, GBPC108-E4/51, GBPC110-E4/51, GP10BE-075E3/93, GP10GE-110BE3/93, GP10GE-110E3/91, GP10GE-110E3/93, GP10GE-124E3/91, GP10GE-159E3/93, GP10GE-161E3/91, GP10GE-167E3/93, GP10GE-E3/91, GP10KE-046E3/93, RGP10BE-E3/91, RGP10DE-031E3/93, RGP10DE-052E3/91, RGP10DE-E3/91, RGP10GE-E3/91, RGP10GE-E3/93, RGP10JE-E3/91, RGP10KE-E3/91, RGP10ME-E3/91, TVR06D-E3/54, TVR06D-E3/73, TVR06G-E3/54, TVR06G-E3/73, TVR06J-E3/54, TVR06J-E3/73, TVR06K-E3/54, TVR06K-E3/73, TVR10D-E3/54, TVR10D-E3/73, TVR10G-E3/54, TVR10G-E3/73, TVR10J-E3/54, TVR10J-E3/73, TVR10K-E3/54, TVR10K-E3/73, U10BCT-E3/4W, U10CCT-E3/4W, U10DCT-E3/4W, U16BCT-E3/4W, U16CCT-E3/4W, U16DCT-E3/4W, U20BCT-E3/4W, U20CCT-E3/4W, U20DCT-E3/4W, U30BCT-E3/4W, U30CCT-E3/4W, U30DCT-E3/4W, U8BT-E3/4W, U8CT-E3/4W, U8DT-E3/4W, UB10BCT-E3/4W, UB10BCT-E3/8W, UB10CCT-E3/4W, UB10CCT-E3/8W, UB10DCT-E3/4W, UB10DCT-E3/8W, UB16BCT-E3/4W, UB16BCT-E3/8W, UB16CCT-E3/4W, UB16CCT-E3/8W, UB16DCT-E3/4W, UB16DCT-E3/8W, UB20BCT-E3/4W, UB20BCT-E3/8W, UB20CCT-E3/4W, UB20CCT-E3/8W, UB20DCT-E3/4W, UB20DCT-E3/8W, UB30BCT-E3/4W, UB30BCT-E3/8W, UB30CCT-E3/4W, UB30CCT-E3/8W, UB30DCT-E3/4W, UB30DCT-E3/8W, UB8BT-E3/4W, UB8BT-E3/8W, UB8CT-E3/4W, UB8CT-E3/8W, UB8DT-E3/4W, UB8DT-E3/8W, UF10BCT-E3/4W, UF10CCT-E3/4W, UF10DCT-E3/4W, UF8BT-E3/4W, UF8CT-E3/4W, UF8DT-E3/4W, UH10FT-E3/4W, UH10JT-E3/4W, UH5JT-E3/4W, UH8JT-E3/45, UH8JT-E3/4W, UHF10JT-E3/45, UHF20FCT-E3/4W, UHF20FCTL-801E3/72, UHF5JT-E3/4W, UHF8JT-E3/45, GPP60A-E3/54, GPP60A-E3/73, GPP60AHE3/54, GPP60AHE3/73, GPP60B-001HE3/54, GPP60B-E3/54, GPP60B-E3/73, GPP60BHE3/54, GPP60BHE3/73, GPP60D-E3/54, GPP60D-E3/73, GPP60DHE3/54, GPP60DHE3/73, GPP60G-01HE3/54, GPP60G-E3/54, GPP60G-E3/73, GPP60GHE3/54, GPP60GHE3/73, GPP60GL-6000HE3/2M, GPP60GL-6000HE3/54</t>
  </si>
  <si>
    <t>PCN-DD-008-2019</t>
  </si>
  <si>
    <t>https://www.vishay.com/quality/pcn-doc/PTN-DD-00008-2019-Rev-0/PCN-DD-008-2019%20Rev%200_Product%20Discontinuation%20Notice%20for%20Rectifier%20Products.pdf/</t>
  </si>
  <si>
    <t>Product Discontinuation Notice for Rectifier Products</t>
  </si>
  <si>
    <t>BYWE29-100-E3/45, BYWE29-150-E3/45, BYWE29-200-E3/45, BYWE29-50-E3/45, EGP10G-E3S/73, GP10-4002-E3S/73, GP10F-E3/54, GP25M-E3/54, M2035S-E3/4W, M2045S-E3/4W, M3035S-E3/4W, M3045S-E3/4W, M3060C-E3/4W, M30L40C-E3/4W, M30L45C-E3/4W, MB3035S-E3/4W, MB3035S-E3/8W, MB3045S-E3/4W, MB3045S-E3/8W, MBR2045CT-E3/4W, MBR2060CT-E3/4W, MBR2545CT-E3/4W, MBR3045CT-E3/45 , MBR3045CT-E3/4W, MI2050C-E3/4W, MI2060C-E3/4W, MI3035S-E3/4W, MI3045S-E3/4W, MI3060C-E3/4W, RGP02-17E-E3S/73, SS24-7002E3/5BT, SX079S045S6PU, SX081H150A6OU, SX110S040A6OB-01, SX110S040S6OU, UH20FCT-E3/4W, UHB10FT-E3/4W, UHB10FT-E3/8W, UHB20FCT-E3/4W, UHB20FCT-E3/8W, V10WL45-M3/I, V10WM100-M3/I, V12W60C-M3/I, V12WM100C-M3/I, V15W60C-M3/I, V15WL45C-M3/I, V20W60C-M3/I, V20WL45-M3/I, V20WM100C-M3/I, V6W60C-M3/I, V6WL45C-M3/I, V6WM100C-M3/I</t>
  </si>
  <si>
    <t xml:space="preserve">Low sales, Product portfolio optimization
</t>
  </si>
  <si>
    <t>https://www.vishay.com/quality/pcn-doc/PTN-DD-00008-2019-Rev-1/PCN-DD-008-2019%20Rev%201_Product%20Discontinuation%20Notice%20for%20Rectifier%20Products.pdf/</t>
  </si>
  <si>
    <t>BYWE29-100-E3/45, BYWE29-150-E3/45, BYWE29-200-E3/45, BYWE29-50-E3/45, EGP10G-E3S/73, GP10-4002-E3S/73, GP10F-E3/54, GP25M-E3/54, M2035S-E3/4W, M2045S-E3/4W, M3035S-E3/4W, M3045S-E3/4W, M3060C-E3/4W, M30L40C-E3/4W, M30L45C-E3/4W, MB3035S-E3/4W, MB3035S-E3/8W, MB3045S-E3/4W, MB3045S-E3/8W, MBR2045CT-E3/4W, MBR2060CT-E3/4W, MBR2545CT-E3/4W, MBR3045CT-E3/45 , MBR3045CT-E3/4W, MI2050C-E3/4W, MI2060C-E3/4W, MI3035S-E3/4W, MI3045S-E3/4W, MI3060C-E3/4W, RGP02-17E-E3S/73, SS24-7002E3/5BT, SX079S045S6PU, SX081H150A6OU, SX110S040A6OB-01, SX110S040S6OU, UHB10FT-E3/4W, UHB10FT-E3/8W, UHB20FCT-E3/4W, UHB20FCT-E3/8W, V10WL45-M3/I, V10WM100-M3/I, V12W60C-M3/I, V12WM100C-M3/I, V15W60C-M3/I, V15WL45C-M3/I, V20W60C-M3/I, V20WL45-M3/I, V20WM100C-M3/I, V6W60C-M3/I, V6WL45C-M3/I, V6WM100C-M3/I</t>
  </si>
  <si>
    <t>PCN-DD-009-2019</t>
  </si>
  <si>
    <t>https://www.vishay.com/quality/pcn-doc/PTN-DD-00009-2019-Rev-0/DD-009-2019%20Rev%200.pdf/</t>
  </si>
  <si>
    <t>VS-150MT060WDF-P, VS-150MT060WDF</t>
  </si>
  <si>
    <t>PCN-DD-009-2021</t>
  </si>
  <si>
    <t>https://www.vishay.com/quality/pcn-doc/PTN-DD-00009-2021-Rev-0/PCN-DD-009-2021%20Rev%200_Product%20Discontinuation%20of%20Rectifier%20Products.pdf/</t>
  </si>
  <si>
    <t>MBRB1045001HE3_B/I, SB360-5300E3/73, SB360L-5705E3/72, SB3H100L-5700E3/72, EGP10AE-E3/54, EGP10BE-E3/54, EGP10CE-E3/54, EGP10DE-E3/54, EGP10FE-E3/54, EGP10GE-E3/54, UF4005-E3S/73, RGL41J-7002E3/97, SL23-7001HE3_A/I, UH2BHE3_A/H, UH2BHE3_A/I, UH2CHE3_A/H, UH2CHE3_A/I, UH2DHE3_A/H, UH2DHE3_A/I, RS1J-E3S/61T, S1J-6605E3/61T, UG2G-E3/54, UG2G-E3/73, US1J-E3S/61T, US1J-M3S/61T, VSSA3L6S-01M3/61T, GF1G-9HE3_A/H, GF1G-9HE3_A/I, SS2P6-01HM3/84A, SS2P6-01HM3/85A, SS3P4-6002M3/84A, G2SB20-E3/45, G2SB20-E3/51, G2SB20-M3/45, G2SB20-M3/51, G2SB60-E3/45, G2SB60-E3/51, G2SB60-E3D/P, G2SB60-M3/45, G2SB60-M3/51, G2SB80-E3/45, G2SB80-E3/51, G2SB80-M3/45, G2SB80-M3/51, GSIB6A20-E3/45, GSIB6A20N-M3/45, GSIB6A40-E3/45, GSIB6A40N-M3/45, GSIB6A60-E3/45, GSIB6A60N-M3/45, GSIB6A80-E3/45, GSIB6A80N-M3/45, LVE1560-M3/P, LVE2560-M3/P, LVE2560-M3R/P, FEPF16AT-E3/45, FEPF16ATHE3_A/P, FEPF16BT-E3/45, FEPF16BTHE3_A/P, FEPF16CT-E3/45, FEPF16CTHE3_A/P, FEPF16DT-E3/45, FEPF16DTHE3_A/P, NSF8AT-E3/45, NSF8ATHE3_B/P, NSF8BT-E3/45, NSF8BTHE3_B/P, NSF8DT-E3/45, NSF8DTHE3_B/P, NSF8GT-E3/45, NSF8GTHE3_B/P, NSF8JT-E3/45, NSF8JTHE3_B/P, NSF8KT-E3/45, NSF8KTHE3_B/P, NSF8MT-E3/45, NSF8MTHE3_B/P, V40120C-E3L/4W, V15PN50-5700M3/86A</t>
  </si>
  <si>
    <t>PCN-DD-010-2020</t>
  </si>
  <si>
    <t>Product Obsolescence of some ESD Part Numbers</t>
  </si>
  <si>
    <t>VCUT03E1-SD0HG4-08, VCUT05E1-SD0HG4-08, VCUT10A1-SD0HG4-08, VBUS03B1-SD0HG4-08, VBUS05B1-SD0HG4-08</t>
  </si>
  <si>
    <t xml:space="preserve">Portfolio consolidation
</t>
  </si>
  <si>
    <t>PCN-DD-011-2020</t>
  </si>
  <si>
    <t>https://www.vishay.com/quality/pcn-doc/PTN-DD-00011-2020-Rev-0/DD-011-2020%20Rev%200.pdf/</t>
  </si>
  <si>
    <t>VS-GB75NA60UF, VS-FB190SA10, VS-FC220SA20, VS-FC80NA20, VS-VSHPS1445</t>
  </si>
  <si>
    <t xml:space="preserve">Discontinued supply of Mosfet - IGBT dice
</t>
  </si>
  <si>
    <t>PCN-DD-013-2017</t>
  </si>
  <si>
    <t>https://www.vishay.com/quality/pcn-doc/PTN-DD-00013-2017-Rev-1/PCN-DD-013-2017%20Rev%201_Product%20Discontinuance%20of%20Rectifier%20Products.pdf/</t>
  </si>
  <si>
    <t>Product Discontinuance of Rectifier Products</t>
  </si>
  <si>
    <t>detail please see PCN form</t>
  </si>
  <si>
    <t xml:space="preserve"> Low Demand
</t>
  </si>
  <si>
    <t>PCN-DD-013-2019</t>
  </si>
  <si>
    <t>https://www.vishay.com/quality/pcn-doc/PTN-DD-00013-2019-Rev-0/DD-013-2019%20Rev%200.pdf/</t>
  </si>
  <si>
    <t>VS-ETF150Y65U, VS-GA200TH60S,..., VS-70MT060WSP</t>
  </si>
  <si>
    <t xml:space="preserve">Discontinued supply of IGBT dice
</t>
  </si>
  <si>
    <t>PCN-DD-013-2020</t>
  </si>
  <si>
    <t>VBUS03M1-DD1-G3-08, VBUS05M1-DD1-G3-08, VCUT03F1-HD0-G4-08, VCUT05F1-HD0-G4-08, VCUT0610AHD1-G3-08, VCUT0714AHD1-G3-08</t>
  </si>
  <si>
    <t xml:space="preserve">Low business and Portfolio Consolidation
</t>
  </si>
  <si>
    <t>PCN-DD-013-2021</t>
  </si>
  <si>
    <t>https://www.vishay.com/quality/pcn-doc/PTN-DD-00013-2021-Rev-0/DD-013-2021%20Rev%200.pdf/</t>
  </si>
  <si>
    <t>VS-FA72SA50LC</t>
  </si>
  <si>
    <t xml:space="preserve">Discontinued supply of Mosfet die
</t>
  </si>
  <si>
    <t>PCN-DD-015-2017</t>
  </si>
  <si>
    <t>Product Discontinuation for Ultrafast Diodes</t>
  </si>
  <si>
    <t>UH1B~UH1D-E3, UH1B~UH1D-M3, UH2B~UH2D-E3, UH2B~UH2D-M3, UH3B~UH3D-E3, UH3B~UH3D-M3, UH4PBC~-UH4PDC-M3, UH6PD-M3, UH6PJ-M3</t>
  </si>
  <si>
    <t xml:space="preserve"> Low sales, Product portfolio optimization
</t>
  </si>
  <si>
    <t>PCN-DD-015-2019</t>
  </si>
  <si>
    <t>BA779-HG3-08, BA779-2-HG3-08, BA779-2-HG3-18, S391D-GS08,...,see the part number list in the PTN document.</t>
  </si>
  <si>
    <t xml:space="preserve">Low / No sales, Portfolio Consolidation
</t>
  </si>
  <si>
    <t>PCN-DD-017-2018</t>
  </si>
  <si>
    <t>https://www.vishay.com/quality/pcn-doc/PTN-DD-00017-2018-Rev-0/PCN-DD-017-2018%20Rev%200_Product%20Discontinuation%20Notice%20for%20Rectifier%20Products.pdf/</t>
  </si>
  <si>
    <t>Detail  part number list in the PCN document</t>
  </si>
  <si>
    <t>PCN-DD-019-2021</t>
  </si>
  <si>
    <t>1N4762A-TAP, 1N4762A-TR, 1N4763A-TAP,... see the complete part number list inside the PCN document.</t>
  </si>
  <si>
    <t xml:space="preserve">Low sales, Portfolio Consolidation
</t>
  </si>
  <si>
    <t>PCN-DD-021-2021</t>
  </si>
  <si>
    <t>Withdrawal of AEC-Q101 qualification status from certain Glass Diodes</t>
  </si>
  <si>
    <t>BA479G-TAP, BA479G-TR, BA479S-TAP,... see the complete part number list inside the PCN document.</t>
  </si>
  <si>
    <t xml:space="preserve">Low/no demand in automotive markets/applications
</t>
  </si>
  <si>
    <t>PCN-DD-022-2020</t>
  </si>
  <si>
    <t>Product Obsolescence of SOD523 Zener, Schottky and ESD Diodes with replacement</t>
  </si>
  <si>
    <t>BAS40-02V-V-G-08, BAS581-02V-V-G-08, BAS70-02V-V-G-08,... see complete part number list inside the PCN document</t>
  </si>
  <si>
    <t xml:space="preserve">Production line consolidation.
</t>
  </si>
  <si>
    <t>PCN-DD-026-2019</t>
  </si>
  <si>
    <t>https://www.vishay.com/quality/pcn-doc/PTN-DD-00026-2019-Rev-0/PCN-DD-026-2019%20Rev%200_Product%20Discontinuation%20of%20MBR60100CT-E3.pdf/</t>
  </si>
  <si>
    <t>Product Discontinuation Notice of MBR60100CT-E3</t>
  </si>
  <si>
    <t>MBR60100CT-E3/45</t>
  </si>
  <si>
    <t xml:space="preserve">Low sales amount
</t>
  </si>
  <si>
    <t>PCN-DD-027-2019</t>
  </si>
  <si>
    <t>https://www.vishay.com/quality/pcn-doc/PTN-DD-00027-2019-Rev-0/DD-027-2019%20Rev%200.pdf/</t>
  </si>
  <si>
    <t>VS-100MT060WSP</t>
  </si>
  <si>
    <t xml:space="preserve">Discontinued supply of IGBT die
</t>
  </si>
  <si>
    <t>PCN-DD-020-2018</t>
  </si>
  <si>
    <t>Product Discontinuance Notice of D-61 Part Numbers</t>
  </si>
  <si>
    <t>VS-110CNQ045APBF, VS-80CNQ045APBF, VS-85CNQ015APBF, VS-110CNQ045ASLPBF, .... see complete part number list inside PCN document</t>
  </si>
  <si>
    <t>PCN-DD-028-2019</t>
  </si>
  <si>
    <t>https://www.vishay.com/quality/pcn-doc/PTN-DD-00028-2019-Rev-00/DD-028-2019%20Rev%200.pdf/</t>
  </si>
  <si>
    <t>VS-CPV362M4FPBF, VS-CPV362M4KPBF, VS-CPV362M4UPBF, VS-CPV363M4FPBF, VS-CPV363M4UPBF, VS-CPV364M4FPBF, VS-CPV364M4KPBF, VS-CPV364M4UPBF, VS-92-0173</t>
  </si>
  <si>
    <t>Discontinued supply of IGBT dice</t>
  </si>
  <si>
    <t>PCN-DI-00001-2018</t>
  </si>
  <si>
    <t>https://www.vishay.com/quality/pcn-doc/PTN-DI-00001-2018-Rev-0/PTN-DI-00001-2018.pdf/</t>
  </si>
  <si>
    <t>Product Obsolescence on various custom connectors</t>
  </si>
  <si>
    <t>000403-0064 000403-0096 000403-0191 000403-0206 000403-0236 000403-0269 000403-0385 000403-0577 DSEB-P25GY DSEB-S25GY</t>
  </si>
  <si>
    <t xml:space="preserve">Low Sales
</t>
  </si>
  <si>
    <t>PCN-DI-00376-2017</t>
  </si>
  <si>
    <t>https://www.vishay.com/quality/pcn-doc/PTN-DI-00376-2017-Rev-0/PCN-DI-00376-2017%20EB81.pdf/</t>
  </si>
  <si>
    <t>EB8-BN Product Obsolescence</t>
  </si>
  <si>
    <t>EB81-B0N0670W_x000D_
EB81-B0N1270W_x000D_
EB81-B0N1570W_x000D_
EB81-B0N1870W-101_x000D_
EB81-B0N1870W-103_x000D_
EB81-B0N2270W_x000D_
EB83-B0N1870V-101</t>
  </si>
  <si>
    <t xml:space="preserve"> The raw materials to build this part are no longer available to purchase.
</t>
  </si>
  <si>
    <t>PCN-DI-00379-2017</t>
  </si>
  <si>
    <t>https://www.vishay.com/quality/pcn-doc/PTN-DI-00379-2017-Rev-0/PCN-DI-00379-2017%20ICM-2824-3528-4743.pdf/</t>
  </si>
  <si>
    <t>ICM-2824, ICM-3528, ICM-4743 Product Obsolescence</t>
  </si>
  <si>
    <t>ICM2824ER301V_x000D_
ICM2824ER701V_x000D_
ICM3528ER701V_x000D_
ICM3528ER152V_x000D_
ICM4743ER701V_x000D_
ICM4743ER102V</t>
  </si>
  <si>
    <t xml:space="preserve"> Limited product design has led to limited sales of the series.
</t>
  </si>
  <si>
    <t>PCN-DI-00380-2017</t>
  </si>
  <si>
    <t>https://www.vishay.com/quality/pcn-doc/PTN-DI-00380-2017-Rev-0/PCN-DI-00380-2017%20IFL%20and%20IFLS%20series.pdf/</t>
  </si>
  <si>
    <t>Product Obsolescence of IFL-1212AZ, IFL-1616AE, IFL-2020BZ, IFLS-1212AB, IFLS-1616AE,and IFLS-2020BZ</t>
  </si>
  <si>
    <t>IFL1212AZER100M_x000D_
IFL1212AZER150M_x000D_
IFL1212AZER1R0N_x000D_
IFL1212AZER1R2N_x000D_
IFL1212AZER1R5N_x000D_
IFL1212AZER220M_x000D_
IFL1212AZER2R2N_x000D_
IFL1212AZER3R3M_x000D_
IFL1212AZER3R3N_x000D_
IFL1212AZER3R9M_x000D_
IFL1212AZER3R9N_x000D_
IFL1212AZER4R7M_x000D_
IFL1212AZER5R6M_x000D_
IFL1212AZER6R8M_x000D_
IFL1212AZER8R2M_x000D_
IFL1616AEER100M_x000D_
IFL1616AEER101M_x000D_
IFL1616AEER150M_x000D_
IFL1616AEER1R0N_x000D_
IFL1616AEER1R5N_x000D_
IFL1616AEER220M_x000D_
IFL1616AEER2R2N_x000D_
IFL1616AEER330M_x000D_
IFL1616AEER3R3N_x000D_
IFL1616AEER470M_x000D_
IFL1616AEER4R7M_x000D_
IFL1616AEER5R6M_x000D_
IFL1616AEER680M_x000D_
IFL1616AEER6R8M_x000D_
IFL1616AEER820M_x000D_
IFL1616AEER8R2M_x000D_
IFL2020BZER100M_x000D_
IFL2020BZER101M_x000D_
IFL2020BZER150M_x000D_
IFL2020BZER1R0N_x000D_
IFL2020BZER1R2N_x000D_
IFL2020BZER1R5N_x000D_
IFL2020BZER220M_x000D_
IFL2020BZER2R2N_x000D_
IFL2020BZER330M_x000D_
IFL2020BZER3R3N_x000D_
IFL2020BZER3R9N_x000D_
IFL2020BZER470M_x000D_
IFL2020BZER4R7M_x000D_
IFL2020BZER5R6M_x000D_
IFL2020BZER6R8M_x000D_
IFL2020BZERR47N_x000D_
IFLS1212ABER100M_x000D_
IFLS1212ABER120M_x000D_
IFLS1212ABER150M_x000D_
IFLS1212ABER1R0N_x000D_
IFLS1212ABER1R2N_x000D_
IFLS1212ABER1R5N_x000D_
IFLS1212ABER220M_x000D_
IFLS1212ABER2R2N_x000D_
IFLS1212ABER2R7N_x000D_
IFLS1212ABER330M_x000D_
IFLS1212ABER3R3N_x000D_
IFLS1212ABER3R9N_x000D_
IFLS1212ABER4R7M_x000D_
IFLS1212ABER5R6M_x000D_
IFLS1212ABER6R8M_x000D_
IFLS1212ABER8R2M_x000D_
IFLS1616AEER100M_x000D_
IFLS1616AEER101M_x000D_
IFLS1616AEER150M_x000D_
IFLS1616AEER1R0N_x000D_
IFLS1616AEER1R5N_x000D_
IFLS1616AEER220M_x000D_
IFLS1616AEER2R2N_x000D_
IFLS1616AEER330M_x000D_
IFLS1616AEER3R3N_x000D_
IFLS1616AEER470M_x000D_
IFLS1616AEER4R7M_x000D_
IFLS1616AEER5R6M_x000D_
IFLS1616AEER6R8M_x000D_
IFLS2020BZER100M_x000D_
IFLS2020BZER150M_x000D_
IFLS2020BZER1R0N_x000D_
IFLS2020BZER1R2N_x000D_
IFLS2020BZER1R5N_x000D_
IFLS2020BZER220M_x000D_
IFLS2020BZER2R2N_x000D_
IFLS2020BZER2R7N_x000D_
IFLS2020BZER330M_x000D_
IFLS2020BZER3R3M_x000D_
IFLS2020BZER470M_x000D_
IFLS2020BZER4R7M_x000D_
IFLS2020BZER680M_x000D_
IFLS2020BZER6R8M_x000D_
IFLS2020BZER8R2M</t>
  </si>
  <si>
    <t>PCN-DI-00388-2018</t>
  </si>
  <si>
    <t>https://www.vishay.com/quality/pcn-doc/PTN-DI-00388-2018-Rev-0/PCN-DI-00388-2018-IFSC1008ABER6R0M01.pdf/</t>
  </si>
  <si>
    <t>Product Obsolescence of IFSC-1008AB-01 6.0uH</t>
  </si>
  <si>
    <t>IFSC1008ABER6R0M01</t>
  </si>
  <si>
    <t xml:space="preserve"> Limited product design has led to limited sales of this part number
</t>
  </si>
  <si>
    <t>PCN-DI-00423-2019</t>
  </si>
  <si>
    <t>https://www.vishay.com/quality/pcn-doc/PTN-DI-00423-2019-Rev-0/PSN-DI-00423-2019.pdf/</t>
  </si>
  <si>
    <t>SPC-1002-01 and SPC-1002-02 Product Obsolescence</t>
  </si>
  <si>
    <t>SPC-1002-01 SPC-1002-02</t>
  </si>
  <si>
    <t xml:space="preserve"> No sales in past 5 years
</t>
  </si>
  <si>
    <t>PCN-DI-00447-2019</t>
  </si>
  <si>
    <t>https://www.vishay.com/quality/pcn-doc/PTN-DI-00447-2019-Rev-0/PCN-DI-00447-2019.pdf/</t>
  </si>
  <si>
    <t>IWAS and IWTX Product Obsolescence</t>
  </si>
  <si>
    <t>IWTX3530GCEB4R8J50  IWTX4646BEEB240J50  IWTX47R0BEEB240K11  IWTX47R0BEEB6R3M11 _x000D_
IWAS2312ECEB390K50  IWAS240RGZEB110J50  IWAS2515FBEB390J50  IWAS2620FEEB120J50 _x000D_
IWAS3025FAEB110J50  IWAS3222BZEB190J50  IWAS3420FEEB120J50  IWAS3726CZEB120JK0 _x000D_
IWAS3827ECEB100J50  IWAS3827ECEB100J53  IWAS3827ECEB100J54  IWAS3827ECEB110J52 _x000D_
IWAS4016FEEB320JK0  IWAS4646AOEB110J50  IWAS4832ECEB160J50  IWAS4832ECEB220J50 _x000D_
IWAS4832FAEB110J52  IWAS4832FAEB9R7J51  IWAS4832FEEB150J50  IWAS4832FEEB150J51 _x000D_
IWAS4832FFEB9R7J50  IWAS4836FAEB9R7J51</t>
  </si>
  <si>
    <t xml:space="preserve"> The IWTX and IWAS product lines are moving to a new factory with the
</t>
  </si>
  <si>
    <t>PCN-DI-00473-2020</t>
  </si>
  <si>
    <t>https://www.vishay.com/quality/pcn-doc/PTN-DI-00473-2020-Rev-0/PCN-DI-00473-2020.pdf/</t>
  </si>
  <si>
    <t>QX32S-097-3 Connector Product Obsolescence</t>
  </si>
  <si>
    <t>QX32S-097-3</t>
  </si>
  <si>
    <t xml:space="preserve"> Vishay no longer has the ability to perform the acceptance testing required.
</t>
  </si>
  <si>
    <t>PCN-DI-00474-2020</t>
  </si>
  <si>
    <t>https://www.vishay.com/quality/pcn-doc/PTN-DI-00474-2020-Rev-0/PCN-DI-00474-2020.pdf/</t>
  </si>
  <si>
    <t>QX32P-SW809-2 Connector Product Obsolescence</t>
  </si>
  <si>
    <t>QX32P-SW809-2</t>
  </si>
  <si>
    <t>PCN-DI-00477-2020</t>
  </si>
  <si>
    <t>https://www.vishay.com/quality/pcn-doc/PTN-DI-00477-2020-Rev-0/PCN-DI-00477-2020.pdf/</t>
  </si>
  <si>
    <t>X32P-SW325  Connector Product Obsolescence</t>
  </si>
  <si>
    <t>QX32P-SW325</t>
  </si>
  <si>
    <t>PCN-DI-00484-2020</t>
  </si>
  <si>
    <t>https://www.vishay.com/quality/pcn-doc/PTN-DI-00484-2020-Rev-0/PCN-DI-00484-2020.pdf/</t>
  </si>
  <si>
    <t>000403-0604 Connector Product Obsolescence</t>
  </si>
  <si>
    <t>000403-0604</t>
  </si>
  <si>
    <t xml:space="preserve"> Vishay no longer has the ability to manufacture this part.
</t>
  </si>
  <si>
    <t>PCN-DI-00494-2020</t>
  </si>
  <si>
    <t>https://www.vishay.com/quality/pcn-doc/PTN-DI-00494-2020-Rev-0/PCN-DI-00494-2020.pdf/</t>
  </si>
  <si>
    <t>EB8 Connector Product Obsolescence</t>
  </si>
  <si>
    <t>EB81-B0K1830X_x000D_
EB81-P0A2230X_x000D_
EB81-P0E2230X_x000D_
EB81-S0A0640V_x000D_
EB81-S0A1030X-D_x000D_
EB81-S0A1040V_x000D_
EB81-S0A1040X_x000D_
EB81-S0A1060X_x000D_
EB81-S0A1230X_x000D_
EB81-S0A1240X_x000D_
EB81-S0A1530X_x000D_
EB81-S0A1540V_x000D_
EB81-S0A1820X_x000D_
EB81-S0A1860Y_x000D_
EB81-S0A2230X_x000D_
EB81-S0A2240X_x000D_
EB81-S0A2240Z_x000D_
EB81-S0A2260X_x000D_
EB81-S0A2260Z_x000D_
EB81-S0A2460V_x000D_
EB81-S0C1060W_x000D_
EB81-S0C1530X_x000D_
EB81-S0C1540W_x000D_
EB81-S0C1560W_x000D_
EB81-S0C1860X_x000D_
EB81-S0D1520X_x000D_
EB81-S0D1540X_x000D_
EB81-S0D1560X_x000D_
EB81-S0D1820X_x000D_
EB81-S0D1860X_x000D_
EB81-S0D2230X_x000D_
EB81-S0D2260X_x000D_
EB81-S0E0660X_x000D_
EB81-S0E1260X_x000D_
EB81-S0E2260X_x000D_
EB81-S0E2540W_x000D_
EB81-S0K0660W_x000D_
EB81-S0K1040X_x000D_
EB81-S0K1520X_x000D_
EB81-S0K1540X_x000D_
EB81-S0K1560W_x000D_
EB81-S0K1860X_x000D_
EB81-S0K2230X_x000D_
EB81-S0K2240X_x000D_
EB81-S0L0660W_x000D_
EB81-S0L0660X_x000D_
EB81-S0L0660X-B_x000D_
EB81-S0L1060W_x000D_
EB81-S0L1260W_x000D_
EB81-S0L1540X_x000D_
EB81-S0L1860W_x000D_
EB82-B0A223V1_x000D_
EB82-S0A0640W_x000D_
EB82-S0A0660X_x000D_
EB82-S0A1540X_x000D_
EB82-S0A1560X_x000D_
EB82-S0A1840X_x000D_
EB82-S0A1860X_x000D_
EB82-S0A2240X_x000D_
EB82-S0A2260X-A_x000D_
EB82-S0A2260Z_x000D_
EB82-S0A2540X_x000D_
EB82-S0C1060W_x000D_
EB82-S0C1060W-101_x000D_
EB82-S0C1060W-102_x000D_
EB82-S0D2260X_x000D_
EB82-S0K2240W_x000D_
EB82-S0K2260X_x000D_
EB82-S0L2260X_x000D_
EB82-S0L2260X-A_x000D_
EB83-B0E0620X_x000D_
EB83-B0K2230V-A_x000D_
EB83-P0E0620X_x000D_
EB83-S0A0640V_x000D_
EB83-S0A0640X_x000D_
EB83-S0A1040X_x000D_
EB83-S0A1060X_x000D_
EB83-S0A1240V_x000D_
EB83-S0A1530X_x000D_
EB83-S0A1540X_x000D_
EB83-S0A1540Y_x000D_
EB83-S0A1560X_x000D_
EB83-S0A1840W_x000D_
EB83-S0A2230X_x000D_
EB83-S0A2240V_x000D_
EB83-S0A2240X_x000D_
EB83-S0A2260X_x000D_
EB83-S0A2280X-101_x000D_
EB83-S0A2440X_x000D_
EB83-S0A2540X_x000D_
EB83-S0A2560V_x000D_
EB83-S0C0640W_x000D_
EB83-S0C1040X_x000D_
EB83-S0C1240W-101_x000D_
EB83-S0C1240X_x000D_
EB83-S0C1260X_x000D_
EB83-S0C1530X_x000D_
EB83-S0C1540X_x000D_
EB83-S0C1560W_x000D_
EB83-S0C2240W-101_x000D_
EB83-S0D1040V_x000D_
EB83-S0D1040V-A_x000D_
EB83-S0D1040W_x000D_
EB83-S0D1260X_x000D_
EB83-S0D1840V_x000D_
EB83-S0D2540V_x000D_
EB83-S0D2540W_x000D_
EB83-S0E0640X_x000D_
EB83-S0E1840W_x000D_
EB83-S0E1860W_x000D_
EB83-S0E1860W-101_x000D_
EB83-S0E2540W_x000D_
EB83-S0K0640W_x000D_
EB83-S0K1260X_x000D_
EB83-S0K1860V_x000D_
EB83-S0K2240Y-101_x000D_
EB83-S0K2240Y-102_x000D_
EB83-S0K2260X_x000D_
EB83-S0L123V1_x000D_
EB83-S0L1260X_x000D_
EB83-S0L1540W_x000D_
EB83-S0L1540X_x000D_
EB83-S0L1820X_x000D_
EB83-S0L1840X_x000D_
EB83-S0L1860X_x000D_
EB83-S0L2220W_x000D_
EB83-S0L2240W_x000D_
EB83-S0L2240W-101_x000D_
EB83-S0L2240W-D_x000D_
EB83-S0L2240X_x000D_
EB85-B0K1030X_x000D_
EB85-P0A1030X_x000D_
EB85-P0A1230X_x000D_
EB85-P0A1530X_x000D_
EB85-P0A1560X_x000D_
EB85-P0A1830X_x000D_
EB85-P0A2230X_x000D_
EB85-P0A2430X_x000D_
EB85-P0A2530X_x000D_
EB85-P0E1030X_x000D_
EB85-P0E1230X_x000D_
EB85-P0E1830X_x000D_
EB85-P0E2230X_x000D_
EB85-S0A2230X_x000D_
EB85-S0D2430V_x000D_
EB85-S0E2260X_x000D_
EB85-S0K2260X</t>
  </si>
  <si>
    <t xml:space="preserve"> The continued low sales of the EB8 series has forced Vishay to send the part
</t>
  </si>
  <si>
    <t>PCN-DI-00502-2021</t>
  </si>
  <si>
    <t>https://www.vishay.com/quality/pcn-doc/PTN-DI-00502-2021-Rev-0/PCN-DI-00502-2021.pdf/</t>
  </si>
  <si>
    <t>Bulk Packaging Obsolescence on series IHLP, IHLG, IHLM, IHLE, IHLW, IHLD, and IHCL</t>
  </si>
  <si>
    <t>Contact division for part number list.</t>
  </si>
  <si>
    <t xml:space="preserve"> Streamline the IHLP production line
</t>
  </si>
  <si>
    <t>PCN-DI-00510-2021</t>
  </si>
  <si>
    <t>https://www.vishay.com/quality/pcn-doc/PTN-DI-00510-2021-REV-0/PTN-DI-00510-2021-REV-0.pdf/</t>
  </si>
  <si>
    <t>CONNECTORS</t>
  </si>
  <si>
    <t>QX32P-SW388
Connector Product Obsolescence</t>
  </si>
  <si>
    <t>QX32P-SW388</t>
  </si>
  <si>
    <t xml:space="preserve">Vishay no longer has the ability to perform the acceptance testing required.
</t>
  </si>
  <si>
    <t>PCN-DI-00514-2021</t>
  </si>
  <si>
    <t>https://www.vishay.com/quality/pcn-doc/PTN-DI-00514-2021-REV-0/PTN-DI-00514-2021-REV-0.pdf/</t>
  </si>
  <si>
    <t>POWDERED IRON AND FERRITE POWER INDUCTORS</t>
  </si>
  <si>
    <t>HVR4024KEERR12M51 Product Obsolescence</t>
  </si>
  <si>
    <t>IHVR4024KEERR12M51</t>
  </si>
  <si>
    <t xml:space="preserve">New improved series is available
</t>
  </si>
  <si>
    <t>PCN-DI-00517-2021</t>
  </si>
  <si>
    <t>https://www.vishay.com/quality/pcn-doc/PTN-DI-00517-2021-REV-0/PTN-DI-00517-2021-REV-0.pdf/</t>
  </si>
  <si>
    <t>CRYSTALS</t>
  </si>
  <si>
    <t>XT36C Series
Crystal Product Obsolescence</t>
  </si>
  <si>
    <t>XT3620H20M</t>
  </si>
  <si>
    <t>12/30/2021</t>
  </si>
  <si>
    <t xml:space="preserve">According to the EU RoHS regulations, the LID used in XT36 products will no
</t>
  </si>
  <si>
    <t>PCN-DR-00001-2018</t>
  </si>
  <si>
    <t>WSL E Resistor Product Termination</t>
  </si>
  <si>
    <t>All WSL E types, this includes all WSL1506E, WSL2010E and WSL2512E models.</t>
  </si>
  <si>
    <t xml:space="preserve">The WSL…E is a “Flip Chip” “Extended Range” product that is being
</t>
  </si>
  <si>
    <t>PCN-DR-00001-2021</t>
  </si>
  <si>
    <t>https://www.vishay.com/quality/pcn-doc/PTN-DR-00001-2021-REV-0/PTN-DR-00001-2021-REV-0.pdf/</t>
  </si>
  <si>
    <t>Resistor</t>
  </si>
  <si>
    <t>&gt;</t>
  </si>
  <si>
    <t>Product Termination of EDGS Power Resistors</t>
  </si>
  <si>
    <t>EDGS1000R2060KXB00</t>
  </si>
  <si>
    <t xml:space="preserve">Production volume for the EDGS Power Resistors has become too small to continue the manufacturing of the
</t>
  </si>
  <si>
    <t>PCN-DR-00001-2022</t>
  </si>
  <si>
    <t>https://www.vishay.com/quality/pcn-doc/PTN-DR-00001-2022-REV-0/PTN-DR-00001-2022-REV-0.pdf/</t>
  </si>
  <si>
    <t>WIREWOUND</t>
  </si>
  <si>
    <t>Vishay Milwaukee&gt;</t>
  </si>
  <si>
    <t>Product Termination of Specific CS65 Power Resistors</t>
  </si>
  <si>
    <t>CS65007022R00B6778, CS650070300R0B6778, CS65007050R00B1105, CS65007075R00B8228, CS650100150R0B1106, CS65010015R00B2028, CS65010020K00B1873, CS650100250R0B1106, CS65010032K00B1106, CS6501004K300B1106, CS650100500R0B1106, CS650100500R0B8653, CS6501009K000B1106</t>
  </si>
  <si>
    <t xml:space="preserve">Production volume for the CS65 Power Resistors listed below has become too small to continue the
</t>
  </si>
  <si>
    <t>PCN-DR-00002-2020</t>
  </si>
  <si>
    <t>Product Termination Of CP, CPR, CPSM, CPCx and</t>
  </si>
  <si>
    <t>All the part numbers associated with the below products_x000D_
CP High Volume, CPSM, CPCx High Volume, CA High Volume, CP Metal Oxide Resistors (complete resistance range including CPxxxx...100 &amp; CPxxxx...101)</t>
  </si>
  <si>
    <t>The market for these products is in decline. Vishay is focusing its engineering resources on other products</t>
  </si>
  <si>
    <t>PCN-DR-00004-2019</t>
  </si>
  <si>
    <t>Product Termination of WSMS2906 and WSMS3124 families</t>
  </si>
  <si>
    <t>WSMS2906* and WSMS3124* families._x000D_
WSMS2906L3000JE, WSMS2906L3000JK, WSMS2906L4000JE, WSMS2906L4000JK, WSMS2906L5000JE, WSMS2906L5000JK_x000D_
WSMS3124L1000JE, WSMS3124L1000JK, WSMS3124L2000JE, WSMS3124L2000JK, WSMS3124L4000JE, WSMS3124L4000JK, WSMS3124L5000JK</t>
  </si>
  <si>
    <t>isNo</t>
  </si>
  <si>
    <t xml:space="preserve">These products are being obsoleted due to no sales on either product for over
</t>
  </si>
  <si>
    <t>PCN-DR-00004-2021</t>
  </si>
  <si>
    <t>WSK0612 Obsolescence</t>
  </si>
  <si>
    <t>WSK06121L000FEA, WSK06122L000FEA, WSK06122L000FEA5, WSK06123L000FEA, WSK06123L000FEC, WSK06124L000FEA, WSK06125L000FEA, WSK0612L5000FEA, WSK0612L7500FEA</t>
  </si>
  <si>
    <t xml:space="preserve">The welded construction of the WSKW0612 is superior to the clad construction of the WSK0612 by providing
</t>
  </si>
  <si>
    <t>PCN-DR-00006-2017</t>
  </si>
  <si>
    <t>Vishay Techno&gt;</t>
  </si>
  <si>
    <t>Obsolescence of all solder termination codes except 'N' with AA and CA Terminal Style/Material Codes</t>
  </si>
  <si>
    <t>All CRHV part numbers with AA and CA terminal materials in conjunction with 'S', 'D', 'E' and 'F' solder_x000D_
termination styles</t>
  </si>
  <si>
    <t>The AA and CA terminal styles in conjunction with 'S', 'E', 'D' and 'F' solder termination codes were originally offered as non-magnetic terminations with limited solderability performance. We have since developed a much improved process utilizing the AF terminal style with 'E' or 'T' termination material combinations which is more cost effective and with improved reliability. Additionally, we also offer other non-magnetic terminations. For a list of all available terminal styles and termination codes, refer to the table on page 3 of the CRHV datasheet.</t>
  </si>
  <si>
    <t>PCN-DR-00006-2020</t>
  </si>
  <si>
    <t>RCWK0306</t>
  </si>
  <si>
    <t>All Global (SAP) part numbers beginning RCWK0306</t>
  </si>
  <si>
    <t>The RCWK0306 thick film, surface mount, current sense series will be discontinued due to very small sales</t>
  </si>
  <si>
    <t>PCN-DR-00010-2019</t>
  </si>
  <si>
    <t>Vishay Huntington&gt;</t>
  </si>
  <si>
    <t>Product Termination Of MR703 Product</t>
  </si>
  <si>
    <t>The MR703 resistor series.</t>
  </si>
  <si>
    <t>terminated</t>
  </si>
  <si>
    <t xml:space="preserve"> Due to a lack of availability of raw materials the MR703 will no
</t>
  </si>
  <si>
    <t>PCN-DR-00010-2020</t>
  </si>
  <si>
    <t>Product Termination Of PH Series Resistors</t>
  </si>
  <si>
    <t>Based on the recent 2 year history, the attached_x000D_
PH010 and PH10A part numbers are identified. A version of the old PH datasheet is also attached_x000D_
for reference.</t>
  </si>
  <si>
    <t>PCN-DR-00010-2021</t>
  </si>
  <si>
    <t>https://www.vishay.com/quality/pcn-doc/PTN-DR-00010-2021-REV-0/PTN-DR-00010-2021-REV-0.pdf/</t>
  </si>
  <si>
    <t>Product Termination of Specific CS62 and CS65 Custom Power Resistors</t>
  </si>
  <si>
    <t>CS6201205R000B6517, CS62020010R00B6407, CS620200125K0B6769, CS6202005R000B6407, CS65020010R00B6517</t>
  </si>
  <si>
    <t xml:space="preserve">Production volume for these specific CS62 and CS65 Custom Power Resistors has become too small to continue
</t>
  </si>
  <si>
    <t>PCN-DR-00011-2018</t>
  </si>
  <si>
    <t>CCF50 and FRJ50 Product Termination</t>
  </si>
  <si>
    <t>All Global (SAP) part numbers beginning with CCF50* and FRJ50._x000D_
The attached cross-reference file shows alternate products that could be used; and a comparison of the dimensional and electrical characteristics.</t>
  </si>
  <si>
    <t>PCN-DR-00011-2020</t>
  </si>
  <si>
    <t>End of Life (EOL) Notification for certain LCD modules using</t>
  </si>
  <si>
    <t>LCD 160H160C, LCD 160H160C3, LCD 160H160D, LCD 240H064G,_x000D_
LCD 240H064G3, and LCD 240H065G5 series modules.</t>
  </si>
  <si>
    <t>PCN-DR-00012-2018</t>
  </si>
  <si>
    <t>Product Termination Of SR1 Product</t>
  </si>
  <si>
    <t>Entire SR1 series</t>
  </si>
  <si>
    <t xml:space="preserve"> There have been no sales on this product for the last two years.
</t>
  </si>
  <si>
    <t>PCN-DR-00012-2021</t>
  </si>
  <si>
    <t>https://www.vishay.com/quality/pcn-doc/PTN-DR-00012-2021-REV-0/PTN-DR-00012-2021-REV-0.pdf/</t>
  </si>
  <si>
    <t>POWER METAL STRIP</t>
  </si>
  <si>
    <t>WSF2515 - TCR (25 ppm) Obsolescence</t>
  </si>
  <si>
    <t>WSF25152K740FEBA</t>
  </si>
  <si>
    <t xml:space="preserve">Raw materials are no longer available to meet the 25 ppm/°C TCR rating.
</t>
  </si>
  <si>
    <t>PCN-DR-00013-2018</t>
  </si>
  <si>
    <t>WSF2012 Resistor Product Termination</t>
  </si>
  <si>
    <t>All Global (SAP) part numbers beginning_x000D_
WSF2012*</t>
  </si>
  <si>
    <t xml:space="preserve">The WSF2012Metal Film, Power, Surface Mount product is being
</t>
  </si>
  <si>
    <t>PCN-DR-00013-2020</t>
  </si>
  <si>
    <t>Product Termination of PC Quick Connect Series</t>
  </si>
  <si>
    <t>All part numbers starting with PC-30, PC-40 and PC-50.</t>
  </si>
  <si>
    <t>Production volume for the PC Quick Connect has become too small to continue the manufacturing of the series</t>
  </si>
  <si>
    <t>PCN-DR-00013-2021</t>
  </si>
  <si>
    <t>https://www.vishay.com/quality/pcn-doc/PTN-DR-00013-2021-REV-0/PTN-DR-00013-2021-REV-0.pdf/</t>
  </si>
  <si>
    <t>WSR2-9 Jumper - Obsolescence</t>
  </si>
  <si>
    <t>WSR200000ZEA9, WSR200000ZTA9</t>
  </si>
  <si>
    <t xml:space="preserve">Declining sales.
</t>
  </si>
  <si>
    <t>PCN-DR-00015-2018</t>
  </si>
  <si>
    <t>Product Termination Of CPR07 XX Product Family</t>
  </si>
  <si>
    <t>Entire CPR07 XX product family. Based on last 3 years of POA activity, the following part numbers will be affected._x000D_
CPR0747K00JE66CPR0779R00JE66</t>
  </si>
  <si>
    <t xml:space="preserve"> CPR07..XX is a commercial product with very little volume. Vishay is
</t>
  </si>
  <si>
    <t>PCN-DR-00015-2020</t>
  </si>
  <si>
    <t>Product Termination of HEXF &amp; HEXA Power Resistors</t>
  </si>
  <si>
    <t>All part numbers starting HEXF and HEXA</t>
  </si>
  <si>
    <t>PCN-DR-00016-2020</t>
  </si>
  <si>
    <t>End of Life (EOL) Notification for all Infrared Touch Panels,</t>
  </si>
  <si>
    <t>TIP3216PAB00G01, TIP3216FAB060G01, TIP3220SAD01G01,_x000D_
TIP3220SAB01G01, TIP3224SBS08G01, TIP3526PCS03G01, TIP3526PCS16G01, 28179902B29, 28074702B29,_x000D_
28101157B29. This will include all TIP3216, TIP3224, TIP3220, and TIP3526 families, components and subassemblies.</t>
  </si>
  <si>
    <t>PCN-DR-00020-2020</t>
  </si>
  <si>
    <t>Product Termination of LVR01, LVR02, LVR03 &amp; LVR05</t>
  </si>
  <si>
    <t>All LVR01, LVR02, LVR03 and_x000D_
LVR05 part numbers will be affected. Part numbers based on the recent 2 year sales_x000D_
history are attached.</t>
  </si>
  <si>
    <t>PCN-DR-00021-2020</t>
  </si>
  <si>
    <t>Product Termination Of Commercial CPL, CPCL,</t>
  </si>
  <si>
    <t>All CPL, CPSL and CPCL part_x000D_
numbers will be affected. Part numbers based on the recent 2 year sales history are_x000D_
attached. Datasheet links below:_x000D_
CPLhttps://www.vishay.com/docs/30212/cpl.pdf_x000D_
CPSLhttps://www.vishay.com/docs/30217/cpsl.pdf_x000D_
CPCLhttps://www.vishay.com/docs/30218/cpcx.pdf</t>
  </si>
  <si>
    <t>PCN-DR-00022-2020</t>
  </si>
  <si>
    <t>Product Termination Of Military, MIL-PRF-49465 qualified</t>
  </si>
  <si>
    <t>All M4946506 and M4946507 part_x000D_
numbers will be affected. Part numbers based on the recent 2 year sales history are_x000D_
attached. Datasheet link below:_x000D_
M49465 Serieshttps://www.vishay.com/docs/30283/m49465mi.pdf</t>
  </si>
  <si>
    <t>PCN-DR-00024-2020</t>
  </si>
  <si>
    <t>End of Life (EOL) Notification for all Plasma displays /</t>
  </si>
  <si>
    <t>APD028D023, APD32A025A, APD32A025A4, APD128G032, APD_x000D_
128G032A, APD128G0641, APD160G040, APD192G064 1, APD192G0642, APD192G064 4, APD192G096 2,_x000D_
APD192G096B, APD240G064, APD240G064 1, APD240G064A, APD240G120A, APD250M045, APD250M045 1,_x000D_
APD250M060, APD250M060 1, APD256M025A, PBG12205, PD04D025 3, PD04D070 1, PD05D025 6, PD_x000D_
05D100 2, PD06D070 2, PD07A070 1, PD07D070 1, PD07D070 3, PD07D100 1, PD08D023 8, PD08D025 10, PD_x000D_
08D025 17, PD08D025 21, PD09D025 1, PD09D025 2, PD09D025 3, PD09D064 1, PD10A100 1, PD10D023 8,_x000D_
PD10D023 9, PD10D023 12, PD10D023 13, PD10D025 10, PD10D025 13, PD12D023 1, PD13D025 1, PD_x000D_
14D025 5, PD14D050 1, PD16A070 4, PD20D025 5, PD20D025 7, PD29D025 1, PD32A025, PD32A025 4, PD_x000D_
50D023 5, PD64A030 1, PD 96G048 1, PD133B011 1, PD33B0112, PD133B011 3, PD140B011 1, PD171B082 1,_x000D_
PD171B082 2.</t>
  </si>
  <si>
    <t>Termination of production.  </t>
  </si>
  <si>
    <t>PCN-DR-00025-2020</t>
  </si>
  <si>
    <t>Product Termination Of ROX, RNX, RDX &amp; RJU</t>
  </si>
  <si>
    <t>All ROX, RNX, RDX and RJU_x000D_
part numbers will be affected. Part numbers based on the recent 2 year sales history_x000D_
are attached. Datasheet links below:_x000D_
ROXhttps://www.vishay.com/docs/31033/rox.pdf_x000D_
RNXhttps://www.vishay.com/docs/31032/rnx.pdf_x000D_
RDXhttps://www.vishay.com/docs/31034/rdx.pdf_x000D_
RJUhttps://www.vishay.com/docs/31035/rju.pdf</t>
  </si>
  <si>
    <t>PCN-DR-00026-2020</t>
  </si>
  <si>
    <t>https://www.vishay.com/quality/pcn-doc/PTN-DR-00026-2020-REV-0/PTN-DR-00026-2020-REV-0.pdf/</t>
  </si>
  <si>
    <t>CARBON FILM</t>
  </si>
  <si>
    <t>Product Termination of MVW, HVW, HVX series
Resistors</t>
  </si>
  <si>
    <t>HVW1/2100K0KLB, HVW1/210K00JEK, HVW1/21M200JLB, HVW1/22M600JLB, HVW1/23M300JLB, HVW3/410K00JLB, HVW3/410M00JLB, HVW3/415M00JLB, HVW3/450M00JEK, HVW3/450M00KLB, HVW3/450M00JEL, HVX1/2100K0JLB, HVX1/225M00JEL, HVX3/410M00JLB, HVX1/25M000JLB, HVX3/450M00JLB, MVW1/2000000RR11, MVW1/2000000SL7, MVW1/21K000JLB, MVW1/228K00JSL8, MVW3/420M00JLB, MVW3/440K00KRC</t>
  </si>
  <si>
    <t xml:space="preserve">Production volume for all the above indicated products has become too small to continue manufacturing.
</t>
  </si>
  <si>
    <t>PCN-DR-00027-2020</t>
  </si>
  <si>
    <t>Product Termination of CZA and CZB Thick Film Chip</t>
  </si>
  <si>
    <t>All CZA and CZB part numbers_x000D_
will be affected. Part numbers based on the recent 2 year sales history are attached.</t>
  </si>
  <si>
    <t>Production volume for CZA and CZB has become too small to continue manufacturing.</t>
  </si>
  <si>
    <t>PCN-DR-24-2021</t>
  </si>
  <si>
    <t>https://www.vishay.com/quality/pcn-doc/PTN-DR-24-2021-REV-0/PTN-DR-24-2021-REV-0.pdf/</t>
  </si>
  <si>
    <t>Product Termination Of CA, CP and CPCC Commercial Wire Wound Resistors</t>
  </si>
  <si>
    <t>CA000120R00JE14, CA0001250R0JE05, CA000147R00KB14, CA0001R1000JE66, CA0001R1100JS73, CA0001R5000KR05, CA000210R00JE14, CA000218R00JS73, CA00021K000KB14, CA00021R000KS73, CA00021R300JE05, CA00022R700JE70, CA00022R700JS70, CA00022R700JS73, CA000233R00JR05, CA0002470R0KS73, CA000247R00JE05, CA00024R700JE05, CA0002R3300JR05, CA4050R4700JS73, CA405410R00JE3678, CA405547R00JR1846, CA4060104R0JS73, CA406020R00KS5197, CA406027R00JS73, CA406067R00JS73, CA407390R00JR0584, CA4080150R0JS70, CA506010R00KE14, CA51001K200KS73, CA512548R00KR05, CA515035R00KB14, CP000210R00JB14, CP00021R000JB143, CP00021R000JE14, CP00029L100FS5113, CP0002R4300JB14, CP0003400R0JE143, CP0003R2200JE14, CP0005100R0JE14, CP0005100R0JE1464, CP0005100R0JE66, CP0005100R0KE14, CP000510K00KE14, CP000510R00JB14, CP000510R00JE14, CP000510R00JE143, CP000510R00KE14, CP000510R00KE5185, CP0005110R0JB14, CP0005120R0JE14, CP0005150R0JE14, CP0005150R0JE1490, CP0005150R0JE66, CP000515R00JE14, CP0005160R0JE14, CP0005180R0JE66, CP0005180R0KE14, CP000518R00JB14, CP00051K000JE14, CP00051K000JE1485, CP00051K800JE31, CP00051R000JB14, CP00051R000JE14, CP00051R000JE1496, CP00051R000JE66, CP00051R000KE14, CP0005200R0JB14, CP0005200R0JE14, CP0005200R0KE14, CP000520R00JE14, CP000520R00JE143, CP0005220R0JB143, CP0005220R0JE14, CP0005220R0JE66, CP000522R00JE14, CP000522R00JE143, CP0005240R0JB14, CP0005240R0JE143, CP0005250R0KE14, CP000525R00JE14, CP000525R00JE143, CP000525R00KE14, CP0005270R0JB143, CP0005270R0JE143, CP0005270R0JE1491, CP000527R00JB14, CP00052K000KE14, CP00052K400JE14, CP00052R000JB14, CP00052R000JE14, CP00052R000KB14, CP00052R700JE14, CP0005310R0JE3191, CP0005330R0JB14, CP0005330R0JE14, CP0005330R0KE1485, CP000533R00JB14, CP000533R00JE14, CP000533R00KB14, CP0005390R0JE14, CP0005390R0JE1485, CP0005390R0JE3191, CP0005400R0JB14, CP0005400R0JE14, CP000540R00JE143, CP0005470R0JE14, CP000547R00JB143, CP000547R00JE14, CP00054R000JE14, CP00054R700JE14, CP00054R700KE14, CP0005500R0JE14, CP000550R00JB14, CP000550R00JE14, CP000550R00JE143, CP0005510R0JE14, CP000556R00JE14, CP00055K000JE14, CP00055R000JB14, CP00055R000JE14, CP00055R000KE143, CP00055R600JB1485, CP00055R600KB14, CP000568R00JE143, CP00056R000JB14, CP00056R800JB14, CP000575R00JE14, CP00057R500JB14, CP00057R500JE14, CP000582R00JE14, CP00058K200JE14, CP00058R000JB143, CP00058R200JB14, CP00059R100JB14, CP0005R1000JB14, CP0005R1000JE14, CP0005R1000KB14, CP0005R1000KE14, CP0005R1000KE66, CP0005R1500JE14, CP0005R1500KB14, CP0005R2000KB14, CP0005R2000KE14, CP0005R2200JE14, CP0005R3300JE14, CP0005R3300JE66, CP0005R3300KB14, CP0005R3900JB14, CP0005R3900JB1485, CP0005R4700JB14, CP0005R4700JE14, CP0005R4700KB14, CP0005R5000JB14, CP0005R5000JE143, CP0005R5000JE31, CP0005R5000KB14, CP0005R5600JB14, CP000713R00JE14, CP00071R500KB143, CP000720R00JE663, CP00076R000KB143, CP0010100R0JE14, CP0010100R0JE313, CP0010100R0KE14, CP001010K00KB14, CP001010K00KB1477, CP001010R00JE14, CP001010R00JE66, CP001010R00KB14, CP001010R00KB143, CP001010R00KE14, CP0010150R0JE14, CP0010150R0KE14, CP001015R00JE14, CP00101K000JB14, CP00101K000JE14, CP00101K000JE1467, CP00101K500KE143, CP00101R000JB14, CP00101R000JE14, CP00101R000JE313, CP00101R000KE14, CP0010200R0KB143, CP0010200R0KE143, CP001020K00JE66, CP001020R00KE14, CP0010220R0JB14, CP001022R00KB14, CP001022R00KE14, CP0010240R0JE14, CP0010250R0JE143, CP001025R00JE14, CP0010270R0JE14, CP001027R00JB14, CP001027R00JE14, CP00102K500KB14, CP00102R000KB14, CP00102R000KE14, CP00102R200JE663, CP001030K00KB1477, CP0010310R0JB14, CP001032R00KB14, CP001033K00JE663, CP001033R00JB14, CP001033R00JE143, CP001033R00JE663, CP001036K00JE663, CP00103R000JB14, CP00103R000JE14, CP00103R000JE143, CP00103R300KE14, CP00103R500JB14, CP001040R00KE143, CP001043K00JE663, CP0010470R0JE14, CP00104K000JB14, CP00104K700JE66, CP00104R700JB14, CP0010500R0JE14, CP001050R00JE14, CP00105K000JB14, CP00105K000KB14, CP00105R000JB143, CP00105R000JE14, CP00105R000JE143, CP0010680R0JE1485, CP00106K000JE6662, CP0010750R0JE14, CP001075R00JE66, CP00107K0</t>
  </si>
  <si>
    <t>CA, CP and CPCC series resistors utilize fiberglass core. Vendors for the fiberglass rope are scarce and many have abandoned the market. Due to a lack of raw material, Vishay is announcing the EOL for the above listed products effective immediately.</t>
  </si>
  <si>
    <t>PCN-FC-001-2018</t>
  </si>
  <si>
    <t>https://www.vishay.com/quality/pcn-doc/PTN-FC-00001-2018-Rev-0/PTN-FC-001-2018Rev0.pdf/</t>
  </si>
  <si>
    <t>Termination of Series MKT469</t>
  </si>
  <si>
    <t>MKT469</t>
  </si>
  <si>
    <t xml:space="preserve"> Streamline Portfolio
</t>
  </si>
  <si>
    <t>PCN-FC-001-2019</t>
  </si>
  <si>
    <t>https://www.vishay.com/quality/pcn-doc/PTN-FC-00001-2019-Rev-0/PTN-FC-001-2019Rev0.pdf/</t>
  </si>
  <si>
    <t>Termination of Series F1772-3 300 V-X2</t>
  </si>
  <si>
    <t>F1772-3 300 V-X2</t>
  </si>
  <si>
    <t>PCN-FC-001-2021</t>
  </si>
  <si>
    <t>https://www.vishay.com/quality/pcn-doc/PTN-FC-00001-2021-Rev-0/PTN-FC-001-2021Rev0.pdf/</t>
  </si>
  <si>
    <t>Termination of Precision Tolerance MKT Types</t>
  </si>
  <si>
    <t>BFC237090282 BFC237090375 BFC237090376 MKT1817422061 MKT181742206161 MKT181742206161D MKT1817422061D MKT18174220649 MKT18173154035 MKT18174680612</t>
  </si>
  <si>
    <t>PCN-FC-001-2022</t>
  </si>
  <si>
    <t>https://www.vishay.com/quality/pcn-doc/PTN-FC-001-2022-REV-0/PTN-FC-001-2022-REV-0.pdf/</t>
  </si>
  <si>
    <t>FILM</t>
  </si>
  <si>
    <t>End Of Life of Series MKT303, MKT365, KP/MMKP376, MKP379, MKP380</t>
  </si>
  <si>
    <t>BFC230341104, BFC230341155, BFC230341185, BFC230341335, BFC230342154, BFC230343125, BFC230343474, BFC230351105, BFC230351155, BFC230351225, BFC230351474, BFC230352224, BFC230352225, BFC230353104, BFC230353224, BFC230353474, BFC230356154, BFC230361103, BFC230362223, BFC230363103, BFC230363104, BFC230363223, BFC230363224, BFC230364103, BFC230364104, BFC230364154, BFC230368683, BFC230390029, BFC236511224, BFC236515105, BFC236515124, BFC236515224, BFC236515274, BFC236515474, BFC236516105, BFC236516184, BFC236516224, BFC236516474, BFC236521104, BFC236525104, BFC236525224, BFC236525334, BFC236525473, BFC236525563, BFC236525683, BFC236526683, BFC236526823, BFC236541273, BFC236545223, BFC236545333, BFC236545473, BFC236546683, BFC236555103, BFC236555123, BFC236555153, BFC236555473, BFC236556103, BFC236556392, BFC236556473, BFC236590227, BFC237662103, BFC237662104, BFC237662153, BFC237662154, BFC237662224, BFC237662333, BFC237662473, BFC237662683, BFC237665103, BFC237665223, BFC237668104, BFC237668822, BFC237672103, BFC237672104, BFC237672154, BFC237672184, BFC237672223, BFC237672273, BFC237672333, BFC237672472, BFC237672473, BFC237678104, BFC237678393, BFC237690043, BFC237934104, BFC237934105, BFC237934225, BFC237934304, BFC237934334, BFC237944224, BFC237944225, BFC237944473, BFC237944474, BFC237945683, BFC237954104, BFC237954115, BFC237954124, BFC237954155, BFC237954205, BFC237954224, BFC237954273, BFC237954683, BFC237954684, BFC237955104, BFC237964103, BFC237964104, BFC237964114, BFC237964333, BFC237964683, BFC237965223, BFC237990232, BFC238021203, BFC238025104, BFC238026104, BFC238026223, BFC238026473, BFC238031223, BFC238032303, BFC238035433, BFC238036153, BFC238041203, BFC238045103, BFC238045223, BFC238045333, BFC238052752, BFC238055153, BFC238055512, BFC238062202, BFC238065392, BFC238066222</t>
  </si>
  <si>
    <t xml:space="preserve">Streamline Portfolio
</t>
  </si>
  <si>
    <t>PCN-FC-002-2018</t>
  </si>
  <si>
    <t>https://www.vishay.com/quality/pcn-doc/PTN-FC-00002-2018-Rev-0/PTN-FC-002-2018Rev0.pdf/</t>
  </si>
  <si>
    <t>Termination of Series MKT332</t>
  </si>
  <si>
    <t>MKT332</t>
  </si>
  <si>
    <t>PCN-FC-002-2019</t>
  </si>
  <si>
    <t>https://www.vishay.com/quality/pcn-doc/PTN-FC-00002-2019-Rev-0/PTN-FC-002-2019Rev0.pdf/</t>
  </si>
  <si>
    <t>Termination of Series F1772S X2</t>
  </si>
  <si>
    <t>F1772S X2</t>
  </si>
  <si>
    <t>PCN-FC-003-2018</t>
  </si>
  <si>
    <t>https://www.vishay.com/quality/pcn-doc/PTN-FC-00003-2018-Rev-0/PTN-FC-003-2018Rev0.pdf/</t>
  </si>
  <si>
    <t>Termination of Series MKP360</t>
  </si>
  <si>
    <t>MKP360</t>
  </si>
  <si>
    <t>PCN-FC-004-2018</t>
  </si>
  <si>
    <t>https://www.vishay.com/quality/pcn-doc/PTN-FC-00004-2018-Rev-0/PTN-FC-004-2018Rev0.pdf/</t>
  </si>
  <si>
    <t>Termination of Series MKP1846</t>
  </si>
  <si>
    <t>MKP1846</t>
  </si>
  <si>
    <t>PCN-FC-005-2018</t>
  </si>
  <si>
    <t>https://www.vishay.com/quality/pcn-doc/PTN-FC-00005-2018-Rev-0/PTN-FC-005-2018Rev0.pdf/</t>
  </si>
  <si>
    <t>Termination of Series MKP1844</t>
  </si>
  <si>
    <t>MKP1844</t>
  </si>
  <si>
    <t>PCN-MLC-00001-2019</t>
  </si>
  <si>
    <t>https://www.vishay.com/quality/pcn-doc/PTN-MLC-00001-2019-Rev-0/PTN-MLC-00001-2019%20Change%20of%20available%20VJ...W1BC%20Y5V%20Hi-Cap%20ratings.pdf/</t>
  </si>
  <si>
    <t>Change of available VJ...W1BC Y5V Hi-Cap ratings</t>
  </si>
  <si>
    <t>Series Vishay Basic Commodity VJ W1BC, detail PNs in PTN</t>
  </si>
  <si>
    <t>In order to maximize MLCC production efficiency and enhance production flexibility, it was decided to phase out partial Y5V items.</t>
  </si>
  <si>
    <t>PCN-MLC-00001-2020</t>
  </si>
  <si>
    <t>https://www.vishay.com/quality/pcn-doc/PTN-MLC-00001-2020-Rev-0/PTN-MLC-00001-2020%20Changes%20to%20Available%20Terminations%20at%20VJ%20HIFREQ%20HT%20Series.pdf/</t>
  </si>
  <si>
    <t>Changes to Available Terminations at VJ HIFREQ HT Series</t>
  </si>
  <si>
    <t>Part number listing starting page 2 of PTN. VJ HIFREQ HT series.</t>
  </si>
  <si>
    <t>PCN-MLC-00002-2019</t>
  </si>
  <si>
    <t>https://www.vishay.com/quality/pcn-doc/PTN-MLC-00002-2019-Rev-0/PTN-MLC-00002-2019%20Change%20of%20available%20VJ...W1BC%20High%20voltage%20and%20large%20body%20size%20ratings.pdf/</t>
  </si>
  <si>
    <t>Change of available VJ W1BC High voltage and large body size</t>
  </si>
  <si>
    <t>Series Vishay Basic Commodity VJ W1BC, detail PNs  in PTN.</t>
  </si>
  <si>
    <t>PCN-MLC-00003-2019</t>
  </si>
  <si>
    <t>https://www.vishay.com/quality/pcn-doc/PTN-MLC-00003-2019-Rev-0/PTN-MLC-00003-2019%20Changes%20to%20Available%20Ratings%20of%20VJ31%20VJ34%20Automotive%20Series.pdf/</t>
  </si>
  <si>
    <t>Changes to Available Ratings of VJ31 VJ34 Automotive Series</t>
  </si>
  <si>
    <t>VJ 31 and VJ 34 Automotive MLCC Series</t>
  </si>
  <si>
    <t>https://www.vishay.com/quality/pcn-doc/PTN-MLC-00003-2019-Rev-1/PTN-MLC-00003-2019%20Changes%20to%20Available%20Ratings%20of%20VJ31%20VJ34%20Automotive%20Series%20Rev1.pdf/</t>
  </si>
  <si>
    <t>Changes to Available Ratings of VJ31 and VJ34 Automotive Series Rev1</t>
  </si>
  <si>
    <t>PCN-MLC-00004-2019</t>
  </si>
  <si>
    <t>https://www.vishay.com/quality/pcn-doc/PTN-MLC-00004-2019-Rev-0/PTN-MLC-00004-2019%20Changes%20to%20Available%20Ratings%20of%20VJ31X%20ROHS%20Automotive%20Series.pdf/</t>
  </si>
  <si>
    <t>Changes to Available Ratings of VJ31X ROHS Automotive Series</t>
  </si>
  <si>
    <t>VJ 31X ROHS Automotive Series</t>
  </si>
  <si>
    <t>PCN-MLC-00004-2021</t>
  </si>
  <si>
    <t>https://www.vishay.com/quality/pcn-doc/PTN-MLC-00004-2021-REV-0/PTN-MLC-00004-2021-REV-0.pdf/</t>
  </si>
  <si>
    <t>MULTILAYER SMD</t>
  </si>
  <si>
    <t>Changes to Available Ratings of VJ….31 Automotive MLCC  Low Cap Values C0G(NP0) Dielectric Tin Termination Code “X”</t>
  </si>
  <si>
    <t>VJ0402A1R5CXAAP31, VJ0402A5R6CXAAC31, VJ0603A100FXAAC31, VJ0603A100JXBAC31, VJ0603A100JXCAC31, VJ0603A100JXCAP31, VJ0603A100KXBAC31, VJ0603A100KXBAP31, VJ0603A120JXAAC31, VJ0603A120JXAAP31, VJ0603A150JXAAC31, VJ0603A150KXBAC31, VJ0603A1R0CXAAC31, VJ0603A1R2CXAAC31, VJ0603A1R5CXAAC31, VJ0603A1R8CXAAC31, VJ0603A220GXAAP31, VJ0603A220GXCAC31, VJ0603A220JXAAP31, VJ0603A220JXBAC31, VJ0603A220JXBAP31, VJ0603A220KXBAP31, VJ0603A2R2CXAAC31, VJ0603A2R7CXAAC31, VJ0603A330JXAAP31, VJ0603A330KXBAC31, VJ0603A3R3BXAAC31, VJ0603A3R3CXAAC31, VJ0603A3R9CXAAC31, VJ0603A470JXBAC31, VJ0603A470JXBAP31, VJ0603A4R0BXAAP31, VJ0603A4R7CXAAC31, VJ0603A4R7CXBAC31, VJ0603A4R7CXBAP31, VJ0603A5R6CXAAC31, VJ0603A5R6CXBAP31, VJ0603A5R6DXCAC31, VJ0603A6R8CXAAC31, VJ0603A8R2CXAAC31, VJ0603A8R2CXAAP31, VJ0805A100GXABP31, VJ0805A100JXABC31, VJ0805A100JXABP31, VJ0805A100JXBBC31, VJ0805A100KXABP31, VJ0805A100KXBBC31, VJ0805A100KXBBP31, VJ0805A120GXABP31, VJ0805A120JXABC31, VJ0805A120JXCBC31, VJ0805A150GXABP31, VJ0805A150JXABC31, VJ0805A150JXABP31, VJ0805A150KXBBP31, VJ0805A180GXABP31, VJ0805A180JXABC31, VJ0805A180JXABP31, VJ0805A1R5BXABC31, VJ0805A1R5BXCBC31, VJ0805A1R5CXABP31, VJ0805A220GXABP31, VJ0805A220JXABC31, VJ0805A220JXABP31, VJ0805A220JXBBP31, VJ0805A220KXABP31, VJ0805A220KXBBC31, VJ0805A220KXBBP31, VJ0805A270GXABP31, VJ0805A270JXABC31, VJ0805A270JXABP31, VJ0805A2R2BXBBP31, VJ0805A2R2CXABC31, VJ0805A2R2CXABP31, VJ0805A2R2DXBBC31, VJ0805A2R7CXABC31, VJ0805A2R7CXABP31, VJ0805A330GXABP31, VJ0805A330GXCBC31, VJ0805A330JXABC31, VJ0805A330JXABP31, VJ0805A330JXBBC31, VJ0805A330JXBBP31, VJ0805A330JXCBC31, VJ0805A330KXABP31, VJ0805A390JXABC31, VJ0805A3R3CXABP31, VJ0805A3R3CXBBC31, VJ0805A3R3CXBBP31, VJ0805A3R9BXABP31, VJ0805A3R9BXBBP31, VJ0805A3R9CXABP31, VJ0805A470GXABP31, VJ0805A470JXABC31, VJ0805A470JXBBC31, VJ0805A470JXBBP31, VJ0805A470KXBBC31, VJ0805A470KXBBP31, VJ0805A4R7BXBBC31, VJ0805A4R7BXCBC31, VJ0805A4R7CXABP31, VJ0805A4R7CXBBP31, VJ0805A560JXABC31, VJ0805A5R6BXABP31, VJ0805A5R6CXABC31, VJ0805A5R6CXABP31, VJ0805A5R6CXBBC31, VJ0805A680FXABC31, VJ0805A680JXABP31, VJ0805A680JXBBC31, VJ0805A680JXCAC31, VJ0805A680JXCBC31, VJ0805A680JXCBP31, VJ0805A680KXBBP31, VJ0805A6R8BXABC31, VJ0805A6R8CXABC31, VJ0805A6R8CXBBC31, VJ0805A6R8CXCBC31, VJ0805A6R8DXEBC31, VJ0805A820GXABC31, VJ0805A820JXABC31, VJ0805A820JXBBC31, VJ0805A820KXBBP31, VJ0805A8R2BXABC31, VJ0805A8R2CXABC31, VJ0805A8R2CXABP31, VJ0805A8R2CXEBC31, VJ1206A150FXEBC31, VJ1206A180JXEBC31, VJ1206A220JXBBP31, VJ1206A220JXEBC31, VJ1206A330JXABP31, VJ1206A330JXBBC31, VJ1206A330JXEBC31, VJ1206A470JXBBC31, VJ1206A470JXBBP31, VJ1206A4R7DXCBC31, VJ1206A680JXBBP31, VJ7175A1R5CXAAC31, VJ7175A1R5CXAAP31, VJ7179A100GXAAC31, VJ7179A100JXAAC31, VJ7179A100JXAAP31, VJ7179A100KXBAP31, VJ7179A120FXAAC31, VJ7179A120FXAAP31, VJ7179A120JXAAC31, VJ7179A120JXAAP31, VJ7179A120KXAAC31, VJ7179A120KXAAP31, VJ7179A150JXAAP31, VJ7179A150JXBAC31, VJ7179A150JXBAP31, VJ7179A180KXAAC31, VJ7179A180KXAAP31, VJ7179A1R5BXAAP31, VJ7179A220GXAAP31, VJ7179A220JXBAP31, VJ7179A220KXBAP31, VJ7179A270JXAAC31, VJ7179A270JXAAP31, VJ7179A330JXAAP31, VJ7179A330JXBAC31, VJ7179A470JXAAP31, VJ7179A470JXBAC31, VJ7179A470JXBAP31, VJ7179A4R7CXBAC31, VJ7179A4R7CXBAP31, VJ7179A4R7DXBAC31, VJ7179A5R6BXAAP31, VJ7179A7R0DXAAP31, VJ7180A150JXABP31, VJ7180A180JXEBE31, VJ7180A220JXABE31, VJ7180A220JXBBM31, VJ7180A220JXEBE31, VJ7180A220KXBBM31, VJ7180A330JXBBE31, VJ7180A330JXBBM31, VJ7180A330JXEBE31, VJ7180A470JXBBM31, VJ7180A4R7CXEBE31, VJ7180A680JXBBM31, VJ7180A8R2DXABE31, VJ7188A100KXABC31, VJ7188A100KXABP31, VJ7188A100KXBBC31, VJ7188A100KXBBP31, VJ7188A100KXCBP31, VJ7188A120JXABC31, VJ7188A120JXABP31, VJ7188A150JXABP31, VJ7188A150JXBBC31, VJ7188A150JXEBC31, VJ7188A150JXEBM31, VJ7188A150JXEBP31, VJ7188A150KXABC31, VJ7188A150KXBBC31, VJ7188A150KXBBP31, VJ7188A180JXABC31, VJ7188A180JXABP31, VJ7188A1R0BXBBC31, VJ7188A1R0CXABC31, VJ7188A220JXABC31, VJ7188A220JXABP31, VJ7188A220JXBBP31, VJ7188A220KXABP31, VJ7188A220KXBBC31, VJ7188A220KXBBP31, VJ7188A270JXABC31, VJ7188A330</t>
  </si>
  <si>
    <t>PCN-MLC-00005-2019</t>
  </si>
  <si>
    <t>https://www.vishay.com/quality/pcn-doc/PTN-MLC-00005-2019-Rev-0/PTN-MLC-00005-2019%20Changes%20to%20Available%20Ratings%20of%20GA31G%20Automotive%20Series.pdf/</t>
  </si>
  <si>
    <t>Changes to Available Ratings of GA 31G Automotive Series</t>
  </si>
  <si>
    <t>GA 31G Automotive MLCC Series</t>
  </si>
  <si>
    <t>PCN-MLC-00006-2019</t>
  </si>
  <si>
    <t>https://www.vishay.com/quality/pcn-doc/PTN-MLC-00006-2019-Rev-0/PTN-MLC-00006-2019%20Changes%20to%20Available%20Ratings%20of%20GA34G%20Automotive%20Series.pdf/</t>
  </si>
  <si>
    <t>Changes to Available Ratings of GA 34G Automotive Series</t>
  </si>
  <si>
    <t>PCN-MLC-00006-2021</t>
  </si>
  <si>
    <t>https://www.vishay.com/quality/pcn-doc/PTN-MLC-00006-2021-REV-0/PTN-MLC-00006-2021-REV-0-VERSION-4463.pdf/</t>
  </si>
  <si>
    <t>Changes to Available Ratings of
VJ….31 Automotive MLCC Low Cap Values C0G(NP0) Dielectric Polymer Tin Plated Termination Code “B”</t>
  </si>
  <si>
    <t>VJ0603A330JBAAE31</t>
  </si>
  <si>
    <t>PCN-MLC-00008-2018</t>
  </si>
  <si>
    <t>https://www.vishay.com/quality/pcn-doc/PTN-MLC-00008-2018-Rev-0/PTN-MLC-00008-2018%20Change%20of%20available%20VJ...W1BC%20Y5V%20Hi-Cap%20ratings.pdf/</t>
  </si>
  <si>
    <t>Change of available VJ W1BC Y5V Hi Cap ratings</t>
  </si>
  <si>
    <t>Series Vishay Basic Commodity VJ W1BC, detail PNsin PCN</t>
  </si>
  <si>
    <t>PCN-MLC-00009-2018</t>
  </si>
  <si>
    <t>https://www.vishay.com/quality/pcn-doc/PTN-MLC-00009-2018-Rev-0/PTN-MLC-00009-2018%20Non-Magnetic%20series%20for%20Epoxy%20bonding_180905.pdf/</t>
  </si>
  <si>
    <t>End of Life for Non Magnetic Series for Epoxy Bonding</t>
  </si>
  <si>
    <t>VJxxxxxxxxxNxxxxxx VJ Non-Magnetic Series for Epoxy Bonding and VJ Hi-Rel Series</t>
  </si>
  <si>
    <t>PCN-MLC-00009-2019</t>
  </si>
  <si>
    <t>https://www.vishay.com/quality/pcn-doc/PTN-MLC-00009-2019-Rev-0/PTN-MLC-00009-2019%20Remove%20ratings%20VJ9059H394MXXAR00L%20and%20VJ9059H394MXXAT00L%20from%20offering.pdf/</t>
  </si>
  <si>
    <t>Remove from offering VJ9059H394MXXAT00L and VJ9059H394MXXAR00L</t>
  </si>
  <si>
    <t>VJ9059H394MXXAT00L  VJ9059H394MXXAR00L</t>
  </si>
  <si>
    <t>PCN-MLC-00009-2021</t>
  </si>
  <si>
    <t>https://www.vishay.com/quality/pcn-doc/PTN-MLC-00009-2021-REV-0/PTN-MLC-00009-2021-REV-0-VERSION-4488.pdf/</t>
  </si>
  <si>
    <t>Changes to Available Ratings of VJ….31X Automotive MLCC Low Cap Values C0G(NP0) Dielectric Tin Plated Termination Code “X”</t>
  </si>
  <si>
    <t>VJ0402A8R2BXAAC31X, VJ0402A8R2BXAAP31X, VJ0603A220JXAAC31X, VJ0603A470JXAAC31X, VJ0603A470JXBAC31X, VJ0603A4R7CXAAC31X, VJ0805A100JXABC31X, VJ0805A120JXABC31X, VJ0805A150JXABC31X, VJ0805A150KXABC31X, VJ0805A1R8CXBBP31X, VJ0805A330JXABC31X, VJ0805A470GXBBC31X, VJ0805A470JXABC31X, VJ0805A470JXBBC31X, VJ0805A470KXBBC31X, VJ0805A4R7CXABC31X, VJ0805A560JXBBC31X, VJ0805A560JXBBP31X, VJ0805A5R6CXBBP31X, VJ0805A680JXCBP31X, VJ0805A820GXABC31X, VJ0805A820JXABC31X, VJ1206A470JXEBC31X, VJ1206A680JXLBP31X</t>
  </si>
  <si>
    <t>PCN-MLC-00010-2017</t>
  </si>
  <si>
    <t>https://www.vishay.com/quality/pcn-doc/PTN-MLC-00010-2017-Rev-0/PTN-MLC-010-2017%20Remove%20large%20reel%20R%20offering%20from%20Safety%20Cap%20Series.pdf/</t>
  </si>
  <si>
    <t>Remove large reel offering from SMD Safety Capacitor Series</t>
  </si>
  <si>
    <t>VJ RX1  VJ RX2  _x000D_
VJ Safety Certified Capacitors C0G NP0 _x000D_
VJ Safety Certified Capacitors X7R</t>
  </si>
  <si>
    <t>Streamlining portfolio to small reel (code “T” ) offering</t>
  </si>
  <si>
    <t>PCN-MLC-00010-2018</t>
  </si>
  <si>
    <t>https://www.vishay.com/quality/pcn-doc/PTN-MLC-00010-2018-Rev-0/PTN-MLC-00010-2018%20High%20Q%20series_180903.pdf/</t>
  </si>
  <si>
    <t>End of Life for Vitramon High Q Series</t>
  </si>
  <si>
    <t>PN listing in PCN document of VJxxxxQ Series</t>
  </si>
  <si>
    <t>PCN-MLC-00010-2019</t>
  </si>
  <si>
    <t>https://www.vishay.com/quality/pcn-doc/PTN-MLC-00010-2019-Rev-0/PTN-MLC-00010-2019%20Changes%20to%20Available%20Ratings%20Size%201808%20of%20VJ%20Commercial%20Series.pdf/</t>
  </si>
  <si>
    <t>Changes to Available Ratings Size 1808 of VJ Commercial Series</t>
  </si>
  <si>
    <t>PCN-MLC-00010-2021</t>
  </si>
  <si>
    <t>https://www.vishay.com/quality/pcn-doc/PTN-MLC-00010-2021-REV-0/PTN-MLC-00010-2021-REV-0.pdf/</t>
  </si>
  <si>
    <t>Changes to Available Ratings of GA….31G/34G Automotive MLCC Low Cap Values           C0G(NP0) Dielectric</t>
  </si>
  <si>
    <t>GA0402A2R2BXAAC31G, GA0402A2R2BXXAC31G, GA0402A4R7CXAAC31G, GA0402A5R6CXXAC31G, GA0402A6R8CXAAP31G, GA0402A6R8CXXAC31G, GA0402A8R2CXXAC31G, GA0402A8R2DXXAC31G, GA0603A100JXAAC31G, GA0603A150JXAAC31G, GA0603A150JXBAP31G, GA0603A180KXAAC31G, GA0603A1R0DXBAP31G, GA0603A220FXAAC31G, GA0603A220FXCAC31G, GA0603A220JXAAC31G, GA0603A270GXAAC31G, GA0603A390FXAAC31G, GA0603A470JXAAC31G, GA0603A470JXBAC31G, GA0603A470KXAAC31G, GA0805A100JXABC31G, GA0805A100JXBBP31G, GA0805A100KXBBC31G, GA0805A150KXABC31G, GA0805A220KXBBC31G, GA0805A270FBCBT31G, GA0805A270JEAAO34G, GA0805A2R4BXAAP31G, GA0805A330JXEBC31G, GA0805A470JBCBT31G, GA0805A470JXABC31G, GA0805A470JXBBC31G, GA1206A100KXABC31G, GA1206A270FXEBC31G, GA1206A2R2BXLBC31G</t>
  </si>
  <si>
    <t>PCN-MLC-00011-2017</t>
  </si>
  <si>
    <t>https://www.vishay.com/quality/pcn-doc/PTN-MLC-00011-2017-Rev-0/PTN-MLC-011-2017%20Remove%20large%20reel%20R%20offer%20for%20size%202220%202225%20from%20VJ%20Commercial%20Series.pdf/</t>
  </si>
  <si>
    <t>Remove large reel R offer for size 2220 2225 from VJ Commercial Series</t>
  </si>
  <si>
    <t>VJ2220 R  and  VJ2225 R from  VJ Commercial Series</t>
  </si>
  <si>
    <t>PCN-MLC-00011-2019</t>
  </si>
  <si>
    <t>https://www.vishay.com/quality/pcn-doc/PTN-MLC-00011-2019-Rev-0/PTN-MLC-00011-2019%20Changes%20to%20Available%20Ratings%20of%20VJ%20OMD%20Open%20Mode%20Design%20Series.pdf/</t>
  </si>
  <si>
    <t>Changes to Available Ratings of VJ OMD Open Mode Design Series</t>
  </si>
  <si>
    <t>VJ OMD Open Mode Design Series</t>
  </si>
  <si>
    <t>PCN-MLC-00011-2021</t>
  </si>
  <si>
    <t>https://www.vishay.com/quality/pcn-doc/PTN-MLC-00011-2021-REV-0/PTN-MLC-00011-2021-REV-0-VERSION-4641.pdf/</t>
  </si>
  <si>
    <t>Changes to available values of VJ0805D... HiFreq series.</t>
  </si>
  <si>
    <t>VJ0805D122KXXAJ, VJ0805D132FLXAR, VJ0805D152GXXAT, VJ0805D152KXXAJ</t>
  </si>
  <si>
    <t>PCN-MLC-00012-2017</t>
  </si>
  <si>
    <t>https://www.vishay.com/quality/pcn-doc/PTN-MLC-00012-2017-Rev-0/PTN-MLC-012-2017%20Remove%20large%20reel%20R%20offer%20for%20size%202220%202225%20from%20VJ%20OMD%20Series.pdf/</t>
  </si>
  <si>
    <t>Remove large reel R offer for size 2220 2225 from VJ OMD Series</t>
  </si>
  <si>
    <t>VJ2220 R4X and VJ2220 R5H and VJ2225 R4X and VJ2225 R5H from VJ OMD Series Open Mode Design.</t>
  </si>
  <si>
    <t>PCN-MLC-00013-2017</t>
  </si>
  <si>
    <t>https://www.vishay.com/quality/pcn-doc/PTN-MLC-00013-2017-Rev-0/PTN-MLC-013-2017%20Remove%20large%20reel%20R%20offer%20for%20size%202220%202225%20from%20VJ%20HVArc%20Guard.pdf/</t>
  </si>
  <si>
    <t>Remove large reel R offer for size 2220 2225 from VJ HVArc Guard</t>
  </si>
  <si>
    <t>VJ2220 R5Z and VJ2225 R5Z from  HVArc Guard Series.</t>
  </si>
  <si>
    <t>PCN-MLC-00013-2019</t>
  </si>
  <si>
    <t>https://www.vishay.com/quality/pcn-doc/PTN-MLC-00013-2019-Rev-0/PTN-MLC-00013-2019%20Changes%20to%20Available%20Ratings%20of%20SMD%20Safety%20Capacitor%20Series.pdf/</t>
  </si>
  <si>
    <t>Changes to Available Ratings of SMD Safety Capacitor Series</t>
  </si>
  <si>
    <t>VJ Safety Certified Capacitors C0G (NP0) and VJ Safety Certified Capacitors C0G (NP0)</t>
  </si>
  <si>
    <t>PCN-MLC-00013-2021</t>
  </si>
  <si>
    <t>https://www.vishay.com/quality/pcn-doc/PTN-MLC-00013-2021-REV-0/PTN-MLC-00013-2021-REV-0.pdf/</t>
  </si>
  <si>
    <t>VJ0201A..W1BC series C0G(NP0) K =10% tolerance removed from offering.</t>
  </si>
  <si>
    <t>VJ0201A101KXXCW1BC, VJ0201A470KXACW1BC</t>
  </si>
  <si>
    <t>PCN-MLC-00014-2017</t>
  </si>
  <si>
    <t>https://www.vishay.com/quality/pcn-doc/PTN-MLC-00014-2017-Rev-0/PTN-MLC-014-2017%20Remove%20large%20reel%20R%20offer%20for%20size%202220%202225%20from%20HV%20High%20Voltage.pdf/</t>
  </si>
  <si>
    <t>Remove large reel R offer for size 2220 2225 from HV High Voltage</t>
  </si>
  <si>
    <t>HV2220 RHV and  HV2225  RHV from  HV High Voltage Series.</t>
  </si>
  <si>
    <t>PCN-MLC-00015-2017</t>
  </si>
  <si>
    <t>https://www.vishay.com/quality/pcn-doc/PTN-MLC-00015-2017-Rev-0/PTN-MLC-015-2017%20Remove%20Controlled%20Discharge%20Capacitor%20171205.pdf/</t>
  </si>
  <si>
    <t>End of Life for Controlled Discharge Capacitors</t>
  </si>
  <si>
    <t>Part numbers VJ...8R, VJ...6Y.</t>
  </si>
  <si>
    <t>These MLCCs cannot be built due to production constraints</t>
  </si>
  <si>
    <t>PCN-MLC-00015-2018</t>
  </si>
  <si>
    <t>https://www.vishay.com/quality/pcn-doc/PTN-MLC-00015-2018-Rev-0/PTN-MLC-00015-2018%20Discontinuation%20of%20MLCC%20Chip%20Array%20VJ06C4....W1BC.pdf/</t>
  </si>
  <si>
    <t>Discontinuation of MLCC Chip Array VJ06C4....W1BC</t>
  </si>
  <si>
    <t>Series Vishay Basic Commodity VJ06C4  W1BC , detail PNs attached.</t>
  </si>
  <si>
    <t>PCN-MLC-00020-2019</t>
  </si>
  <si>
    <t>https://www.vishay.com/quality/pcn-doc/PTN-MLC-00020-2019-Rev-0/PTN-MLC-00020-2019%20Changes%20to%20Available%20Ratings%20of%20HV%20High%20Voltage%20Series.pdf/</t>
  </si>
  <si>
    <t>Changes to Available Ratings of HV High Voltage Series.</t>
  </si>
  <si>
    <t>HV High Voltage Series</t>
  </si>
  <si>
    <t>PCN-MLC-00029-2019</t>
  </si>
  <si>
    <t>https://www.vishay.com/quality/pcn-doc/PTN-MLC-00029-2019-Rev-0/PTN-MLC-00029-2019%20Changes%20to%20Available%20Ratings%20of%20VJ%20Hi-Rel%20Series%20NP0%20C0G.pdf/</t>
  </si>
  <si>
    <t>Changes to Available Ratings of VJ Hi-Rel Series NP0 C0G</t>
  </si>
  <si>
    <t>Part number listing starting page 2 of PTN_x000D_
Series VJ Hi-Rel Series</t>
  </si>
  <si>
    <t>PCN-MLC-00030-2019</t>
  </si>
  <si>
    <t>https://www.vishay.com/quality/pcn-doc/PTN-MLC-00030-2019-Rev-0/PTN-MLC-00030-2019%20Changes%20to%20Available%20Ratings%20of%20CDR36%20and%20CDR37%20Products.pdf/</t>
  </si>
  <si>
    <t>Changes to Available Ratings of CDR36 and CDR37 Products</t>
  </si>
  <si>
    <t>Part# strcuture listed page 2 CDR MIL PRF 55681 Series</t>
  </si>
  <si>
    <t>https://www.vishay.com/quality/pcn-doc/PTN-MLC-00030-2019-Rev-1/PTN-MLC-00030-2019%20Rev.1%20Changes%20to%20Available%20Ratings%20of%20CDR36%20and%20CDR37%20Products.pdf/</t>
  </si>
  <si>
    <t>Part number listing starting page 2. CDR-MIL-PRF-55681. _x000D_
This Rev. 1 correct the datasheet link shown in PTN document.</t>
  </si>
  <si>
    <t>PCN-NLR-00003-2019</t>
  </si>
  <si>
    <t>Withdrawal of M,C,T series Curve 7</t>
  </si>
  <si>
    <t>M,C,T series</t>
  </si>
  <si>
    <t>Dale NLR parts curve 7</t>
  </si>
  <si>
    <t>https://www.vishay.com/quality/pcn-doc/PTN-NLR-00003-2019/PTN-NLR-003-2019%20Withdrawal%20of%20TMC%20series%20curve%207%20Rev2.pdf/</t>
  </si>
  <si>
    <t>Withdrawal of T,M,C series Curve 7</t>
  </si>
  <si>
    <t>07B* B07* 07C* C07* 07M* M07* 07T* T07* 07W* W07* A1310F A1451F A1451P A2035F A2045P A3071P A3084P A3085F A3085P A3086P A3087P _x000D_
A3101P A3121P</t>
  </si>
  <si>
    <t>PCN-NLR-00004-2018</t>
  </si>
  <si>
    <t>Withdrawal of PTCS sensing product series</t>
  </si>
  <si>
    <t>PTCSGM* PTCSSCW*  PTCSSLV*  PTCSC17*  PTCSL20* PTCSL40*</t>
  </si>
  <si>
    <t>PCN-NLR-00005-2020</t>
  </si>
  <si>
    <t>Product Withdrawal Curve 4 thermistors through hole</t>
  </si>
  <si>
    <t>T, M, C series</t>
  </si>
  <si>
    <t>T,M,C series</t>
  </si>
  <si>
    <t>PCN-NLR-00006-2018</t>
  </si>
  <si>
    <t>Withdrawal of NTHS1012</t>
  </si>
  <si>
    <t>NTHS1012</t>
  </si>
  <si>
    <t>PCN-NLR-00006-2020</t>
  </si>
  <si>
    <t>Vishay BCcomponents, Vishay Dale&gt;</t>
  </si>
  <si>
    <t>Withdrawal of sample kit NTCSTFPTNTHSPTSLAB</t>
  </si>
  <si>
    <t>PCN-OMV-1000-2017</t>
  </si>
  <si>
    <t>https://www.vishay.com/quality/pcn-doc/PTN-OMV-1000-2017-Rev-0/ptn_omv_1000_2017_rev0.pdf/</t>
  </si>
  <si>
    <t>Product Discontinuation TLHK4400L-PSZ</t>
  </si>
  <si>
    <t>TLHK4400L-PSZ</t>
  </si>
  <si>
    <t>PCN-OMV-1004-2017</t>
  </si>
  <si>
    <t>https://www.vishay.com/quality/pcn-doc/PTN-OMV-1004-2017-Rev-0/pcn_omv_1004_2017_rev0.pdf/</t>
  </si>
  <si>
    <t>Obsolete No Runner TSOP4836DI1</t>
  </si>
  <si>
    <t>TSOP4836DI1</t>
  </si>
  <si>
    <t xml:space="preserve">Portfolio consolidation of mechanical option parts.
</t>
  </si>
  <si>
    <t>PCN-OMV-1009-2017</t>
  </si>
  <si>
    <t>https://www.vishay.com/quality/pcn-doc/PTN-OMV-1009-2017-Rev-0/pcn_omv_1009_2017_rev0.pdf/</t>
  </si>
  <si>
    <t>Announcement of Obsolescence for the LH1510-3039 and LH1526-3042A</t>
  </si>
  <si>
    <t>LH1510-3039 LH1526-3042A</t>
  </si>
  <si>
    <t xml:space="preserve">It is no longer feasible to manufacture these parts due to escalating costs and the
</t>
  </si>
  <si>
    <t>PCN-OMV-1010-2017</t>
  </si>
  <si>
    <t>https://www.vishay.com/quality/pcn-doc/PTN-OMV-1010-2017-Rev-0/pcn_omv_1010_2017_rev0.pdf/</t>
  </si>
  <si>
    <t>Announcement of Obsolescence for the LH1522A-3067</t>
  </si>
  <si>
    <t>LH1522A-3067</t>
  </si>
  <si>
    <t xml:space="preserve">It is no longer feasible to manufacture this part due to a lack of demand.
</t>
  </si>
  <si>
    <t>PCN-OMV-1011-2017</t>
  </si>
  <si>
    <t>https://www.vishay.com/quality/pcn-doc/PTN-OMV-1011-2017-Rev-0/pcn_omv_1011_2017_rev0.pdf/</t>
  </si>
  <si>
    <t>Announcement of Obsolescence for Solid State Relays with low demand.</t>
  </si>
  <si>
    <t>LH1503AAC LH1503AACTR LH1503AB_x000D_
LH1513AAC LH1513AACTR LH1513AB_x000D_
LH1521BACTR_x000D_
LH1523BAC LH1523BACTR_x000D_
LH1523BB_x000D_
LH1529AACTR LH1529GPTR_x000D_
LH1532FP LH1532FPT _x000D_
LH1533AACTR (Use VOR2141B8 as replacement)_x000D_
LH1540ACD LH1540ACDTR LH1540AT-X016_x000D_
LH1544AAC LH1544AACTR LH1544AB (Use VOR2121A8 and VOR2121B8 as replacements)_x000D_
LH1546AD</t>
  </si>
  <si>
    <t xml:space="preserve">It is no longer feasible to manufacture these parts due to escalating costs, the
</t>
  </si>
  <si>
    <t>PCN-OMV-1013-2018</t>
  </si>
  <si>
    <t>https://www.vishay.com/quality/pcn-doc/PTN-OMV-1013-2018-Rev-0/pcn_omv_1013_2018_rev0.pdf/</t>
  </si>
  <si>
    <t>VLSL12A03-3Q3T-50A  TLLG5400-AS12 T5910VA-SF-F  TLUG2400-ASZ T6110VA-SFF  TLUG2400-MS12Z  T6310VA-SF-F  TLUG2400-MS21Z  VLRE31R1S1-GS08  TLUG2401-AS12  VLRE31R1S1-GS18  TLUG2401-AS12Z  VLRE31R1S2-GS18  TLUO2401-AS12  VLRE31R2S2-GS08  TLUR2400-AS12  VLRE31R2S2-GS18  TLUR2401-AS12  VLRK31Q1R2-GS18  TLUY2400-AS12   VLRK31Q2R1-GS08  TLUY2401-AS12Z  VLRK31Q2R1-GS18  VLME31Q2T1-35-GS08  VLRK31R1R2-GS08  VLME31Q2T1-35-GS18  VLRK31R1R2GS18  VLMF31R1S2-35-GS08  VLRK31R1S2-GS18  VLMF31R1S2-35-GS18  TDCY1050M  VLMF31R1S2-GS08  TDCY1060M  VLMF31R1S2-GS18  TDSG3151  VLMK31P2S1-GS08  TDSO3153  VLMK31P2S1-GS18  TDSO1160-K  VLMK33R2T2-2-GS08  VLME23N1P1-35-GS08  VLMO31J1K2-35-GS08  VLME23Q2S1-GS08  VLMP3107-GS08  VLMF23Q2T1-GS08  VLMP3107-GS18   VLMK23Q2S1-GS08  VLMPG30E1F2-GS08  VLMO2000-GS08  VLMPG30E1F2-GS18  VLMO20K1L2-34-GS08  VLMPG30E1G2-GS08  VLMO21H2L1-GS08 VLMPG30E1G2-GS18  VLMS20J2K2-GS08  VLMPG30F1G2-GS08  VLMY21H2K1-GS08  VLMPG30F1G2-GS18  VLMY21H2L1-GS08 VLMR3342V1AA62A-08   VLMY21J2L1-GS08  VLMY33T2U2-46-GS08  TLHE4200  VLMYG30G2J1-GS08   TLHG5400-BT12  VLMYG30G2J1-GS18  TLHK5100-AS12Z  VLMYG30G2K1-GS08  TLHO2400  VLMYG30G2K1-GS18  TLHR4400-AS21Z  TLHY4200-AS12Z  TLHY6200-CS12  TLLG4401-AS12Z</t>
  </si>
  <si>
    <t xml:space="preserve">Product discontinuation due to no Business last 2 years
</t>
  </si>
  <si>
    <t>PCN-OMV-1040-2018</t>
  </si>
  <si>
    <t>https://www.vishay.com/quality/pcn-doc/PTN-OMV-1040-2018-Rev-0/ptn_omv_1040_2018_rev0.pdf/</t>
  </si>
  <si>
    <t>TSOP6238APTT/TR EOL</t>
  </si>
  <si>
    <t>TSOP6238APTT TSOP6238APTR</t>
  </si>
  <si>
    <t xml:space="preserve">No demand
</t>
  </si>
  <si>
    <t>PCN-OMV-1043-2018</t>
  </si>
  <si>
    <t>https://www.vishay.com/quality/pcn-doc/PTN-OMV-1043-2018-Rev-0/ptn_omv_1043_2018_rev0.pdf/</t>
  </si>
  <si>
    <t>Obsolescence of optocoupler 6N138 Series products</t>
  </si>
  <si>
    <t>6N138 Series:_x000D_
6N138, 6N138-X007,6N138-X007T,6N138-X009,6N138-X009T</t>
  </si>
  <si>
    <t xml:space="preserve">The declining demand for these products in the market along with the
</t>
  </si>
  <si>
    <t>PCN-OMV-1044-2018</t>
  </si>
  <si>
    <t>https://www.vishay.com/quality/pcn-doc/PTN-OMV-1044-2018-Rev-0/ptn_omv_1044_2018_rev0.pdf/</t>
  </si>
  <si>
    <t>Obsolescence of SFH601-3X002, SFH601-3X027T, and SFH601-4X027T products</t>
  </si>
  <si>
    <t>SFH601-3X002_x000D_
SFH601-3X027T_x000D_
SFH601-4X027T</t>
  </si>
  <si>
    <t xml:space="preserve">The low demand for these products in the market along with the
</t>
  </si>
  <si>
    <t>PCN-OMV-1046-2018</t>
  </si>
  <si>
    <t>https://www.vishay.com/quality/pcn-doc/PTN-OMV-1046-2018-Rev-0/ptn_omv_1046_2018_rev0.pdf/</t>
  </si>
  <si>
    <t>Obsolescence of optocoupler products with low sales</t>
  </si>
  <si>
    <t>6N135-3054_x000D_
CNY17F-2X002_x000D_
H11A1-X001, H11A1-X006, H11A1-X009_x000D_
H11AA1-X007, H11AA1-X009, H11AA1-X009T_x000D_
H11D3-X007_x000D_
IL202-X001_x000D_
IL250-X001, IL250-X007, IL250-X009, IL250-X009T_x000D_
IL251, IL251-X009T_x000D_
IL252-X001, IL252-X007, IL252-X009, IL252-X009T, IL252-X016, IL252-X017, IL252-X017T_x000D_
ILD620GB-X009_x000D_
ILD620-X007, ILD620-X009_x000D_
ILD621GB-X001, ILD621GB-X007_x000D_
ILQ620-X007_x000D_
ILQ621GB-X017_x000D_
ILQ621-X007, ILQ621-X009T_x000D_
SFH600-0, SFH600-0X001, SFH600-0X007, SFH600-0X007T_x000D_
SFH601-1X001, SFH601-1X006, SFH601-1X007, SFH601-1X009T, SFH601-1X016, SFH601-1X017, SFH601-_x000D_
2X001, SFH601-2X006, SFH601-2X007, SFH601-2X007T, SFH601-2X009, SFH601-2X017, SFH601-2X017T,_x000D_
SFH601-3X001, SFH601-3X006, SFH601-3X007, SFH601-3X017, SFH601-3X019, SFH601-3X019T, SFH601-4,_x000D_
SFH601-4X001, SFH601-4X006, SFH601-4X007, SFH601-4X009, SFH601-4X009T, SFH601-4X016, SFH601-_x000D_
4X017, SFH601-4X017T_x000D_
SFH619A-X009TO_x000D_
SFH6206AGB</t>
  </si>
  <si>
    <t>PCN-OMV-1070-2019</t>
  </si>
  <si>
    <t>https://www.vishay.com/quality/pcn-doc/PTN-OMV-1070-2019-Rev-0/ptn_omv_1070_2019_rev0.pdf/</t>
  </si>
  <si>
    <t>Product discontinuation VLMU5200-xxx-140</t>
  </si>
  <si>
    <t>VLMU5200-385-140, VLMU5200-395-140, VLMU5200-405-140</t>
  </si>
  <si>
    <t xml:space="preserve">The low demand in the market along with upcoming investments for
</t>
  </si>
  <si>
    <t>PCN-OMV-1071-2019</t>
  </si>
  <si>
    <t>https://www.vishay.com/quality/pcn-doc/PTN-OMV-1071-2019-Rev-0/ptn_omv_1071_2019_rev0.pdf/</t>
  </si>
  <si>
    <t>Product Discontinuation of low running 7-segment displays</t>
  </si>
  <si>
    <t>TDSL3150-G TDSL5150-GH TDSL5160-GH TDSO5150-M</t>
  </si>
  <si>
    <t xml:space="preserve">The declining demand for these special selection types in the market along
</t>
  </si>
  <si>
    <t>PCN-OMV-1073-2019</t>
  </si>
  <si>
    <t>https://www.vishay.com/quality/pcn-doc/PTN-OMV-1073-2019-Rev-0/ptn_omv_1073_2019_rev0.pdf/</t>
  </si>
  <si>
    <t>Product discontinuation of visible LEDs and Displays without sales</t>
  </si>
  <si>
    <t>Displays / LEDs according to the attached part number list</t>
  </si>
  <si>
    <t xml:space="preserve">Obsoletion of products with no Sales for more than 2 years in order to
</t>
  </si>
  <si>
    <t>PCN-OMV-1091-2019</t>
  </si>
  <si>
    <t>https://www.vishay.com/quality/pcn-doc/PTN-OMV-1091-2019-Rev-0/ptn_omv_1091_2019_rev0.pdf/</t>
  </si>
  <si>
    <t>End of Life IR Receivers - TSOP85238AP3TT &amp; TSOP85238AP5TT</t>
  </si>
  <si>
    <t>TSOP85238AP5TT_x000D_
TSOP85238AP3TT</t>
  </si>
  <si>
    <t xml:space="preserve">Unavailability of raw materials
</t>
  </si>
  <si>
    <t>PCN-OMV-1100-2019</t>
  </si>
  <si>
    <t>https://www.vishay.com/quality/pcn-doc/PTN-OMV-1100-2019-Rev-0/ptn_omv_1100_2019_rev0.pdf/</t>
  </si>
  <si>
    <t>VO4254H-X007T_x000D_
VO4254M, VO4254M-X006, VO4254M-X007T_x000D_
VO4154H, VO4154H-X006, VO4154H-X007T_x000D_
VO4154M, VO4154M-X006_x000D_
VO4254D, VO4254D-X006, VO4254D-X007T_x000D_
VO4154D, VO4154D-X006_x000D_
SFH636-X007, SFH636-X009, SFH636-X017_x000D_
SFH6316_x000D_
ILQ620-X019_x000D_
ILD252-X017</t>
  </si>
  <si>
    <t xml:space="preserve">A declining and low demand for these products in the market along with the
</t>
  </si>
  <si>
    <t>PCN-OMV-1111-2020</t>
  </si>
  <si>
    <t>https://www.vishay.com/quality/pcn-doc/PTN-OMV-1111-2020-Rev-0/ptn_omv_1111_2020_rev0.pdf/</t>
  </si>
  <si>
    <t>Discontinuation of UVC LED-series impacted by material obsolescence</t>
  </si>
  <si>
    <t>VLMU60CL00-280-125, VLMU35CL00-280-120, VLMU35CM00-280-120</t>
  </si>
  <si>
    <t xml:space="preserve">Obsolescence of the currently used UVC emitter die by the vendor
</t>
  </si>
  <si>
    <t>PCN-OMV-1116-2020</t>
  </si>
  <si>
    <t>https://www.vishay.com/quality/pcn-doc/PTN-OMV-1116-2020-Rev-0/ptn_omv_1116_2020_rev0.pdf/</t>
  </si>
  <si>
    <t>Product Discontinuation of no running Opto Parts</t>
  </si>
  <si>
    <t>IR Receivers / LED Chips / LED Modules / LEDs / Optocouplers, Isolators /_x000D_
Solid State Relays_x000D_
Please refer to the attached part number list.</t>
  </si>
  <si>
    <t xml:space="preserve">No demand / Portfolio Consolidation.
</t>
  </si>
  <si>
    <t>PCN-OMV-1160-2020</t>
  </si>
  <si>
    <t>https://www.vishay.com/quality/pcn-doc/PTN-OMV-1160-2020-Rev-0/ptn_omv_1160_2020_rev0.pdf/</t>
  </si>
  <si>
    <t>Obsolescence of Products impacted by material obsolescence and Products with low sales</t>
  </si>
  <si>
    <t>Little Star:_x000D_
VLMR71AAAC-GS08, VLMW712T2T3QN-GS08, VLMW712T3U3US-GS08, VLMW712U2U3XV-GS08,_x000D_
VLMY71AAAC-GS08_x000D_
0603 white and blue selected parts using CREE die:_x000D_
TLMB1100-GS08, VLMW11R2S2-5K8L-08_x000D_
3mm and 5mm LED selected parts using CREE die:_x000D_
TLHB4200, TLHB4201, TLHB4400, TLHB44K2M1, TLHB5100, TLHB5102, TLHB5400, TLHB5800_x000D_
3mm white LEDs:_x000D_
VLHW4100, VLHW4101-YLWU, VLHW4400-JKPL, VLHW4400-LKNL, VLHW4400-QPMM_x000D_
PLCC2-Plus:_x000D_
VLMK51Z1AA-GS08, VLMR51Z1AA-GS08, VLMW51Q2R3-GS08, VLMY51Z1AA-GS08_x000D_
PLCC2 selected parts using CREE die:_x000D_
1.030.023.078, 8928B50056, VLMB3000L-GS08, VLMB31J2K2-3-GS18, VLMB31J2K2-GS08, VLMB31J2K2-_x000D_
GS18,_x000D_
VLMB31J2L2-GS08, VLMB31J2L2-GS18, VLMB31K1L2-3-GS18, VLMB31K2L2-3-GS18, VLMB31K2L2-GS08,_x000D_
VLMB31K2L2-GS18_x000D_
PLCC4 LEDs selected parts:_x000D_
VLMK322U1V2-GS08, VLMK32ABBB-GS08, VLMPG32P1Q1-GS08, VLMR32ABBB-GS08, VLMRGB343-ST-UVRS,_x000D_
VLMS322T2V1-GS08, VLMY32ABBB-GS08_x000D_
IRED LEDs selected parts:_x000D_
TSUS4300, TSUS4300-ASZ, TSUS4400, TSUS4400-CSZ, TSUS4402, TSUS5200, TSUS5201, TSUS5202,_x000D_
TSUS5202-AS12, TSUS5400, TSUS5400-AS12, TSUS5401, TSUS5402, TSUS5402-AS12Z, TSUS6202,_x000D_
TSUS6402_x000D_
VSMB11940X01, VSMY7850X01-GS08, VSMY7852X01-GS08, VSMY99445DS</t>
  </si>
  <si>
    <t xml:space="preserve">Obsolescence of the emitter die by the manufacturer.
</t>
  </si>
  <si>
    <t>PCN-OMV-1172-2021</t>
  </si>
  <si>
    <t>https://www.vishay.com/quality/pcn-doc/PTN-OMV-1172-2021-Rev-0/ptn_omv_1172_2021_rev0.pdf/</t>
  </si>
  <si>
    <t>Obsolescence of the VO3526 power phototriac optocoupler product</t>
  </si>
  <si>
    <t>VO3526</t>
  </si>
  <si>
    <t xml:space="preserve">The low demand for this products in the market has rendered it unfeasible to
</t>
  </si>
  <si>
    <t>PCN-OMV-1180-2021</t>
  </si>
  <si>
    <t>https://www.vishay.com/quality/pcn-doc/PTN-OMV-1180-2021-Rev-0/ptn_omv_1180_2021_rev0.pdf/</t>
  </si>
  <si>
    <t>Product Discontinuation of no running Optoelectronic Parts</t>
  </si>
  <si>
    <t>Please refer to the attached part number list._x000D_
IR Receivers / Optocouplers, Isolators / Solid State Relays</t>
  </si>
  <si>
    <t>PCN-OPT-1196-2021</t>
  </si>
  <si>
    <t>https://www.vishay.com/quality/pcn-doc/PTN-OPT-1196-2021-REV-0/PTN-OPT-1196-2021-REV-0-VERSION-4868.pdf/</t>
  </si>
  <si>
    <t>LEDS,7-SEGMENT DISPLAYS</t>
  </si>
  <si>
    <t>Obsolescence of LED and 7-Segment Display products with no or low sales</t>
  </si>
  <si>
    <t>1.030.023.124, 1.030.023.277, 1.030.023.850, 1432311., 1439596., 6.033.EC2.194, 790438-70, 8.928.510.354, 8.928.510.355, 8.928.510.395, 8.928.510.396, 8.928.510.397, TDSL5150-FG, TDSY1150, TDSY1150-K, TDSY3150, TDSY3150-K, TDSY5150, TLCO5100, TLCR5200, TLCR5800-AS21, TLCY5100, TLCY6101-ASZ, TLCY6200, TLHE4400, TLHE5100, TLHF42U1V2-35, TLHF4400, TLHF4401, TLHF5400, TLHG4400-AS21Z, TLHG4405-AS12, TLHG44K1L2, TLHG4605-AS12Z, TLHG5200, TLHG5201, TLHG5205, TLHG5205-KS21, TLHG5405-AS12Z, TLHG6200, TLHG6200-CS12, TLHK42T1U2, TLHK4400L, TLHO42M1N2, TLHO4400-AS12Z, TLHP4200, TLHP4201, TLHP4201-AS12Z, TLHP42J2L1, TLHP42K1L1, TLHR4201, TLHR4205-AS12Z, TLHR4407-MS12Z, TLHR5201, TLHR5205, TLHR6200-CS12, TLHR6205, TLHY4201, TLHY4205-MS12, TLHY4401-AS12Z, TLHY44K1L2, TLHY4601, TLHY4900, TLHY5200, TLHY5400-AS12Z, TLHY5800, TLHY6200-CS12Z, TLHY6400-CS12Z, TLHY6401, TLLY4400-MS12, TLLY4401-AS12, TLLY4401-MS12, TLLY5400, TLLY5401, TLPG5600-AS12Z, TLPP5600, TLPP5600-AS12Z, TLPR5600-AS12Z, TLPY5600-AS12Z, TLPY5600-ASZ, TLSV5100, TLUO2400, TLUR44K1L2, TLUR5400-AS12Z, TLUR6400, TLUR6401, TLUY2401-AS12, TLVD42Q1S2, TLVH4200, TLVH42N2Q2, TLVP4200, TLVP4201, TLWY8900C, VDMG10A1, VDMO10A1, VLCS5230, VLMB40L1M2-34-GS08, VLMD3101-GS08, VLMD31L2N1-GS18, VLMD31L2P1-GS08, VLME2300-GS08, VLME23N1P1-34-GS08, VLME23R2T1-GS08, VLME3100-GS18, VLME3105-GS08, VLME31S1T1-GS18, VLMF31R2S2-34K-08, VLMF31S1T1-GS08, VLMH3101-GS08, VLMH3102-GS18, VLMK2000-GS08, VLMK2001-GS08, VLMK20J2L2-GS08, VLMK23R1S1-GS08, VLMK3100-GS18, VLMK3102-GS18, VLMK31R1S1-GS18, VLMK31R1S2-GS18, VLMK33Q2T1-GS08, VLMK33Q2T1-GS18, VLMK33S1T1-2-GS08, VLMKE3400-GS18, VLMO20K2L2-35-GS08, VLMO21J2L1-GS08, VLMO233U2V2-35-08, VLMO30K1L2-GS08, VLMO30K1M2-GS18, VLMO30K2M1-34K-08, VLMO3100-GS18, VLMO31J1L2-GS08, VLMO33R2U2-GS08, VLMP232M2N2-GS08, VLMP23K2M2-GS08, VLMR333U1AA-GS18, VLMS2100-GS08, VLMS21H2L1-GS08, VLMS21J2L1-GS08, VLMS30G2J1-GS18, VLMS30J1K2-GS18, VLMS30J2K2-GS08, VLMS31J1K2-GS18, VLMS31J2L1-GS18, VLMTG41S2U1-GS18, VLMU3500-385-060, VLMU3500-385-120, VLMU3500-395-060, VLMU3500-395-120, VLMU3500-405-060, VLMU3500-405-120, VLMU3500-405-120-L, VLMW41S1T1-8K8L-08, VLMW41S1T2-5K6L-08, VLMY20J1L2-GS08, VLMY3000-GS18, VLMY30J2L1-GS18, VLMY30K2M1-GS18, VLMY3100-GS18, VLMY3102-GS18, VLMY31J1K2-GS18, VLMY31J1L2-GS08, VLMY31J2K2-GS08, VLMY31K1L2-34-GS08, VLMY31K1L2-GS18, VLMY333U1AA-GS18, VLMY33R2U2-GS08, VLWB9600, VLWB9900, VLWR9630, VLWR9931, VLWTG9600, VLWTG9900, VLWY9932</t>
  </si>
  <si>
    <t xml:space="preserve">Declining demand of affected parts and parts with difficulties for the material supply.
</t>
  </si>
  <si>
    <t>PCN-OPT-1198-2021</t>
  </si>
  <si>
    <t>https://www.vishay.com/quality/pcn-doc/PTN-OPT-1198-2021-REV-0/PTN-OPT-1198-2021-REV-0.pdf/</t>
  </si>
  <si>
    <t>IRDA(R) TRANSCEIVERS</t>
  </si>
  <si>
    <t>End of life of TFBR4650E-TT3 and TFBR4650-TR1</t>
  </si>
  <si>
    <t>TFBR4650-TR1</t>
  </si>
  <si>
    <t>PCN-SF-219-2018</t>
  </si>
  <si>
    <t>PTN SF FL219 2018 Sfernice Rheostats RT500 RT230 RT100 DRT55CC obsolescence</t>
  </si>
  <si>
    <t>RT500 RT230 RT100 DRT55CC</t>
  </si>
  <si>
    <t xml:space="preserve"> Low demand.
</t>
  </si>
  <si>
    <t>PCN-SF-220-2018</t>
  </si>
  <si>
    <t>Sfernice JAUGE-G022 and JAUGE-G096</t>
  </si>
  <si>
    <t>JAUGE-G022 JAUGE-G096</t>
  </si>
  <si>
    <t xml:space="preserve"> Low demand, End of Life of the production line.
</t>
  </si>
  <si>
    <t>PCN-SF-223-2018</t>
  </si>
  <si>
    <t>https://www.vishay.com/quality/pcn-doc/PTN-SF-00223-2018-Rev-0/PTN%20SF%20FL223%202018%20Sfernice%20Spectrol%20DIALS%20model%2028%20obsolescence.pdf/</t>
  </si>
  <si>
    <t>Sensors</t>
  </si>
  <si>
    <t>Vishay Spectrol&gt;</t>
  </si>
  <si>
    <t>PTN SF FL223 2018 Sfernice Spectrol DIALS model 28 obsolescence</t>
  </si>
  <si>
    <t>28 model28</t>
  </si>
  <si>
    <t>PCN-SF-243-2019</t>
  </si>
  <si>
    <t>PTN SF243 2019 Sfernice RWM 4X10 4X22 5X26 6X22 &amp; 8X26 EOL</t>
  </si>
  <si>
    <t>RWM0410 RWM0422 RWM0526 RWM0622 RWM0826 SGKBP1008 SGKBP1034 RWMB61</t>
  </si>
  <si>
    <t>PCN-SF-251-2020</t>
  </si>
  <si>
    <t>Sfernice Discontinuation of TFS, SA, SB, SC Series</t>
  </si>
  <si>
    <t>TFS*, SA*, SB*, SC*</t>
  </si>
  <si>
    <t xml:space="preserve"> Low demand, Rationalization of the product range in line with the market
</t>
  </si>
  <si>
    <t>PCN-SF-253-2020</t>
  </si>
  <si>
    <t>Sfernice CN1579 &amp; CN1581 Obsolescence</t>
  </si>
  <si>
    <t>CN1579 &amp; CN1581</t>
  </si>
  <si>
    <t xml:space="preserve"> Low demand, Rationalization of the product range for industrial efficiency.
</t>
  </si>
  <si>
    <t>PCN-SF-268-2021</t>
  </si>
  <si>
    <t>https://www.vishay.com/quality/pcn-doc/PTN-SF-00268-2021-Rev-0/PTN%20SF%20268%202021%20DIALS%2011%2018%2021%20-%20BLACK%20CHROME%20FINISHING-%20EOL.pdf/</t>
  </si>
  <si>
    <t>PTN SF 268 2021 DIALS 11 18 21 - BLACK CHROME FINISHING- EOL</t>
  </si>
  <si>
    <t>21A21B10  11A21B10 18A21B10 18A21B1031812</t>
  </si>
  <si>
    <t xml:space="preserve">REACH compliance
</t>
  </si>
  <si>
    <t>PCN-SF-266-2021</t>
  </si>
  <si>
    <t>TRIMMERS</t>
  </si>
  <si>
    <t>Vishay Sfernice,Vishay Spectrol&gt;</t>
  </si>
  <si>
    <t>Discontinuation of Multi-Turn wirewound Trimmers of Sfernice / Spectrol 012S, 176S, 015S</t>
  </si>
  <si>
    <t>015S-203, 176S-203</t>
  </si>
  <si>
    <t xml:space="preserve">REASON FOR CHANGE High decreasing demand for more than 5 years
</t>
  </si>
  <si>
    <t>PCN-SF-273-2021</t>
  </si>
  <si>
    <t>https://www.vishay.com/quality/pcn-doc/PTN-SF-273-2021-REV-0/PTN-SF-273-2021-REV-0.pdf/</t>
  </si>
  <si>
    <t>RESISTORS,FIXED,CUSTOM RESISTORS</t>
  </si>
  <si>
    <t>Discontinuation of SG3 series</t>
  </si>
  <si>
    <t>SG3100R0JR18, SG310R00JR18, SG3150R0JR18, SG315R00JR18, SG31R000JR18, SG3220R0JR18, SG32R200JR18, SG3330R0JR18, SG347R00JR18, SG36R800JR18, SG38R200JR18, SG3R1000JR18, SG3R1200JR18, SG3R3900JR18, SG3R5100JR18, SGKBP10371001JA23</t>
  </si>
  <si>
    <t xml:space="preserve">Equipment obsolescence and low business
</t>
  </si>
  <si>
    <t>PCN-SF-274-2021</t>
  </si>
  <si>
    <t>https://www.vishay.com/quality/pcn-doc/PTN-SF-274-2021-REV-0/PTN-SF-274-2021-REV-0.pdf/</t>
  </si>
  <si>
    <t>TRANSFORMERS,RHEOSTATS</t>
  </si>
  <si>
    <t>Vishay MCB&gt;</t>
  </si>
  <si>
    <t>REGU120I777002B, REGU60I777001B, SELF12KVA760779B, SELF30KVA760780B, TRCO669149B, TRCO771000B</t>
  </si>
  <si>
    <t>PCN-SF-275-2021</t>
  </si>
  <si>
    <t>https://www.vishay.com/quality/pcn-doc/PTN-SF-275-2021-REV-0/PTN-SF-275-2021-REV-0.pdf/</t>
  </si>
  <si>
    <t>Discontinuation of MSP1C and MSP2C series</t>
  </si>
  <si>
    <t>MSP1C10001FER10E3, MSP2C100R0FHR10E3, MSP2C16201FET20E3, MSP2C16201FHR10E3, MSP2C360R0FHT20E3, MSP2C47501FET20E3, MSP2C47501FHR10E3, MSP2C634R0FHT20E3, MSP2C649R0FHT20E3, MSP2C665R0FHT20E3, MSP2C94201FER10E3</t>
  </si>
  <si>
    <t>PCN-SF-278-2021</t>
  </si>
  <si>
    <t>https://www.vishay.com/quality/pcn-doc/PTN-SF-278-2021-REV-0/PTN-SF-278-2021-REV-0.pdf/</t>
  </si>
  <si>
    <t>Obsolescence. Sfernice Metal Film Resistor RCMX.</t>
  </si>
  <si>
    <t>RCMX0210003FHA20, RCMX0210003FHS14, RCMX0210003JHS14, RCMX0210004FHS14, RCMX0210004JHA20, RCMX0210004JHS14, RCMX0210703FHS14, RCMX0212003JHS14, RCMX0212703FHS14, RCMX0214003FHS14, RCMX0214703FHS14, RCMX0215003FHS14, RCMX0215003JHS14, RCMX0216503FHS14, RCMX0218203FHS14, RCMX0220003FHS14, RCMX0221503FHS14, RCMX0222003FHS14, RCMX0222003JHS14, RCMX0222103FHS14, RCMX0222603FHS14, RCMX0223203FHS14, RCMX0226103FHS14, RCMX0230103FHS14, RCMX0231602FHS14, RCMX0233003FHS14, RCMX0233202FHS14, RCMX0233203FHS14, RCMX0235702FHA20, RCMX0238302FHS14, RCMX0239202FHA22, RCMX0239202FHS14, RCMX0240202FHS14, RCMX0240203FHS14, RCMX0242202FHA20, RCMX0245302FHS14, RCMX0246402FHS14, RCMX0246403FHS14, RCMX0247002JHS14, RCMX0247003FHA20, RCMX0247003JHS14, RCMX0247502FHS14, RCMX0247503FHA20, RCMX0247503FHS14, RCMX0248702FHS14, RCMX0249902FHA20, RCMX0249902FHS14, RCMX0249903FHS14, RCMX0251003JHS14, RCMX0251102FHS14, RCMX0253602FHS14, RCMX0253603FHS14, RCMX0254902FHA20, RCMX0256002JHS14, RCMX0256202FHS14, RCMX0257602FHS14, RCMX0259002FHS14, RCMX0260402FHS14, RCMX0261902FHS14, RCMX0263402FHS14, RCMX0264902FHS14, RCMX0266502FHS14, RCMX0268002JHS14, RCMX0268003JHS14, RCMX0268102FHS14, RCMX0268103FHS14, RCMX0269802FHS14, RCMX0270003FHS14, RCMX0271502FHS14, RCMX0273202FHS14, RCMX0275002FHS14, RCMX0275003FHS14, RCMX0282002JHS14, RCMX0282502FHS14, RCMX0282503FHS14, RCMX0290003FHS14, RCMX0510003FHS14, RCMX0510004FHA20, RCMX0510004FHS00, RCMX0510004FHS14, RCMX0510004JHS00, RCMX0510004JHS14, RCMX0511003FHS00, RCMX0512103FHS14, RCMX0512703FHS00, RCMX0513304FHS14, RCMX0513703FHS14, RCMX0514004FHS00, RCMX0514704FHS00, RCMX0515003FHS00, RCMX0515004FHS00, RCMX0515004JHS00, RCMX0517803FHS00, RCMX0518203FHS00, RCMX0518703FHS14, RCMX0519603FHA20, RCMX0520003FHS00, RCMX0520003JHA20, RCMX0520003JHS00, RCMX0520004FHS00, RCMX0520004FHS14, RCMX0522103FHA20, RCMX0522103FHS00, RCMX0522103FHS14, RCMX0524903FHS00, RCMX0526103FHS00, RCMX0527003FHS00, RCMX0527003JHS00, RCMX0530103FHA20, RCMX0530103FHS00, RCMX0530103FHS14, RCMX0533203FHS00, RCMX0534803FHA20, RCMX0536503FHS14, RCMX0546403FHS00, RCMX0547003FHS00, RCMX0547003FHS14, RCMX0547003JHS00, RCMX0547003JHS14, RCMX0547503FHS00, RCMX0547503FHS14, RCMX0549903FHS00, RCMX0549903FHS14, RCMX0551103FHS00, RCMX0552303FHS00, RCMX0553603FHS00, RCMX0554903FHS00, RCMX0556003JHS00, RCMX0556203FHS00, RCMX0562003JHS14, RCMX0568103FHS00, RCMX0568103FHS14, RCMX0575003FHS00, RCMX0582003FHS14, RCMX0595303FHS00, RCMX0597603FHS00, RCMX0597603FHS14, RCMX1010004FHA20, RCMX1010004FHS00, RCMX1010004FHS09, RCMX1010004JHS00, RCMX1015004FHS00, RCMX1015004JHS09, RCMX1020003FHS00, RCMX1020003JHA20, RCMX1020004FHS00, RCMX1022604FHS00, RCMX1025003FHS09, RCMX1031604FHS09, RCMX1044203FHS09, RCMX1047003JHS09, RCMX1047004JHS00, RCMX1047503FHS09, RCMX1047504FHS00, RCMX1047504FHS09, RCMX1049904FHS00, RCMX1075003FHS00</t>
  </si>
  <si>
    <t xml:space="preserve">Decreasing demand
</t>
  </si>
  <si>
    <t>PCN-SF-280-2021</t>
  </si>
  <si>
    <t>https://www.vishay.com/quality/pcn-doc/PTN-SF-280-2021-REV-0/PTN-SF-280-2021-REV-0.pdf/</t>
  </si>
  <si>
    <t>Obsolescence. Sfernice Medium Power Resistors LTO very low values in 1% and 2% tolerances.</t>
  </si>
  <si>
    <t>LTO030FR0100FTE3, LTO030FR0150FTE3, LTO030FR0200FTE3, LTO030FR0220FTE3, LTO030FR0300FTE3, LTO030FR0500FTE3, LTO030FR0750FTE3, LTO030FR1000FTE3, LTO030FR1500FTE3, LTO030FR2000FTE3, LTO030FR2500FTE3, LTO030FR3300FTE3, LTO030FR4000FTE3, LTO030FR4700FTE3, LTO050FR0100FTE3, LTO050FR0200FTE3, LTO050FR0220FTE3, LTO050FR0500FTE3, LTO050FR0680FTE3, LTO050FR1000FTE3, LTO050FR1580FTE3, LTO050FR1620FTE3, LTO050FR4700FTE3, LTO050FR5000FTE3, LTO100FR0150FTE3, LTO100FR0500FTE3, LTO100FR1000FTE3, LTO100FR1500FTE3</t>
  </si>
  <si>
    <t xml:space="preserve">Raw Material issues. Below listed low values in 1% and 2% cannot be manufactured anymore. LBOs are not
</t>
  </si>
  <si>
    <t>PCN-SF-286-2022</t>
  </si>
  <si>
    <t>https://www.vishay.com/quality/pcn-doc/PTN-SF-286-2022-REV-0/PTN-SF-286-2022-REV-0.pdf/</t>
  </si>
  <si>
    <t>Obsolescence. Molded and Insulated Wirewound Power Resistors Axial Leads. 
BSI series, size 58 / 68 / 516 / 523 / 923 / 932 / 947</t>
  </si>
  <si>
    <t>, BSI05810R00JA00, BSI0581R000FA00, BSI0581R000JA00, BSI0581R600JA00, BSI058330R0JA00, BSI058470R0JA00, BSI05880R60DA00, BSI058R1000FA00, BSI058R3300FR26, BSI058R3400FA00, BSI058R5100FA00, BSI058R7500JA00, BSI0681R000FR17, BSI06822R00FA18, BSI06824000FA18, BSI068250R1JA18, BSI068300R0JR17, BSI06833R00FA18, BSI0684R990FR17, BSI0686R650DA18, BSI068R0100JR17, BSI068R0200FR17, BSI068R1000JA18, BSI068R1000JR17, BSI068R1500FA18, BSI068R2000GR17, BSI516R0100GA18, BSI516R0100JA18, BSI516R0160JA18, BSI523150R0FA18, BSI52370000JA18, BSI92324000JB19, BSI9233R570FA15, BSI923500R0FB19, BSI923R0280FB19, BSI923R1000FB19, BSI932R0470FB19, BSI9471R500FB19, BSI9475R600FB19, BSI9475R900JB19, BSI947R1000GB19</t>
  </si>
  <si>
    <t xml:space="preserve">Equipment obsolescence and decreasing demand
</t>
  </si>
  <si>
    <t>PCN-SIL-00003-2008</t>
  </si>
  <si>
    <t>https://www.vishay.com/quality/pcn-doc/PCN-SIL-00003-2008-Rev-0/PCN-SIL-0032018%20Commercial%20LVM%20End%20of%20Life.pdf/</t>
  </si>
  <si>
    <t>See PCN for effected Parts List</t>
  </si>
  <si>
    <t>PCN-SIL-00015-2008</t>
  </si>
  <si>
    <t>https://www.vishay.com/quality/pcn-doc/PCN-SIL-00015-2008-Rev-0/PCN-SIL-0152018%20Commercial%20LVM%20End%20of%20Life%20rev1.pdf/</t>
  </si>
  <si>
    <t>PCN-SIL-00016-2017</t>
  </si>
  <si>
    <t>https://www.vishay.com/quality/pcn-doc/PCN-SIL-00016-2017-Rev-0/PCN-SIL-0162017%20Commercial%20LVM%20End%20of%20Life.pdf/</t>
  </si>
  <si>
    <t>Please see PCN for effected part numbers</t>
  </si>
  <si>
    <t>PCN-SIL-00017-2019</t>
  </si>
  <si>
    <t>https://www.vishay.com/quality/pcn-doc/PCN-SIL-00017-2019-Rev-0/PCN%20SIL-0172019%20EOL%20V50383-E3.pdf/</t>
  </si>
  <si>
    <t>Obsolescence of Commercial Power MOSFETs</t>
  </si>
  <si>
    <t>V50383-E3</t>
  </si>
  <si>
    <t>PCN-SIL-00018-2019</t>
  </si>
  <si>
    <t>https://www.vishay.com/quality/pcn-doc/PCN-SIL-00018-2019-Rev-0/PCN%20SIL-0182019%20EOL%20V961-0007-E3.pdf/</t>
  </si>
  <si>
    <t>PCN-SIL-000407-2020</t>
  </si>
  <si>
    <t>https://www.vishay.com/quality/pcn-doc/PCN-SIL-000407-2020-REV-0/PCN-SIL-000407-2020-REV-0.pdf/</t>
  </si>
  <si>
    <t>MICROBUCK® - VOLTAGE REGULATOR</t>
  </si>
  <si>
    <t>End of Life Notification for Vishay Siliconix SIC414 and SIC424 ICs</t>
  </si>
  <si>
    <t>SIC414CD-T1-GE3, SIC424CD-T1-GE3</t>
  </si>
  <si>
    <t xml:space="preserve">Obsolescence of Assembly
</t>
  </si>
  <si>
    <t>PCN-SIL-000413-2021</t>
  </si>
  <si>
    <t>https://www.vishay.com/quality/pcn-doc/PCN-SIL-000413-2021-REV-0/PCN-SIL-000413-2021-REV-0.pdf/</t>
  </si>
  <si>
    <t>ANALOG SWITCHES AND MULTIPLEXERS</t>
  </si>
  <si>
    <t>Vishay Siliconix announces the end of life of PDIP14 Analog Switches</t>
  </si>
  <si>
    <t>DG200BDJ-E3, DG300BDJ-E3, DG301BDJ-E3, DG302BDJ-E3, DG303BDJ-E3, DG304BDJ-E3, DG307BDJ-E3, DG381BDJ-E3, DG387BDJ-E3</t>
  </si>
  <si>
    <t xml:space="preserve">No more assembly capacity
</t>
  </si>
  <si>
    <t>PCN-SIL-003-2021</t>
  </si>
  <si>
    <t>https://www.vishay.com/quality/pcn-doc/PCN-SIL-003-2021-REV-0/PCN-SIL-003-2021-REV-0.pdf/</t>
  </si>
  <si>
    <t>Conversion to Cu Wire – SQS423EN</t>
  </si>
  <si>
    <t xml:space="preserve">Standardization of materials
</t>
  </si>
  <si>
    <t>PCN-SIL-00404-2020</t>
  </si>
  <si>
    <t>https://www.vishay.com/quality/pcn-doc/PCN-SIL-00404-2020-Rev-0/PCN-SIL-4042020_Obs_PDIP18-20-28.pdf/</t>
  </si>
  <si>
    <t>End of Life Notification for Vishay Siliconix PDIP18, PDIP20 and PDIP28 Analog Switch ICs</t>
  </si>
  <si>
    <t>DG428DJ-E3 DG429DJ-E3 DG333ADJ-E3 DG333ALDJ-E3 DG406BDJ-E3 DG406DJ-E3 DG407BDJ-E3 DG407DJ-E3</t>
  </si>
  <si>
    <t>Obsolescence of Assembly</t>
  </si>
  <si>
    <t>PCN-SIL-00408-2017</t>
  </si>
  <si>
    <t>https://www.vishay.com/quality/pcn-doc/PCN-SIL-00408-2017-Rev-0/PCN-SIL-4082017%20EOL_SCLA_LICs.pdf/</t>
  </si>
  <si>
    <t>End of Life Notification for few Vishay Siliconix Analog ICs</t>
  </si>
  <si>
    <t>Analog switches from Santa Clara Fab and Leaded part. See list attached to PCN</t>
  </si>
  <si>
    <t>Closure of Fab Facility in Santa Clara, CA</t>
  </si>
  <si>
    <t>PCN-SIL-013-2021</t>
  </si>
  <si>
    <t>https://www.vishay.com/quality/pcn-doc/PCN-SIL-013-2021-REV-0/PCN-SIL-013-2021-REV-0-VERSION-2403.pdf/</t>
  </si>
  <si>
    <t>Conversion to Cu Wire – SQS401EN</t>
  </si>
  <si>
    <t>PCN-SIL-014-2021</t>
  </si>
  <si>
    <t>https://www.vishay.com/quality/pcn-doc/PCN-SIL-014-2021-REV-0/PCN-SIL-014-2021-REV-0.pdf/</t>
  </si>
  <si>
    <t>Conversion to Cu Wire – SQS401ENW</t>
  </si>
  <si>
    <t>PCN-SIL-020-2021</t>
  </si>
  <si>
    <t>https://www.vishay.com/quality/pcn-doc/PCN-SIL-020-2021-REV-0/PCN-SIL-020-2021-REV-0.pdf/</t>
  </si>
  <si>
    <t>Product Obsolescence - SQJ912AEP</t>
  </si>
  <si>
    <t>SQJ912AEP-T1_BE3, SQJ912AEP-T1_GE3, SQJ912AEP-T2_GE3</t>
  </si>
  <si>
    <t>PCN-SIL-030-2021</t>
  </si>
  <si>
    <t>https://www.vishay.com/quality/pcn-doc/PCN-SIL-030-2021-REV-0/PCN-SIL-030-2021-REV-0.pdf/</t>
  </si>
  <si>
    <t>Conversion to Copper (Cu) Wire – SQ7415AENW</t>
  </si>
  <si>
    <t>PCN-SIL-032-2021</t>
  </si>
  <si>
    <t>https://www.vishay.com/quality/pcn-doc/PCN-SIL-032-2021-REV-0/PCN-SIL-032-2021-REV-0.pdf/</t>
  </si>
  <si>
    <t>Conversion to Copper (Cu) Wire – SQ7415AEN</t>
  </si>
  <si>
    <t>SQ7415AEN-T1_BE3, SQ7415AEN-T1_GE3</t>
  </si>
  <si>
    <t xml:space="preserve"> Standardization of materials
</t>
  </si>
  <si>
    <t>PCN-SIL-035-2021</t>
  </si>
  <si>
    <t>https://www.vishay.com/quality/pcn-doc/PCN-SIL-035-2021-REV-0/PCN-SIL-035-2021-REV-0.pdf/</t>
  </si>
  <si>
    <t>End of Life Notification - SQP TO-220 Package</t>
  </si>
  <si>
    <t>SQP100N04-3M6_GE3, SQP100P06-9M3L_GE3, SQP10250E_GE3, SQP120N06-06_GE3, SQP120N06-3M5L_GE3, SQP120N06-6M7_GE3, SQP120N10-09_GE3, SQP120N10-3M8_GE3, SQP120P06-6M7L_GE3, SQP25N15-52_GE3, SQP50N06-09L_GE3, SQP50P03-07_GE3, SQP60N06-15_GE3, SQP90142E_GE3, SQP90P06-07L_GE3</t>
  </si>
  <si>
    <t xml:space="preserve">End of Life to TO-220 Package
</t>
  </si>
  <si>
    <t>PCN-SIL-036-2021</t>
  </si>
  <si>
    <t>https://www.vishay.com/quality/pcn-doc/PCN-SIL-036-2021-REV-0/PCN-SIL-036-2021-REV-0.pdf/</t>
  </si>
  <si>
    <t>End of Life Notification - SQV TO-262 Package</t>
  </si>
  <si>
    <t>SQV120N06-4M7L_GE3, SQV120N10-3M8_GE3</t>
  </si>
  <si>
    <t xml:space="preserve">End of Life to TO-262 Package
</t>
  </si>
  <si>
    <t>PCN-SIL-041-2020</t>
  </si>
  <si>
    <t>https://www.vishay.com/quality/pcn-doc/PCN-SIL-041-2020-REV-0/PCN-SIL-041-2020-REV-0.pdf/</t>
  </si>
  <si>
    <t>MOSFETS, AUTOMOTIVE</t>
  </si>
  <si>
    <t>Conversion to Copper (Cu) Wire – SQ4946AEY</t>
  </si>
  <si>
    <t>SQ4946AEY-T1_GE3</t>
  </si>
  <si>
    <t>PCN-TC-005-2018</t>
  </si>
  <si>
    <t>https://www.vishay.com/quality/pcn-doc/PTN-TC-00005-2018-Rev-0/PTN%20TC005-2018_CT9.pdf/</t>
  </si>
  <si>
    <t>Discontinuation of Wet Tantalum Capacitors Silver Case , CT9 style</t>
  </si>
  <si>
    <t>series, all case sizes, all part numbers</t>
  </si>
  <si>
    <t>The ongoing sales of these technology products has declined. The cost of dedicating and maintaining this product line is no longer cost effective based on market demand.</t>
  </si>
  <si>
    <t>PCN-TC-007-2017</t>
  </si>
  <si>
    <t>https://www.vishay.com/quality/pcn-doc/PTN-TC-00007-2017-Rev-0/PTN%20TC007-2017_TerminationOfNiobium.pdf/</t>
  </si>
  <si>
    <t>Vishay Polytech&gt;</t>
  </si>
  <si>
    <t>Discontinuation of Solid Chip Capacitors based on Niobium Technology</t>
  </si>
  <si>
    <t>All NMC, NMCU and TMCN Part Numbers in all case _x000D_
sizes.</t>
  </si>
  <si>
    <t>The ongoing sales of these Niobium technology products has declined. The cost of dedicating and maintaining this product line is no longer cost effective based on market demand.</t>
  </si>
  <si>
    <t>PCN-TC-008-2017</t>
  </si>
  <si>
    <t>https://www.vishay.com/quality/pcn-doc/PTN-TC-00008-2017-Rev-0/PTN%20TC008-2017.pdf/</t>
  </si>
  <si>
    <t>Discontinuation of wet tantalum 640D array series</t>
  </si>
  <si>
    <t>All 640D</t>
  </si>
  <si>
    <t xml:space="preserve"> The cost of dedicating and maintaining this product styles/series
</t>
  </si>
  <si>
    <t>PCN-TC-012-2017</t>
  </si>
  <si>
    <t>https://www.vishay.com/quality/pcn-doc/PTN-TC-00012-2017-Rev-0/PTN%20TC012-2017.pdf/</t>
  </si>
  <si>
    <t>Discontinuation of Fused Molded Chip Capacitors</t>
  </si>
  <si>
    <t>All 893D, TF3 and T86 Part Numbers in all case _x000D_
sizes.</t>
  </si>
  <si>
    <t xml:space="preserve">The ongoing sales of these technology products has declined. The cost of
</t>
  </si>
  <si>
    <t>PCN-TF-00001-20171</t>
  </si>
  <si>
    <t>Vishay Dale Thin Film&gt;</t>
  </si>
  <si>
    <t>QPL MIL-PRF-55342 Qualified tantalum nitride  Thin Film Resistor, Surface Mount Chip</t>
  </si>
  <si>
    <t>M/D55342 (QPL) Tantalum Nitride thin film resistors only; Tamelox M/D55342 (QPL) Not affected by this notice</t>
  </si>
  <si>
    <t xml:space="preserve"> Lack of market demand and the obsolescence of the ceramic raw material
</t>
  </si>
  <si>
    <t>Catégorie</t>
  </si>
  <si>
    <t>Date du DPN</t>
  </si>
  <si>
    <t>Nom du PDN</t>
  </si>
  <si>
    <t xml:space="preserve">: March 18 th , 2020 Please note that orders are NCNR
</t>
  </si>
  <si>
    <t xml:space="preserve">: September 18 th , 2020
</t>
  </si>
  <si>
    <t xml:space="preserve">: Vishay Draloric </t>
  </si>
  <si>
    <t xml:space="preserve"> Beyschlag Resistors </t>
  </si>
  <si>
    <t xml:space="preserve"> September 19 th , 2019</t>
  </si>
  <si>
    <t xml:space="preserve">    : 31st January 2011
</t>
  </si>
  <si>
    <t xml:space="preserve">  : 31st March 2011
</t>
  </si>
  <si>
    <t xml:space="preserve">: Unviable and non profitable manufacturing due to low market demand
</t>
  </si>
  <si>
    <t xml:space="preserve">: Draloric </t>
  </si>
  <si>
    <t xml:space="preserve"> September 27, 2010 </t>
  </si>
  <si>
    <t xml:space="preserve">: April 1, 2021
</t>
  </si>
  <si>
    <t xml:space="preserve">: October 1, 2021
</t>
  </si>
  <si>
    <t xml:space="preserve">: Low sales numbers and availability of more modern alternatives
</t>
  </si>
  <si>
    <t>: Aluminum Capacitors</t>
  </si>
  <si>
    <t>Oct. 2, 2020</t>
  </si>
  <si>
    <t>AC-00002-2020</t>
  </si>
  <si>
    <t xml:space="preserve">:    31 st January 2020
</t>
  </si>
  <si>
    <t xml:space="preserve">:  30 th April 2020
</t>
  </si>
  <si>
    <t>Aug 1, 2019</t>
  </si>
  <si>
    <t xml:space="preserve">: 30 th April 2020
</t>
  </si>
  <si>
    <t>August 1, 2019</t>
  </si>
  <si>
    <t xml:space="preserve">: Not possible
</t>
  </si>
  <si>
    <t xml:space="preserve">:  End Of Life of raw materials
</t>
  </si>
  <si>
    <t>: Vishay Specialty Passives</t>
  </si>
  <si>
    <t>CC and NLR</t>
  </si>
  <si>
    <t>July 13th, 2016</t>
  </si>
  <si>
    <t xml:space="preserve">:  September 30, 2016
</t>
  </si>
  <si>
    <t xml:space="preserve">:  December 31, 2016
</t>
  </si>
  <si>
    <t xml:space="preserve">:  Very low demand. Rarely used
</t>
  </si>
  <si>
    <t>: Draloric</t>
  </si>
  <si>
    <t xml:space="preserve">Beyschlag  Resistors </t>
  </si>
  <si>
    <t>June 15, 2016</t>
  </si>
  <si>
    <t xml:space="preserve">:  December 31st 2018
</t>
  </si>
  <si>
    <t xml:space="preserve">:  June 30th 2019
</t>
  </si>
  <si>
    <t xml:space="preserve">:  Lack of market demand.
</t>
  </si>
  <si>
    <t>June,20th, 2018</t>
  </si>
  <si>
    <t xml:space="preserve">: June 30th 2016, a limited quantity of 486 pcs maximum.
</t>
  </si>
  <si>
    <t xml:space="preserve">: September 30th 2016
</t>
  </si>
  <si>
    <t xml:space="preserve">:  Auxiliary material, mounting bracket has been obsoleted.
</t>
  </si>
  <si>
    <t>March 3rd, 2016</t>
  </si>
  <si>
    <t xml:space="preserve">:     31st December 2009
</t>
  </si>
  <si>
    <t xml:space="preserve">:  31st March 2010
</t>
  </si>
  <si>
    <t xml:space="preserve">: Optimisation of leaded fixed film resistors portfolio by withdrawing unprofitable
</t>
  </si>
  <si>
    <t>November 11, 2009</t>
  </si>
  <si>
    <t xml:space="preserve">:     23rd May 2010
</t>
  </si>
  <si>
    <t xml:space="preserve">:  23rd November 2010
</t>
  </si>
  <si>
    <t xml:space="preserve">: Optimisation of leaded fixed film resistors portfolio.
</t>
  </si>
  <si>
    <t>November 23, 2009</t>
  </si>
  <si>
    <t xml:space="preserve">: 30.06.2010
</t>
  </si>
  <si>
    <t xml:space="preserve">: 30.09.2010
</t>
  </si>
  <si>
    <t xml:space="preserve">:  Low business volume
</t>
  </si>
  <si>
    <t>Beyschlag Resistors</t>
  </si>
  <si>
    <t>November 26, 2009</t>
  </si>
  <si>
    <t xml:space="preserve">:  May 1st 2019
</t>
  </si>
  <si>
    <t xml:space="preserve">:  July 31th 2019
</t>
  </si>
  <si>
    <t>: Vishay Passives</t>
  </si>
  <si>
    <t>November,14th, 2018</t>
  </si>
  <si>
    <t xml:space="preserve">: 15th Dec 2010
</t>
  </si>
  <si>
    <t xml:space="preserve">: 15th Feb 2011
</t>
  </si>
  <si>
    <t xml:space="preserve">: Withdrawal of coating raw material due to environmental reasons. The new
</t>
  </si>
  <si>
    <t>October 13, 2010</t>
  </si>
  <si>
    <t xml:space="preserve">:  November 1st 2019
</t>
  </si>
  <si>
    <t xml:space="preserve">:  December 31st 2019
</t>
  </si>
  <si>
    <t xml:space="preserve">:  Lack of market demand and the obsolescence of the ceramic raw material
</t>
  </si>
  <si>
    <t>October,2nd, 2019</t>
  </si>
  <si>
    <t xml:space="preserve">: 09-AUG-2010
</t>
  </si>
  <si>
    <t xml:space="preserve">:17-JAN-2011
</t>
  </si>
  <si>
    <t xml:space="preserve">: State of the art are Al-based metal core PCB's for power LED application.
</t>
  </si>
  <si>
    <t xml:space="preserve">: Opto Modules &amp; Visibles      14-JUL-2010 </t>
  </si>
  <si>
    <t xml:space="preserve">PCN - OMV-414-2010 </t>
  </si>
  <si>
    <t xml:space="preserve">: Termination of TO-247AC 80mil LF product
</t>
  </si>
  <si>
    <t>: Vishay Siliconix</t>
  </si>
  <si>
    <t>October 01, 2019</t>
  </si>
  <si>
    <t>PCN SIL-0172019</t>
  </si>
  <si>
    <t xml:space="preserve">: Termination of TO-247AC product at Xi’an manufacturing
</t>
  </si>
  <si>
    <t>November 22, 2019</t>
  </si>
  <si>
    <t>PCN SIL-0182019</t>
  </si>
  <si>
    <t xml:space="preserve">:  December 31 st , 2017
</t>
  </si>
  <si>
    <t xml:space="preserve">:  June 30 th 2018
</t>
  </si>
  <si>
    <t xml:space="preserve">:  The ongoing sales of these Niobium technology products has declined. The
</t>
  </si>
  <si>
    <t>: TC 29-June-2017</t>
  </si>
  <si>
    <t>PCN- TC 007-2017</t>
  </si>
  <si>
    <t xml:space="preserve">: June 30th, 2016
</t>
  </si>
  <si>
    <t xml:space="preserve">:  Market for these series has become too small to continue production.
</t>
  </si>
  <si>
    <t>June-30-2015</t>
  </si>
  <si>
    <t xml:space="preserve">: February 28th, 2011
</t>
  </si>
  <si>
    <t xml:space="preserve">: June 12th, 2011
</t>
  </si>
  <si>
    <t xml:space="preserve">:  Insufficient demand
</t>
  </si>
  <si>
    <t>August 24t h , 2010</t>
  </si>
  <si>
    <t xml:space="preserve">: n/a
</t>
  </si>
  <si>
    <t xml:space="preserve">: Poor availability of key raw materials.
</t>
  </si>
  <si>
    <t>: Aluminum Capacitors Jun. 6 th , 2019</t>
  </si>
  <si>
    <t xml:space="preserve">: April 30 th , 2021
</t>
  </si>
  <si>
    <t xml:space="preserve">: August 31 st , 2021
</t>
  </si>
  <si>
    <t xml:space="preserve">: Poor availability of key raw materials and low market demand
</t>
  </si>
  <si>
    <t>: Aluminum Capacitors June 2 nd , 2020</t>
  </si>
  <si>
    <t xml:space="preserve">: March 31 th , 2021
</t>
  </si>
  <si>
    <t xml:space="preserve">: December 31 th , 2021
</t>
  </si>
  <si>
    <t>: Aluminum Capacitors Feb. 23 th , 2021</t>
  </si>
  <si>
    <t xml:space="preserve">: Poor availability of key raw materials
</t>
  </si>
  <si>
    <t>: Aluminum Capacitors Aug. 14 th , 2019</t>
  </si>
  <si>
    <t xml:space="preserve">:  Low demand over the past 3 years
</t>
  </si>
  <si>
    <t>Dec-15-2011</t>
  </si>
  <si>
    <t xml:space="preserve">: 31 st of August, 2018
</t>
  </si>
  <si>
    <t xml:space="preserve">: 28 th of Feber, 2019
</t>
  </si>
  <si>
    <t xml:space="preserve">: Aluminum Capacitors </t>
  </si>
  <si>
    <t xml:space="preserve"> Feb. 28 th , 2018</t>
  </si>
  <si>
    <t>PCN-AC-501-2018</t>
  </si>
  <si>
    <t xml:space="preserve">: June 30 th , 2013
</t>
  </si>
  <si>
    <t xml:space="preserve">: July 31 st , 2013
</t>
  </si>
  <si>
    <t xml:space="preserve"> : Low market demand
</t>
  </si>
  <si>
    <t>March 26 th , 2013</t>
  </si>
  <si>
    <t xml:space="preserve">: December 31 st , 2014
</t>
  </si>
  <si>
    <t xml:space="preserve">: January 31 st , 2015
</t>
  </si>
  <si>
    <t>June 25 th , 2014</t>
  </si>
  <si>
    <t xml:space="preserve">: 31.12.2016
</t>
  </si>
  <si>
    <t xml:space="preserve">: 31.01.2017
</t>
  </si>
  <si>
    <t xml:space="preserve">: Low market demand and no further material availability
</t>
  </si>
  <si>
    <t xml:space="preserve"> June 27 th , 2016</t>
  </si>
  <si>
    <t xml:space="preserve"> : December 31 st , 2010
</t>
  </si>
  <si>
    <t xml:space="preserve"> : January 31 st , 2011
</t>
  </si>
  <si>
    <t>Sept-21-2010</t>
  </si>
  <si>
    <t xml:space="preserve"> : July 29 th , 2011
</t>
  </si>
  <si>
    <t xml:space="preserve"> : September 30 th , 2011
</t>
  </si>
  <si>
    <t xml:space="preserve"> : No market demand
</t>
  </si>
  <si>
    <t>April-05-2011</t>
  </si>
  <si>
    <t xml:space="preserve"> : Insufficient market demand
</t>
  </si>
  <si>
    <t xml:space="preserve">: December 17 th , 2011
</t>
  </si>
  <si>
    <t xml:space="preserve">:  December 30 th , 2011
</t>
  </si>
  <si>
    <t>September 19 th , 2011</t>
  </si>
  <si>
    <t xml:space="preserve">: June 17 th , 2011
</t>
  </si>
  <si>
    <t xml:space="preserve">: July  29 th , 2011
</t>
  </si>
  <si>
    <t xml:space="preserve"> : Standardization.
</t>
  </si>
  <si>
    <t>December 6 th , 2010</t>
  </si>
  <si>
    <t xml:space="preserve">: November 30 th , 2011
</t>
  </si>
  <si>
    <t xml:space="preserve"> : January 31 st , 2012
</t>
  </si>
  <si>
    <t xml:space="preserve"> : June 30 th , 2012
</t>
  </si>
  <si>
    <t>Oct-20-2011</t>
  </si>
  <si>
    <t xml:space="preserve"> : October 29 th , 2010
</t>
  </si>
  <si>
    <t xml:space="preserve"> : December 23 rd , 2010
</t>
  </si>
  <si>
    <t xml:space="preserve"> : The automotive crash of 2008/09 was the major contributor to
</t>
  </si>
  <si>
    <t>March-25-2010</t>
  </si>
  <si>
    <t xml:space="preserve"> : N/A
</t>
  </si>
  <si>
    <t xml:space="preserve"> : Partnumber correction
</t>
  </si>
  <si>
    <t>April-06-2011</t>
  </si>
  <si>
    <t xml:space="preserve"> : April-18-2012
</t>
  </si>
  <si>
    <t xml:space="preserve"> : October-15-2012
</t>
  </si>
  <si>
    <t xml:space="preserve"> : Raw material obsolescence
</t>
  </si>
  <si>
    <t>April-11-2012</t>
  </si>
  <si>
    <t xml:space="preserve">:  May/15/2016
</t>
  </si>
  <si>
    <t xml:space="preserve">:  Dec/31/2016
</t>
  </si>
  <si>
    <t xml:space="preserve">:  Market demand – material availability. Products marked as “not for new
</t>
  </si>
  <si>
    <t>: Aluminum Capacitor</t>
  </si>
  <si>
    <t>2016-Mar-13</t>
  </si>
  <si>
    <t xml:space="preserve"> : October 1 st , 2010
</t>
  </si>
  <si>
    <t xml:space="preserve"> : December 3 rd , 2010
</t>
  </si>
  <si>
    <t>April-07-2010</t>
  </si>
  <si>
    <t xml:space="preserve"> : October-01-2012
</t>
  </si>
  <si>
    <t xml:space="preserve"> : February-28-2013
</t>
  </si>
  <si>
    <t>July-02-2012</t>
  </si>
  <si>
    <t xml:space="preserve">:  Jul/02/2016
</t>
  </si>
  <si>
    <t xml:space="preserve">:  Market demand – material availability.
</t>
  </si>
  <si>
    <t>2016-Jun-02</t>
  </si>
  <si>
    <t xml:space="preserve"> : Product Obsolescence
</t>
  </si>
  <si>
    <t>May-13-2011</t>
  </si>
  <si>
    <t xml:space="preserve">: December 30th, 2016
</t>
  </si>
  <si>
    <t xml:space="preserve">:  No more availability of raw material. Tool to manufacture the disk used for this
</t>
  </si>
  <si>
    <t>Sep-30-2016</t>
  </si>
  <si>
    <t xml:space="preserve"> : Not applicable
</t>
  </si>
  <si>
    <t xml:space="preserve"> : No market demand on Pb containing lead plating constructions
</t>
  </si>
  <si>
    <t>Aug-20-2010</t>
  </si>
  <si>
    <t xml:space="preserve"> : August 31 th , 2010
</t>
  </si>
  <si>
    <t xml:space="preserve"> :
</t>
  </si>
  <si>
    <t>August-20-2010</t>
  </si>
  <si>
    <t xml:space="preserve"> : Not applicable, immediate termination of production
</t>
  </si>
  <si>
    <t xml:space="preserve"> : Not applicable, no inventory
</t>
  </si>
  <si>
    <t>Aug-24-2010</t>
  </si>
  <si>
    <t xml:space="preserve"> : November 26 th , 2010
</t>
  </si>
  <si>
    <t>Sep-01-2010</t>
  </si>
  <si>
    <t>Sep-17-2010</t>
  </si>
  <si>
    <t xml:space="preserve">: Basic material is no longer available, so the 1 kV S series (TCC NP0)
</t>
  </si>
  <si>
    <t xml:space="preserve">: Vishay Ceramic Capacitors </t>
  </si>
  <si>
    <t xml:space="preserve"> March 11, 2014</t>
  </si>
  <si>
    <t xml:space="preserve">:  01 Jan. 2011
</t>
  </si>
  <si>
    <t xml:space="preserve">:  28 Feb. 2011
</t>
  </si>
  <si>
    <t xml:space="preserve">:  EOL of powder from the supplier. Consolidation of Product Groups.
</t>
  </si>
  <si>
    <t xml:space="preserve">: Vishay CERAMIC CAPS Division </t>
  </si>
  <si>
    <t>July, 21 2010</t>
  </si>
  <si>
    <t xml:space="preserve">:  October 31, 2013
</t>
  </si>
  <si>
    <t xml:space="preserve">: December 31, 2013
</t>
  </si>
  <si>
    <t xml:space="preserve">: Basic material is no longer available, so the D series (TCC NP0) products
</t>
  </si>
  <si>
    <t xml:space="preserve"> July 01, 2013</t>
  </si>
  <si>
    <t xml:space="preserve">:  December 31, 2014
</t>
  </si>
  <si>
    <t xml:space="preserve">: March 31, 2015
</t>
  </si>
  <si>
    <t xml:space="preserve">: Due to low demand a cost efficient production of small single layer tubular
</t>
  </si>
  <si>
    <t xml:space="preserve"> September 30, 2014</t>
  </si>
  <si>
    <t xml:space="preserve">:  31 March 2010
</t>
  </si>
  <si>
    <t xml:space="preserve">:  30 May 2010
</t>
  </si>
  <si>
    <t xml:space="preserve">:  EOL of powder from the supplier. Consolidation of Product groups.
</t>
  </si>
  <si>
    <t>Oct., 28 2009</t>
  </si>
  <si>
    <t xml:space="preserve">: Thu Jun 30, 2022
</t>
  </si>
  <si>
    <t xml:space="preserve">: Unviable manufacturing due to low market demand and non availability of raw materials.
</t>
  </si>
  <si>
    <t>: DBR</t>
  </si>
  <si>
    <t>Mon Jun 28, 2021</t>
  </si>
  <si>
    <t xml:space="preserve">: Tue Feb 1, 2022
</t>
  </si>
  <si>
    <t xml:space="preserve">: Lack of market demand. Replacement TNPW e3 or MC series depending on customer requirement.
</t>
  </si>
  <si>
    <t>Wed Jul 28, 2021</t>
  </si>
  <si>
    <t>Wed Aug 4, 2021</t>
  </si>
  <si>
    <t xml:space="preserve">: Wed May 5, 2021
</t>
  </si>
  <si>
    <t>Tue Oct 27, 2020</t>
  </si>
  <si>
    <t xml:space="preserve">: Mon May 16, 2022
</t>
  </si>
  <si>
    <t xml:space="preserve">: Unviable manufacturing due to very low market demand. Choose 1000 pcs packaging option.
</t>
  </si>
  <si>
    <t>Wed Nov 10, 2021</t>
  </si>
  <si>
    <t xml:space="preserve">:                           April  30, 2011
</t>
  </si>
  <si>
    <t xml:space="preserve">:                  June 30, 2011
</t>
  </si>
  <si>
    <t xml:space="preserve">: Discontinuation due to low demand.
</t>
  </si>
  <si>
    <t>:            Draloric</t>
  </si>
  <si>
    <t xml:space="preserve">Beyschlag Resistors, November 1, 2010,      </t>
  </si>
  <si>
    <t>Beyschlag Resistors, November 1, 2010,     PCN-DBR-009-2010-Rev-0</t>
  </si>
  <si>
    <t xml:space="preserve">:  June 30, 2010
</t>
  </si>
  <si>
    <t xml:space="preserve">: September 30, 2010
</t>
  </si>
  <si>
    <t xml:space="preserve">Beyschlag Resistors, December 15, 2009, </t>
  </si>
  <si>
    <t>PCN-DBR-0352009</t>
  </si>
  <si>
    <t xml:space="preserve">:   August 27 th , 2012
</t>
  </si>
  <si>
    <t xml:space="preserve">:   March 1 st , 2013
</t>
  </si>
  <si>
    <t xml:space="preserve">:  Realignment of product nomenclature vs. Vishay standard
</t>
  </si>
  <si>
    <t xml:space="preserve">: Diodes </t>
  </si>
  <si>
    <t xml:space="preserve"> February 27th, 2012</t>
  </si>
  <si>
    <t xml:space="preserve">:  Portfolio Consolidation
</t>
  </si>
  <si>
    <t xml:space="preserve">:   July 13 th , 2015
</t>
  </si>
  <si>
    <t xml:space="preserve">:  January 18th, 2016
</t>
  </si>
  <si>
    <t xml:space="preserve">: DIODES </t>
  </si>
  <si>
    <t xml:space="preserve"> January 14 th , 2015</t>
  </si>
  <si>
    <t xml:space="preserve">:   September 03 rd , 2012
</t>
  </si>
  <si>
    <t xml:space="preserve">:   March 04 th , 2013
</t>
  </si>
  <si>
    <t xml:space="preserve">:  Harmonization of product portfolio
</t>
  </si>
  <si>
    <t xml:space="preserve"> March 05th, 2012</t>
  </si>
  <si>
    <t xml:space="preserve">:    May 5 th ,  2014
</t>
  </si>
  <si>
    <t xml:space="preserve">:   August 4 th , 2014
</t>
  </si>
  <si>
    <t xml:space="preserve"> February 3 rd , 2014</t>
  </si>
  <si>
    <t xml:space="preserve">: August 26, 2021
</t>
  </si>
  <si>
    <t xml:space="preserve">: February 26,2022
</t>
  </si>
  <si>
    <t xml:space="preserve">: Low sales
</t>
  </si>
  <si>
    <t xml:space="preserve">: Diodes Division </t>
  </si>
  <si>
    <t xml:space="preserve"> February 26, 2021</t>
  </si>
  <si>
    <t xml:space="preserve">:  September 19, 2016
</t>
  </si>
  <si>
    <t xml:space="preserve">:  March 20, 2017
</t>
  </si>
  <si>
    <t xml:space="preserve">:   Portfolio Consolidation
</t>
  </si>
  <si>
    <t xml:space="preserve"> March 21, 2016</t>
  </si>
  <si>
    <t xml:space="preserve">: July 31, 2019
</t>
  </si>
  <si>
    <t xml:space="preserve">: January 31, 2020
</t>
  </si>
  <si>
    <t xml:space="preserve">: Product Consolidation to offer only Halogen Free molding compound type for High
</t>
  </si>
  <si>
    <t xml:space="preserve"> January 31, 2019</t>
  </si>
  <si>
    <t xml:space="preserve">:   May 29 th ,  2015
</t>
  </si>
  <si>
    <t xml:space="preserve">:  August 28 th , 2015
</t>
  </si>
  <si>
    <t xml:space="preserve">:   Introduction of new generation of products
</t>
  </si>
  <si>
    <t xml:space="preserve"> February 27 th , 2015</t>
  </si>
  <si>
    <t xml:space="preserve">:   October 3,  2016
</t>
  </si>
  <si>
    <t xml:space="preserve">:  April 3, 2017
</t>
  </si>
  <si>
    <t xml:space="preserve">:   Product rationalization
</t>
  </si>
  <si>
    <t xml:space="preserve"> April 4, 2016</t>
  </si>
  <si>
    <t xml:space="preserve">:  September 27, 2017
</t>
  </si>
  <si>
    <t xml:space="preserve">: March 27, 2018
</t>
  </si>
  <si>
    <t xml:space="preserve">:  Raw material supplying issue
</t>
  </si>
  <si>
    <t xml:space="preserve"> March 27, 2017</t>
  </si>
  <si>
    <t xml:space="preserve">: September 23, 2018
</t>
  </si>
  <si>
    <t xml:space="preserve">: March 23, 2019
</t>
  </si>
  <si>
    <t xml:space="preserve"> March 23, 2018</t>
  </si>
  <si>
    <t xml:space="preserve">: September 12, 2019
</t>
  </si>
  <si>
    <t xml:space="preserve">: March 12, 2020
</t>
  </si>
  <si>
    <t xml:space="preserve">:   Discontinued supply of IGBT die
</t>
  </si>
  <si>
    <t xml:space="preserve"> March 12, 2019</t>
  </si>
  <si>
    <t xml:space="preserve">: October 15 st , 2012
</t>
  </si>
  <si>
    <t>: Diodes Division</t>
  </si>
  <si>
    <t xml:space="preserve"> Apr. 06 th , 2012</t>
  </si>
  <si>
    <t xml:space="preserve">:    January 20 th , 2014
</t>
  </si>
  <si>
    <t xml:space="preserve">:   July 21 st , 2014
</t>
  </si>
  <si>
    <t xml:space="preserve"> July 18 th , 2013</t>
  </si>
  <si>
    <t xml:space="preserve">:   September 4 th , 2015
</t>
  </si>
  <si>
    <t xml:space="preserve">:   March 4 th , 2016
</t>
  </si>
  <si>
    <t xml:space="preserve">:   Discontinuation of TO-220-2L INSULATED
</t>
  </si>
  <si>
    <t xml:space="preserve"> March 6 th , 2015</t>
  </si>
  <si>
    <t xml:space="preserve">:     October 15 th ,  2017
</t>
  </si>
  <si>
    <t xml:space="preserve">:   April 15 th ,  2018
</t>
  </si>
  <si>
    <t xml:space="preserve">:  Discontinued supply of the IGBT die
</t>
  </si>
  <si>
    <t xml:space="preserve"> April 21,2017</t>
  </si>
  <si>
    <t xml:space="preserve">:    July 27, 2018
</t>
  </si>
  <si>
    <t xml:space="preserve">:  October 26, 2018
</t>
  </si>
  <si>
    <t xml:space="preserve"> April 27, 2018</t>
  </si>
  <si>
    <t xml:space="preserve">: September 20, 2019
</t>
  </si>
  <si>
    <t xml:space="preserve">: March 20, 2020
</t>
  </si>
  <si>
    <t xml:space="preserve">: Low sales, Product portfolio optimization
</t>
  </si>
  <si>
    <t xml:space="preserve"> March 20, 2019</t>
  </si>
  <si>
    <t xml:space="preserve">: December 5, 2019
</t>
  </si>
  <si>
    <t xml:space="preserve">: June 5, 2020
</t>
  </si>
  <si>
    <t xml:space="preserve"> June 5, 2019</t>
  </si>
  <si>
    <t xml:space="preserve">: October 23, 2021
</t>
  </si>
  <si>
    <t xml:space="preserve">: April 23, 2022
</t>
  </si>
  <si>
    <t xml:space="preserve"> April 23, 2021</t>
  </si>
  <si>
    <t xml:space="preserve">:   November 2 nd , 2012
</t>
  </si>
  <si>
    <t xml:space="preserve">:  May 3 rd , 2013
</t>
  </si>
  <si>
    <t xml:space="preserve">: Vishay product portfolio rationalization.
</t>
  </si>
  <si>
    <t xml:space="preserve"> May 04 th , 2012</t>
  </si>
  <si>
    <t xml:space="preserve"> *:   February 17 th , 2014
</t>
  </si>
  <si>
    <t xml:space="preserve">:   August 18 th , 2014
</t>
  </si>
  <si>
    <t xml:space="preserve">:   Harmonization of product portfolio
</t>
  </si>
  <si>
    <t xml:space="preserve"> August 19th, 2013</t>
  </si>
  <si>
    <t xml:space="preserve">: January 10, 2017
</t>
  </si>
  <si>
    <t xml:space="preserve">: July 10, 2017
</t>
  </si>
  <si>
    <t xml:space="preserve">: Portfolio Consolidation
</t>
  </si>
  <si>
    <t xml:space="preserve"> June 28, 2016</t>
  </si>
  <si>
    <t xml:space="preserve">: Dec. 31 th 2012
</t>
  </si>
  <si>
    <t xml:space="preserve"> Jun. 25 th , 2012</t>
  </si>
  <si>
    <t xml:space="preserve"> Jul. 19 th , 2012</t>
  </si>
  <si>
    <t xml:space="preserve">:  September 31, 2015
</t>
  </si>
  <si>
    <t xml:space="preserve">:  March 31, 2016
</t>
  </si>
  <si>
    <t xml:space="preserve">:  Low Marketing Demand
</t>
  </si>
  <si>
    <t>April 01, 2015</t>
  </si>
  <si>
    <t xml:space="preserve">:  May 8, 2018
</t>
  </si>
  <si>
    <t xml:space="preserve">: November 8, 2018
</t>
  </si>
  <si>
    <t xml:space="preserve">:  Low Demand
</t>
  </si>
  <si>
    <t xml:space="preserve"> November 8, 2017</t>
  </si>
  <si>
    <t xml:space="preserve">: December 19, 2019
</t>
  </si>
  <si>
    <t xml:space="preserve">: June 19, 2020
</t>
  </si>
  <si>
    <t xml:space="preserve">:   Discontinued supply of IGBT dice
</t>
  </si>
  <si>
    <t xml:space="preserve"> June 19, 2019</t>
  </si>
  <si>
    <t xml:space="preserve">: January 9 th , 2022
</t>
  </si>
  <si>
    <t xml:space="preserve">: July 9 th , 2022
</t>
  </si>
  <si>
    <t xml:space="preserve">:   Discontinued supply of Mosfet die
</t>
  </si>
  <si>
    <t xml:space="preserve"> July 9 th , 2021</t>
  </si>
  <si>
    <t xml:space="preserve">:  June 5, 2018
</t>
  </si>
  <si>
    <t xml:space="preserve">:  December 5, 2018
</t>
  </si>
  <si>
    <t xml:space="preserve">:  Low sales, Product portfolio optimization
</t>
  </si>
  <si>
    <t xml:space="preserve"> December 5, 2017</t>
  </si>
  <si>
    <t xml:space="preserve">: January 18, 2020
</t>
  </si>
  <si>
    <t xml:space="preserve">: July 18, 2020
</t>
  </si>
  <si>
    <t xml:space="preserve">: Low / No sales, Portfolio Consolidation
</t>
  </si>
  <si>
    <t xml:space="preserve"> July 18, 2019</t>
  </si>
  <si>
    <t xml:space="preserve">:    January 30 th ,  2015
</t>
  </si>
  <si>
    <t xml:space="preserve">:  July 31 th , 2015
</t>
  </si>
  <si>
    <t xml:space="preserve">:  Product rationalization
</t>
  </si>
  <si>
    <t xml:space="preserve">:  Diodes </t>
  </si>
  <si>
    <t xml:space="preserve"> August 1 st , 2014</t>
  </si>
  <si>
    <t xml:space="preserve">:  October 15, 2015
</t>
  </si>
  <si>
    <t xml:space="preserve">:  April 15, 2016
</t>
  </si>
  <si>
    <t xml:space="preserve">：Product end of life
</t>
  </si>
  <si>
    <t xml:space="preserve"> April 14, 2015</t>
  </si>
  <si>
    <t xml:space="preserve">: June 30, 2014
</t>
  </si>
  <si>
    <t xml:space="preserve"> December 09, 2013</t>
  </si>
  <si>
    <t xml:space="preserve">:   November 20 th , 2015
</t>
  </si>
  <si>
    <t xml:space="preserve">:  May 20 th , 2016
</t>
  </si>
  <si>
    <t xml:space="preserve">:  Low sales, harmonization of product portfolio
</t>
  </si>
  <si>
    <t xml:space="preserve"> May 22 nd , 2015</t>
  </si>
  <si>
    <t xml:space="preserve">: March 13, 2017
</t>
  </si>
  <si>
    <t xml:space="preserve">: September 11, 2017
</t>
  </si>
  <si>
    <t xml:space="preserve">:  Rationalization of product nomenclature and product portfolio
</t>
  </si>
  <si>
    <t xml:space="preserve"> September 12, 2016</t>
  </si>
  <si>
    <t xml:space="preserve">: February 24, 2019
</t>
  </si>
  <si>
    <t xml:space="preserve">: August 24, 2019
</t>
  </si>
  <si>
    <t xml:space="preserve"> August 24, 2018</t>
  </si>
  <si>
    <t xml:space="preserve"> December 19, 2013</t>
  </si>
  <si>
    <t xml:space="preserve">:   December 28, 2015
</t>
  </si>
  <si>
    <t xml:space="preserve">:  June 27, 2016
</t>
  </si>
  <si>
    <t xml:space="preserve">:   Low sales, harmonization of product portfolio
</t>
  </si>
  <si>
    <t xml:space="preserve"> June 29, 2015</t>
  </si>
  <si>
    <t xml:space="preserve">:   Apr 5th, 2013
</t>
  </si>
  <si>
    <t xml:space="preserve">:   Oct 4th, 2013
</t>
  </si>
  <si>
    <t xml:space="preserve">: Low customer demand
</t>
  </si>
  <si>
    <t xml:space="preserve"> October 5th, 2012</t>
  </si>
  <si>
    <t xml:space="preserve">:  December 28, 2015
</t>
  </si>
  <si>
    <t xml:space="preserve">:               Product nomenclature rationalization
</t>
  </si>
  <si>
    <t xml:space="preserve">: March 13, 2020
</t>
  </si>
  <si>
    <t xml:space="preserve">: September 14, 2020
</t>
  </si>
  <si>
    <t xml:space="preserve">:  Nomenclature alignement
</t>
  </si>
  <si>
    <t xml:space="preserve"> September 13, 2019</t>
  </si>
  <si>
    <t xml:space="preserve">:                     April 5 th , 2013
</t>
  </si>
  <si>
    <t xml:space="preserve">:            October 4 th , 2013
</t>
  </si>
  <si>
    <t xml:space="preserve">: Due to the support is in risk in the market of 5” silicon material and 5” wafer processing
</t>
  </si>
  <si>
    <t xml:space="preserve">:  June 09, 2017
</t>
  </si>
  <si>
    <t xml:space="preserve">: December 09, 2017
</t>
  </si>
  <si>
    <t xml:space="preserve">:  Low Sales
</t>
  </si>
  <si>
    <t xml:space="preserve"> December 9, 2016</t>
  </si>
  <si>
    <t xml:space="preserve">:   May 16, 2022
</t>
  </si>
  <si>
    <t xml:space="preserve">: Low/no demand in automotive markets/applications
</t>
  </si>
  <si>
    <t xml:space="preserve"> November 16, 2021</t>
  </si>
  <si>
    <t xml:space="preserve">: May 30 th , 2013
</t>
  </si>
  <si>
    <t xml:space="preserve">: Nov. 30 th , 2013
</t>
  </si>
  <si>
    <t xml:space="preserve"> Nov. 20 th , 2012</t>
  </si>
  <si>
    <t xml:space="preserve">: May 21, 2020
</t>
  </si>
  <si>
    <t xml:space="preserve">: November 21, 2020
</t>
  </si>
  <si>
    <t xml:space="preserve">: Low sales amount
</t>
  </si>
  <si>
    <t xml:space="preserve"> November 21, 2019</t>
  </si>
  <si>
    <t xml:space="preserve">: June 30, 2013
</t>
  </si>
  <si>
    <t xml:space="preserve"> Dec. 17, 2012</t>
  </si>
  <si>
    <t xml:space="preserve">:  March 25, 2016
</t>
  </si>
  <si>
    <t xml:space="preserve">:  September 25, 2016
</t>
  </si>
  <si>
    <t xml:space="preserve">：Low business volume
</t>
  </si>
  <si>
    <t>September 25, 2015</t>
  </si>
  <si>
    <t xml:space="preserve">:  May. 06, 2016
</t>
  </si>
  <si>
    <t xml:space="preserve">: November 06, 2016
</t>
  </si>
  <si>
    <t xml:space="preserve">:  Spacing expansion for Front-end process.
</t>
  </si>
  <si>
    <t>November 6, 2015</t>
  </si>
  <si>
    <t xml:space="preserve">:  9/6/2017
</t>
  </si>
  <si>
    <t xml:space="preserve">:  3/6/2018
</t>
  </si>
  <si>
    <t xml:space="preserve">:  The raw materials to build this part are no longer available to purchase.
</t>
  </si>
  <si>
    <t>: Vishay Dale</t>
  </si>
  <si>
    <t>September 8, 2017</t>
  </si>
  <si>
    <t xml:space="preserve">: 3/16/2018
</t>
  </si>
  <si>
    <t xml:space="preserve">:  6/29/2018
</t>
  </si>
  <si>
    <t xml:space="preserve">:  Limited product design has led to limited sales of the series.
</t>
  </si>
  <si>
    <t>September 26, 2017</t>
  </si>
  <si>
    <t xml:space="preserve">: 3/23/2018
</t>
  </si>
  <si>
    <t>October 23, 2017</t>
  </si>
  <si>
    <t xml:space="preserve">: 2/27/2018
</t>
  </si>
  <si>
    <t xml:space="preserve">:  Limited product design has led to limited sales of this part number
</t>
  </si>
  <si>
    <t>February 27, 2018</t>
  </si>
  <si>
    <t xml:space="preserve">:  1/2/2019
</t>
  </si>
  <si>
    <t xml:space="preserve">:  No sales in past 5 years
</t>
  </si>
  <si>
    <t>January 2, 2019</t>
  </si>
  <si>
    <t xml:space="preserve">:  9/17/2019
</t>
  </si>
  <si>
    <t xml:space="preserve">: 12/17/2019
</t>
  </si>
  <si>
    <t xml:space="preserve">:  The IWTX and IWAS product lines are moving to a new factory with the
</t>
  </si>
  <si>
    <t>June 17, 2019</t>
  </si>
  <si>
    <t xml:space="preserve">:  NA
</t>
  </si>
  <si>
    <t xml:space="preserve">:  Vishay no longer has the ability to perform the acceptance testing required.
</t>
  </si>
  <si>
    <t>January 24, 2020</t>
  </si>
  <si>
    <t>February 5, 2020</t>
  </si>
  <si>
    <t xml:space="preserve">:  Vishay no longer has the ability to manufacture this part.
</t>
  </si>
  <si>
    <t>July 23, 2020</t>
  </si>
  <si>
    <t xml:space="preserve">:  April 24, 2021
</t>
  </si>
  <si>
    <t xml:space="preserve">:  December 30, 2021
</t>
  </si>
  <si>
    <t xml:space="preserve">:  The continued low sales of the EB8 series has forced Vishay to send the part
</t>
  </si>
  <si>
    <t>October 22, 2020</t>
  </si>
  <si>
    <t xml:space="preserve">:  3/6/2021
</t>
  </si>
  <si>
    <t xml:space="preserve">:  6/6/2021
</t>
  </si>
  <si>
    <t xml:space="preserve">:  Streamline the IHLP production line
</t>
  </si>
  <si>
    <t>January 6, 2021</t>
  </si>
  <si>
    <t xml:space="preserve">:  April 30, 2010.  All Last time buy orders are NCNR.
</t>
  </si>
  <si>
    <t xml:space="preserve">:  May 31, 2010
</t>
  </si>
  <si>
    <t xml:space="preserve">:  Limited sales activity, materials and process issues have made it impractical
</t>
  </si>
  <si>
    <t>January 14, 2010</t>
  </si>
  <si>
    <t xml:space="preserve">:  N/A
</t>
  </si>
  <si>
    <t xml:space="preserve">: N/A
</t>
  </si>
  <si>
    <t xml:space="preserve">:  Product is unavailable.
</t>
  </si>
  <si>
    <t>March 2, 2010</t>
  </si>
  <si>
    <t>PCN-DI-088-2010</t>
  </si>
  <si>
    <t>March 4, 2010</t>
  </si>
  <si>
    <t xml:space="preserve">:  October 25, 2010
</t>
  </si>
  <si>
    <t xml:space="preserve">:  Raw material is no longer available.
</t>
  </si>
  <si>
    <t>October 25, 2010</t>
  </si>
  <si>
    <t xml:space="preserve">:  10/28/11
</t>
  </si>
  <si>
    <t xml:space="preserve">: 10/28/11
</t>
  </si>
  <si>
    <t>April 28, 2011</t>
  </si>
  <si>
    <t xml:space="preserve">:  12/30/11
</t>
  </si>
  <si>
    <t xml:space="preserve">: 3/31/12
</t>
  </si>
  <si>
    <t>October 31, 2011</t>
  </si>
  <si>
    <t xml:space="preserve">:  7/9/12
</t>
  </si>
  <si>
    <t xml:space="preserve">:  9/3/12
</t>
  </si>
  <si>
    <t xml:space="preserve">:  Business Decision
</t>
  </si>
  <si>
    <t>January 9, 2012</t>
  </si>
  <si>
    <t>May 15, 2012</t>
  </si>
  <si>
    <t xml:space="preserve">:  Raw material used to manufacture this series is no longer available.  These
</t>
  </si>
  <si>
    <t>November 16, 2012</t>
  </si>
  <si>
    <t xml:space="preserve">:  These parts are no longer a viable option.  These parts were released to
</t>
  </si>
  <si>
    <t xml:space="preserve">:  1/25/2013
</t>
  </si>
  <si>
    <t xml:space="preserve">:  Minimal market acceptance of this series since it was introduced and the
</t>
  </si>
  <si>
    <t>January 10, 2013</t>
  </si>
  <si>
    <t xml:space="preserve">:  7/19/2013
</t>
  </si>
  <si>
    <t xml:space="preserve">:  The raw materials to manufacture these series has become difficult to procure
</t>
  </si>
  <si>
    <t>January 18, 2013</t>
  </si>
  <si>
    <t xml:space="preserve">:  3/08/2013
</t>
  </si>
  <si>
    <t xml:space="preserve">:  Slow business activity and increasing difficulty of procuring raw materials and
</t>
  </si>
  <si>
    <t>March 8, 2013</t>
  </si>
  <si>
    <t xml:space="preserve">:  3/12/2013
</t>
  </si>
  <si>
    <t>March 12, 2013</t>
  </si>
  <si>
    <t xml:space="preserve">:  6/14/13
</t>
  </si>
  <si>
    <t xml:space="preserve">:  Materials to produce these tight tolerances are no longer stable in the market.
</t>
  </si>
  <si>
    <t>June 14, 2013</t>
  </si>
  <si>
    <t xml:space="preserve">:  6/17/13
</t>
  </si>
  <si>
    <t>June 17, 2013</t>
  </si>
  <si>
    <t>February 12, 2014</t>
  </si>
  <si>
    <t xml:space="preserve">:  Limited use
</t>
  </si>
  <si>
    <t>July 31, 2014</t>
  </si>
  <si>
    <t xml:space="preserve">:  8/10/15
</t>
  </si>
  <si>
    <t xml:space="preserve">:  11/10/15
</t>
  </si>
  <si>
    <t>February 10, 2015</t>
  </si>
  <si>
    <t xml:space="preserve">:  9/11/15
</t>
  </si>
  <si>
    <t xml:space="preserve">:  12/11/15
</t>
  </si>
  <si>
    <t>March 11, 2015</t>
  </si>
  <si>
    <t xml:space="preserve">:  4/1/15
</t>
  </si>
  <si>
    <t>April 1, 2015</t>
  </si>
  <si>
    <t xml:space="preserve">:  9/1/15
</t>
  </si>
  <si>
    <t xml:space="preserve">:  12/1/15
</t>
  </si>
  <si>
    <t>July 1, 2015</t>
  </si>
  <si>
    <t xml:space="preserve">:  10/31/15
</t>
  </si>
  <si>
    <t xml:space="preserve">:  12/31/15
</t>
  </si>
  <si>
    <t xml:space="preserve">:  The Vishay source for these parts is no longer available.
</t>
  </si>
  <si>
    <t>June 8, 2015</t>
  </si>
  <si>
    <t xml:space="preserve">:  This part has very limited activity and we no longer have the ability to reliably
</t>
  </si>
  <si>
    <t>August 3, 2015</t>
  </si>
  <si>
    <t xml:space="preserve">:  This part has very limited activity and we no longer have access to the raw
</t>
  </si>
  <si>
    <t>December 18, 2015</t>
  </si>
  <si>
    <t xml:space="preserve">:  11/30/2016
</t>
  </si>
  <si>
    <t xml:space="preserve">:  5/30/2017
</t>
  </si>
  <si>
    <t xml:space="preserve">:  The IHHP-1212ZH-01 and IHHP-1212AZ-01 are no longer available for
</t>
  </si>
  <si>
    <t>August 25, 2016</t>
  </si>
  <si>
    <t xml:space="preserve">:  The current IHHP-1008AZ-01 and IHHP-1008AB-01 are no longer available
</t>
  </si>
  <si>
    <t xml:space="preserve">:  6/6/2017
</t>
  </si>
  <si>
    <t xml:space="preserve">:  Poor Sales of this series.
</t>
  </si>
  <si>
    <t>December 6, 2016</t>
  </si>
  <si>
    <t xml:space="preserve">:  7/1/2017
</t>
  </si>
  <si>
    <t xml:space="preserve">:  12/29/2017
</t>
  </si>
  <si>
    <t xml:space="preserve">:  The PL series has limited sales and new technology has replaced these types
</t>
  </si>
  <si>
    <t>January 16, 2017</t>
  </si>
  <si>
    <t xml:space="preserve">:  The PT series has limited sales and new technology has replaced these types
</t>
  </si>
  <si>
    <t xml:space="preserve">:  The TA series has limited sales and new technology has replaced these types
</t>
  </si>
  <si>
    <t xml:space="preserve">:  The TC series has limited sales and new technology has replaced these types
</t>
  </si>
  <si>
    <t xml:space="preserve">:  The TD series has limited sales and new technology has replaced these types
</t>
  </si>
  <si>
    <t xml:space="preserve">:  The TE series has limited sales and new technology has replaced these types
</t>
  </si>
  <si>
    <t xml:space="preserve">:  The IRF-1 and IRF-3 series have limited sales and new technology has
</t>
  </si>
  <si>
    <t xml:space="preserve">:  The IR-2 and IR-4 series have limited sales and new technology has replaced
</t>
  </si>
  <si>
    <t xml:space="preserve">:  The IM series have limited sales and new technology has replaced these
</t>
  </si>
  <si>
    <t xml:space="preserve">:  The IMS series have limited sales and new technology has replaced these
</t>
  </si>
  <si>
    <t xml:space="preserve">:  The MS series have limited sales and new technology has replaced these
</t>
  </si>
  <si>
    <t xml:space="preserve">:  The PC series has limited sales and new technology has replaced these types
</t>
  </si>
  <si>
    <t xml:space="preserve">:  The VIV series has limited sales and new technology has replaced these
</t>
  </si>
  <si>
    <t xml:space="preserve">:  The WVL and WVLM series has limited sales and new technology has
</t>
  </si>
  <si>
    <t xml:space="preserve">:  The IFLP series has limited sales.
</t>
  </si>
  <si>
    <t>February 2, 2017</t>
  </si>
  <si>
    <t xml:space="preserve">:  The ITCR series has limited sales.
</t>
  </si>
  <si>
    <t xml:space="preserve">:  This part has limited activity and is no longer available for Vishay to offer
</t>
  </si>
  <si>
    <t>March 22, 2017</t>
  </si>
  <si>
    <t xml:space="preserve">: Dale Resistors </t>
  </si>
  <si>
    <t xml:space="preserve"> February 21, 2020</t>
  </si>
  <si>
    <t xml:space="preserve">:  March 1, 2012
</t>
  </si>
  <si>
    <t xml:space="preserve">:  Upon completion of the order
</t>
  </si>
  <si>
    <t xml:space="preserve">:  Technology and Raw Material Obsolescence
</t>
  </si>
  <si>
    <t xml:space="preserve"> January 16, 2012</t>
  </si>
  <si>
    <t xml:space="preserve">: 08/09/13
</t>
  </si>
  <si>
    <t xml:space="preserve">: 10/31/13 (or earlier, depending on glass availability)
</t>
  </si>
  <si>
    <t xml:space="preserve">:  Raw Material Obsolescence of the Glass Cane that was used to manufacture
</t>
  </si>
  <si>
    <t xml:space="preserve">: DALE Resistors </t>
  </si>
  <si>
    <t xml:space="preserve"> January 31, 2013</t>
  </si>
  <si>
    <t xml:space="preserve"> January 12, 2012</t>
  </si>
  <si>
    <t xml:space="preserve">:  July 1, 2013 (note; only limited quantity is available for purchase)
</t>
  </si>
  <si>
    <t xml:space="preserve"> May 20, 2013</t>
  </si>
  <si>
    <t xml:space="preserve">:  December 30, 2011
</t>
  </si>
  <si>
    <t xml:space="preserve">:  Upon completion of Customer Order.
</t>
  </si>
  <si>
    <t xml:space="preserve"> November 1, 2011</t>
  </si>
  <si>
    <t xml:space="preserve">:  January 31, 2012
</t>
  </si>
  <si>
    <t xml:space="preserve"> November 30, 2011</t>
  </si>
  <si>
    <t xml:space="preserve">: February 19, 2016
</t>
  </si>
  <si>
    <t xml:space="preserve">: August 19, 2016
</t>
  </si>
  <si>
    <t xml:space="preserve">:  The WSC0001 / WSN0001 is the original design of the 1W surface mount
</t>
  </si>
  <si>
    <t xml:space="preserve"> August 28, 2015</t>
  </si>
  <si>
    <t xml:space="preserve">:  Vishay DALE’s vendor has discontinued the Y5U material we had used for the
</t>
  </si>
  <si>
    <t>: DALE Resistors</t>
  </si>
  <si>
    <t>September 08, 2015</t>
  </si>
  <si>
    <t xml:space="preserve">:   01/08/2011
</t>
  </si>
  <si>
    <t xml:space="preserve">:  01/02/2012
</t>
  </si>
  <si>
    <t xml:space="preserve">: streamline of our portfolio
</t>
  </si>
  <si>
    <t>: Film capacitors</t>
  </si>
  <si>
    <t xml:space="preserve"> January 06, 2011 </t>
  </si>
  <si>
    <t xml:space="preserve">:   31.July 2011
</t>
  </si>
  <si>
    <t xml:space="preserve">:  31.January 2012
</t>
  </si>
  <si>
    <t xml:space="preserve"> January 15th, 2011</t>
  </si>
  <si>
    <t xml:space="preserve">:  30.06.2013
</t>
  </si>
  <si>
    <t xml:space="preserve">:  30.09.2013
</t>
  </si>
  <si>
    <t xml:space="preserve">:  Streamlining our portfolio.
</t>
  </si>
  <si>
    <t>: Film Capacitors</t>
  </si>
  <si>
    <t>27.04.2012</t>
  </si>
  <si>
    <t xml:space="preserve">:   31.March 2011
</t>
  </si>
  <si>
    <t xml:space="preserve">:  30.September 2011
</t>
  </si>
  <si>
    <t xml:space="preserve"> September 15th, 2010</t>
  </si>
  <si>
    <t xml:space="preserve">:   29.02.2012
</t>
  </si>
  <si>
    <t xml:space="preserve">:  31.08.2012
</t>
  </si>
  <si>
    <t xml:space="preserve"> February 2nd, 2011</t>
  </si>
  <si>
    <t xml:space="preserve">:   31.10.2013
</t>
  </si>
  <si>
    <t xml:space="preserve">:  31.04.2014
</t>
  </si>
  <si>
    <t xml:space="preserve">: Limited availability of Raw Material
</t>
  </si>
  <si>
    <t xml:space="preserve"> Apr 15, 2013</t>
  </si>
  <si>
    <t xml:space="preserve">:  31.10.2014
</t>
  </si>
  <si>
    <t xml:space="preserve">:  30.04.2015
</t>
  </si>
  <si>
    <t xml:space="preserve">:  Product Obsolescence
</t>
  </si>
  <si>
    <t xml:space="preserve">: Film Capacitors </t>
  </si>
  <si>
    <t xml:space="preserve"> 29.04.2014</t>
  </si>
  <si>
    <t xml:space="preserve">:   30.June 2012
</t>
  </si>
  <si>
    <t xml:space="preserve">:  31.December 2012
</t>
  </si>
  <si>
    <t xml:space="preserve"> December 06th, 2011</t>
  </si>
  <si>
    <t xml:space="preserve">:  31.12.2014
</t>
  </si>
  <si>
    <t xml:space="preserve">: 31.06.2015
</t>
  </si>
  <si>
    <t xml:space="preserve">: Supplier termination of resale agreement
</t>
  </si>
  <si>
    <t>: Vishay Film Capacitors</t>
  </si>
  <si>
    <t>Jul 15, 2014</t>
  </si>
  <si>
    <t xml:space="preserve">:  31.12.2013
</t>
  </si>
  <si>
    <t>04.12.2012</t>
  </si>
  <si>
    <t xml:space="preserve">:  15th September 2010
</t>
  </si>
  <si>
    <t xml:space="preserve">:  15th March 2011
</t>
  </si>
  <si>
    <t xml:space="preserve">:  Introduction of a new part number (VS-GB75YF120UT) that has the same Bill
</t>
  </si>
  <si>
    <t xml:space="preserve">: Diodes, March 15th, 2010 </t>
  </si>
  <si>
    <t>PCN-HPP-001-2010</t>
  </si>
  <si>
    <t xml:space="preserve">:   August 31, 2011
</t>
  </si>
  <si>
    <t xml:space="preserve">:  February 28, 2012
</t>
  </si>
  <si>
    <t xml:space="preserve">:  HP Schottkys D-61 have been converted to Termination Lead Free version
</t>
  </si>
  <si>
    <t>: Diodes</t>
  </si>
  <si>
    <t>Feb 28, 2011</t>
  </si>
  <si>
    <t xml:space="preserve">:  Obsolete-Reverse D-67 and Isolated TO-244
</t>
  </si>
  <si>
    <t>: Diodes, March 15th,  2010</t>
  </si>
  <si>
    <t xml:space="preserve">:   January 5 th , 2012
</t>
  </si>
  <si>
    <t xml:space="preserve">:  July 5 th , 2012
</t>
  </si>
  <si>
    <t xml:space="preserve">: Harmonization of Product Portfolio.
</t>
  </si>
  <si>
    <t xml:space="preserve"> July 5 th , 2011 </t>
  </si>
  <si>
    <t xml:space="preserve">:  15th January 2011
</t>
  </si>
  <si>
    <t xml:space="preserve">:  15th July 2011
</t>
  </si>
  <si>
    <t xml:space="preserve">: Single-Phase In Line Bridge Product Consolidation
</t>
  </si>
  <si>
    <t xml:space="preserve">July 14th, 2010 </t>
  </si>
  <si>
    <t xml:space="preserve">:   15th January 2011
</t>
  </si>
  <si>
    <t xml:space="preserve">:   15th July 2011
</t>
  </si>
  <si>
    <t xml:space="preserve">:  HP Schottkys, HP New Input Diodes and Thyristors, HP Hexfreds and HP
</t>
  </si>
  <si>
    <t>July 14t h , 2010</t>
  </si>
  <si>
    <t xml:space="preserve">:   March 05 th , 2012
</t>
  </si>
  <si>
    <t xml:space="preserve">:  September 05 th , 2012
</t>
  </si>
  <si>
    <t xml:space="preserve">: Product Portfolio Rationalization.
</t>
  </si>
  <si>
    <t xml:space="preserve"> 05 th September, 2011 </t>
  </si>
  <si>
    <t xml:space="preserve">:  31 st January 2011
</t>
  </si>
  <si>
    <t xml:space="preserve">:  31st July 2011
</t>
  </si>
  <si>
    <t xml:space="preserve">: Obsolescence of Part Numbers with Old Nomenclature (beginning with “SHP”).
</t>
  </si>
  <si>
    <t xml:space="preserve">: Dec 31st, 2009
</t>
  </si>
  <si>
    <t xml:space="preserve">: March 31th, 2010
</t>
  </si>
  <si>
    <t xml:space="preserve">:  SOT-223, SOT-23A, SOT-323B, SOD-323, SOD-123A Schottky from HPP
</t>
  </si>
  <si>
    <t>Oct 5t h , 2009</t>
  </si>
  <si>
    <t xml:space="preserve">: Jan 15th , 2010
</t>
  </si>
  <si>
    <t xml:space="preserve">: Apr 15th, 2010
</t>
  </si>
  <si>
    <t xml:space="preserve">:  HP Schottkys, HP New Input Diodes, HP Hexfreds and HP Freds in D2-Pak
</t>
  </si>
  <si>
    <t xml:space="preserve">:   April 9 th , 2012
</t>
  </si>
  <si>
    <t xml:space="preserve">:   October 08 th , 2012
</t>
  </si>
  <si>
    <t xml:space="preserve">:  Product consolidation
</t>
  </si>
  <si>
    <t xml:space="preserve"> October 10 th , 2011 </t>
  </si>
  <si>
    <t xml:space="preserve">:   June 18 th , 2012
</t>
  </si>
  <si>
    <t xml:space="preserve">:  December 17 th , 2012
</t>
  </si>
  <si>
    <t xml:space="preserve">: Obsolescence of specific IGBT dice used in these modules.
</t>
  </si>
  <si>
    <t xml:space="preserve"> December 19 th , 2011 </t>
  </si>
  <si>
    <t xml:space="preserve">:  June 15 th  , 2010
</t>
  </si>
  <si>
    <t xml:space="preserve">: Dec 15 th  , 2010
</t>
  </si>
  <si>
    <t>December 15 th , 2009</t>
  </si>
  <si>
    <t xml:space="preserve">:   Not applicable
</t>
  </si>
  <si>
    <t xml:space="preserve">:  Not applicable
</t>
  </si>
  <si>
    <t xml:space="preserve">:   Withdrawn from DSCC drawings
</t>
  </si>
  <si>
    <t>: Vishay Division MLCC</t>
  </si>
  <si>
    <t>Jan 26, 2011</t>
  </si>
  <si>
    <t xml:space="preserve">:   August 03, 2014
</t>
  </si>
  <si>
    <t xml:space="preserve">:  February 03, 2015, after depletion of inventory
</t>
  </si>
  <si>
    <t xml:space="preserve">:       Streamlining our portfolio.
</t>
  </si>
  <si>
    <t xml:space="preserve">: Vishay Division MLCC </t>
  </si>
  <si>
    <t xml:space="preserve"> 03.Feb.,2014</t>
  </si>
  <si>
    <t>Jan 27, 2011</t>
  </si>
  <si>
    <t xml:space="preserve">:   October 3, 2013
</t>
  </si>
  <si>
    <t xml:space="preserve">:  March  31, 2014,  after depletion of inventory
</t>
  </si>
  <si>
    <t xml:space="preserve"> Apr. 03, 2013</t>
  </si>
  <si>
    <t xml:space="preserve">:          Not applicable
</t>
  </si>
  <si>
    <t xml:space="preserve">: After depletion of inventory
</t>
  </si>
  <si>
    <t xml:space="preserve"> Aug 29, 2014</t>
  </si>
  <si>
    <t xml:space="preserve">:   October 23, 2013
</t>
  </si>
  <si>
    <t xml:space="preserve">:  April  23, 2014,  after depletion of inventory
</t>
  </si>
  <si>
    <t xml:space="preserve"> Apr. 23, 2013</t>
  </si>
  <si>
    <t xml:space="preserve">:   October 30, 2013
</t>
  </si>
  <si>
    <t xml:space="preserve">:  April 30, 2014,  after depletion of inventory
</t>
  </si>
  <si>
    <t xml:space="preserve"> 30.Apr.,2013</t>
  </si>
  <si>
    <t xml:space="preserve">:   November 27, 2013
</t>
  </si>
  <si>
    <t xml:space="preserve">:  May 27, 2014,  after depletion of inventory
</t>
  </si>
  <si>
    <t xml:space="preserve"> May 27, 2013</t>
  </si>
  <si>
    <t xml:space="preserve">: Streamlining our portfolio.
</t>
  </si>
  <si>
    <t xml:space="preserve"> Dec 18, 2013</t>
  </si>
  <si>
    <t xml:space="preserve">: 30th September 2013
</t>
  </si>
  <si>
    <t xml:space="preserve">: 31 st December 2013
</t>
  </si>
  <si>
    <t>: Draloric Beyschlag Resistors Division</t>
  </si>
  <si>
    <t>April 22 th , 2013</t>
  </si>
  <si>
    <t xml:space="preserve">: 30 th September 2013
</t>
  </si>
  <si>
    <t xml:space="preserve">:             31st March 2014
</t>
  </si>
  <si>
    <t xml:space="preserve">:    30th June 2014
</t>
  </si>
  <si>
    <t xml:space="preserve">:  Market evolution towards NiSn terminations
</t>
  </si>
  <si>
    <t>October 21 th , 2013</t>
  </si>
  <si>
    <t xml:space="preserve">: October 15, 2010
</t>
  </si>
  <si>
    <t xml:space="preserve">: April 15, 2011
</t>
  </si>
  <si>
    <t xml:space="preserve"> Apr. 02, 2010 </t>
  </si>
  <si>
    <t xml:space="preserve">: December 15, 2010
</t>
  </si>
  <si>
    <t xml:space="preserve">: June 15, 2011
</t>
  </si>
  <si>
    <t xml:space="preserve"> Jun. 08, 2010 </t>
  </si>
  <si>
    <t xml:space="preserve">: February 29, 2012
</t>
  </si>
  <si>
    <t xml:space="preserve">: August 29, 2012
</t>
  </si>
  <si>
    <t xml:space="preserve"> August 1 st , 2011 </t>
  </si>
  <si>
    <t xml:space="preserve">: March 31, 2011
</t>
  </si>
  <si>
    <t xml:space="preserve"> September 28, 2010 </t>
  </si>
  <si>
    <t xml:space="preserve">：May 25 th , 2012
</t>
  </si>
  <si>
    <t xml:space="preserve">：Nov. 24 th , 2012
</t>
  </si>
  <si>
    <t xml:space="preserve"> Nov 16 th , 2011</t>
  </si>
  <si>
    <t xml:space="preserve">: May 31, 2011
</t>
  </si>
  <si>
    <t xml:space="preserve"> November 17, 2010 </t>
  </si>
  <si>
    <t xml:space="preserve"> :   March 31 st 2010
</t>
  </si>
  <si>
    <t xml:space="preserve"> :   May 31 st 2010
</t>
  </si>
  <si>
    <t xml:space="preserve">:  Decreasing demand.
</t>
  </si>
  <si>
    <t xml:space="preserve">: SFERNICE </t>
  </si>
  <si>
    <t xml:space="preserve"> Nov. 30th , 2009 </t>
  </si>
  <si>
    <t xml:space="preserve">PCN-SF </t>
  </si>
  <si>
    <t xml:space="preserve">:  Non moving items (no sales)
</t>
  </si>
  <si>
    <t>: Vishay Sfernice</t>
  </si>
  <si>
    <t>October 26, 2009</t>
  </si>
  <si>
    <t>PCN-SF-088-20091</t>
  </si>
  <si>
    <t xml:space="preserve">:  Dec 31, 2011
</t>
  </si>
  <si>
    <t xml:space="preserve">:  March 31, 2012
</t>
  </si>
  <si>
    <t xml:space="preserve">:  Non moving items
</t>
  </si>
  <si>
    <t>April, 10, 2011</t>
  </si>
  <si>
    <t xml:space="preserve">:  Nov 30, 2011
</t>
  </si>
  <si>
    <t xml:space="preserve">:  Standard Product PHT now available with enhanced performances
</t>
  </si>
  <si>
    <t>May, 13, 2011</t>
  </si>
  <si>
    <t xml:space="preserve">:  Thermoformed tape is now standard (no more option needed)
</t>
  </si>
  <si>
    <t xml:space="preserve">:  September 30, 2012
</t>
  </si>
  <si>
    <t xml:space="preserve">:  November 30, 2012
</t>
  </si>
  <si>
    <t>August 9, 2012</t>
  </si>
  <si>
    <t xml:space="preserve">:  December 24 th 2014
</t>
  </si>
  <si>
    <t xml:space="preserve">:  April 30 th 2015
</t>
  </si>
  <si>
    <t xml:space="preserve">:  Low demand. Potential cross references:
</t>
  </si>
  <si>
    <t>September 1 st 2014</t>
  </si>
  <si>
    <t xml:space="preserve">:  Dec 28 th 2018 Quantities are limited, RFQ is mandatory. Orders are subject to
</t>
  </si>
  <si>
    <t xml:space="preserve">:  April 30 th 2019
</t>
  </si>
  <si>
    <t xml:space="preserve">:  Low demand.
</t>
  </si>
  <si>
    <t>Sept 5 th 2018</t>
  </si>
  <si>
    <t xml:space="preserve">:  Mar 15 th 2019
</t>
  </si>
  <si>
    <t xml:space="preserve">:  Dec 31 st 2019
</t>
  </si>
  <si>
    <t xml:space="preserve">:  Low demand, End of Life of the production line.
</t>
  </si>
  <si>
    <t>Sept 11 th 2018</t>
  </si>
  <si>
    <t xml:space="preserve">:  March 29 th 2019
</t>
  </si>
  <si>
    <t xml:space="preserve">:  June 28 th 2019
</t>
  </si>
  <si>
    <t>Nov 12 th 2018</t>
  </si>
  <si>
    <t xml:space="preserve">:  Sep 20 th 2020
</t>
  </si>
  <si>
    <t xml:space="preserve">:  March 20 th 2021
</t>
  </si>
  <si>
    <t xml:space="preserve">:  Low demand, Rationalization of the product range in line with the market
</t>
  </si>
  <si>
    <t>March 20 th 2020</t>
  </si>
  <si>
    <t xml:space="preserve">:  not applicable.
</t>
  </si>
  <si>
    <t xml:space="preserve">:  Low demand, Rationalization of the product range for industrial efficiency.
</t>
  </si>
  <si>
    <t>May 14 th  2020</t>
  </si>
  <si>
    <t xml:space="preserve">:  Migration to advanced Silicon Die Technologies.
</t>
  </si>
  <si>
    <t>March 14, 2018</t>
  </si>
  <si>
    <t>PCN-SIL-0032018</t>
  </si>
  <si>
    <t xml:space="preserve">:  Termination of captive production line for TO-92 products
</t>
  </si>
  <si>
    <t xml:space="preserve"> January 20, 2010</t>
  </si>
  <si>
    <t xml:space="preserve">:  Migration to newer Silicon Die Technologies
</t>
  </si>
  <si>
    <t>January 24, 2011</t>
  </si>
  <si>
    <t xml:space="preserve">: Closure of Fab at Santa Clara
</t>
  </si>
  <si>
    <t>Mar13, 2015</t>
  </si>
  <si>
    <t xml:space="preserve">: 32M cell trench is a mature process only available on 6 inch wafers and this part is only
</t>
  </si>
  <si>
    <t>January 21, 2010</t>
  </si>
  <si>
    <t xml:space="preserve">: Exiting bump wafer facility.
</t>
  </si>
  <si>
    <t xml:space="preserve"> Feb 3, 2014</t>
  </si>
  <si>
    <t>April 29, 2016</t>
  </si>
  <si>
    <t xml:space="preserve">:  Termination of production for PPAK2x5 products
</t>
  </si>
  <si>
    <t xml:space="preserve"> February 12, 2010</t>
  </si>
  <si>
    <t>April 19, 2012</t>
  </si>
  <si>
    <t xml:space="preserve">:  Upgrade to new Silicon die technologies.
</t>
  </si>
  <si>
    <t xml:space="preserve"> February 26, 2010</t>
  </si>
  <si>
    <t>February 18, 2015</t>
  </si>
  <si>
    <t>Mar 17, 2014</t>
  </si>
  <si>
    <t>Mar 15, 2014</t>
  </si>
  <si>
    <t>August 30, 2018</t>
  </si>
  <si>
    <t>PCN-SIL-0152018</t>
  </si>
  <si>
    <t>September 15, 2017</t>
  </si>
  <si>
    <t>PCN-SIL-0162017</t>
  </si>
  <si>
    <t>Aug 25, 2014</t>
  </si>
  <si>
    <t>May 15, 2015</t>
  </si>
  <si>
    <t xml:space="preserve">:  Obsolescence of Sn-Pb products.
</t>
  </si>
  <si>
    <t>May 20, 2015</t>
  </si>
  <si>
    <t>Mar 31, 2014</t>
  </si>
  <si>
    <t xml:space="preserve">:  Closure of assembly &amp; test operations
</t>
  </si>
  <si>
    <t>July 06, 2016</t>
  </si>
  <si>
    <t>July 06 , 2016</t>
  </si>
  <si>
    <t xml:space="preserve">:  Termination of production for select commercial Low Voltage MOSFET products
</t>
  </si>
  <si>
    <t xml:space="preserve"> March 23, 2010</t>
  </si>
  <si>
    <t xml:space="preserve">:  Termination of production
</t>
  </si>
  <si>
    <t xml:space="preserve"> June 30, 2010</t>
  </si>
  <si>
    <t>PCN-SIL-0232010B</t>
  </si>
  <si>
    <t>May 23, 2014</t>
  </si>
  <si>
    <t xml:space="preserve">:  Closure of Fab Facility in Santa Clara, CA
</t>
  </si>
  <si>
    <t xml:space="preserve"> July 26, 2016</t>
  </si>
  <si>
    <t xml:space="preserve">:  Migration to newer process technologies
</t>
  </si>
  <si>
    <t>May 4, 2010</t>
  </si>
  <si>
    <t>June 24, 2015</t>
  </si>
  <si>
    <t xml:space="preserve">:  The applicable parts use MOSFET processes that are 18 years old.
</t>
  </si>
  <si>
    <t xml:space="preserve">May 03, 2010 </t>
  </si>
  <si>
    <t xml:space="preserve">:  Obsolescence of Tube Pack Option.
</t>
  </si>
  <si>
    <t>July 2, 2015</t>
  </si>
  <si>
    <t xml:space="preserve"> August 24, 2010</t>
  </si>
  <si>
    <t xml:space="preserve">: Closure of Fab at Santa Clara and Global Foundries
</t>
  </si>
  <si>
    <t>December 9, 2016</t>
  </si>
  <si>
    <t xml:space="preserve"> September 30, 2016</t>
  </si>
  <si>
    <t xml:space="preserve"> October 20, 2016</t>
  </si>
  <si>
    <t>Jun 30, 2014</t>
  </si>
  <si>
    <t xml:space="preserve">:  Migration to newer Silicon Die Technologies; obsolescence of Lead-plated products.
</t>
  </si>
  <si>
    <t>July 19, 2011</t>
  </si>
  <si>
    <t>Jun 27, 2014</t>
  </si>
  <si>
    <t xml:space="preserve"> November 17, 2015</t>
  </si>
  <si>
    <t xml:space="preserve"> July 22, 2010</t>
  </si>
  <si>
    <t>May 28, 2014</t>
  </si>
  <si>
    <t>Jun 05, 2014</t>
  </si>
  <si>
    <t>May 20, 2014</t>
  </si>
  <si>
    <t>October 31, 2012</t>
  </si>
  <si>
    <t>Sep 22, 2014</t>
  </si>
  <si>
    <t xml:space="preserve">:  Eliminate lead (Pb) from terminations (leads) of these devices
</t>
  </si>
  <si>
    <t xml:space="preserve"> Nov 1, 2013</t>
  </si>
  <si>
    <t>Jul 25, 2014</t>
  </si>
  <si>
    <t xml:space="preserve">: Improvement in operating efficiency
</t>
  </si>
  <si>
    <t>Nov 12, 2013</t>
  </si>
  <si>
    <t>December 5, 2013</t>
  </si>
  <si>
    <t xml:space="preserve"> Nov 19, 2013</t>
  </si>
  <si>
    <t xml:space="preserve">: Closure of Fab Facility in Santa Clara, CA
</t>
  </si>
  <si>
    <t>June 20, 2014</t>
  </si>
  <si>
    <t>June 10, 2014</t>
  </si>
  <si>
    <t>June 30, 2014</t>
  </si>
  <si>
    <t>Mar 03, 2015</t>
  </si>
  <si>
    <t>September 29, 2014</t>
  </si>
  <si>
    <t>December 17, 2014</t>
  </si>
  <si>
    <t xml:space="preserve">:  Obsolescence of Assembly
</t>
  </si>
  <si>
    <t xml:space="preserve"> May 22, 2020</t>
  </si>
  <si>
    <t>PCN-SIL-4042020</t>
  </si>
  <si>
    <t xml:space="preserve"> May 25, 2017</t>
  </si>
  <si>
    <t>PCN-SIL-4082017</t>
  </si>
  <si>
    <t xml:space="preserve">: 22-OCT-2010
</t>
  </si>
  <si>
    <t xml:space="preserve">: 07-MAR-2011
</t>
  </si>
  <si>
    <t xml:space="preserve">: Unification of LLP package portfolio
</t>
  </si>
  <si>
    <t xml:space="preserve">: Small Signal Products      22-APR-2010 </t>
  </si>
  <si>
    <t xml:space="preserve">: We continue to have ongoing performance and yield issue for two CLR65
</t>
  </si>
  <si>
    <t>: Tantalum Capacitor Division</t>
  </si>
  <si>
    <t>Aug 16, 2016</t>
  </si>
  <si>
    <t xml:space="preserve"> 1 November 2009</t>
  </si>
  <si>
    <t xml:space="preserve">:  March 15, 2015
</t>
  </si>
  <si>
    <t xml:space="preserve">:  September 15, 2015
</t>
  </si>
  <si>
    <t xml:space="preserve">:  The cost of dedicating and maintaining these product lines is no longer cost
</t>
  </si>
  <si>
    <t>September 22, 2014</t>
  </si>
  <si>
    <t xml:space="preserve">:   N/A
</t>
  </si>
  <si>
    <t xml:space="preserve">:  December 1, 2014
</t>
  </si>
  <si>
    <t xml:space="preserve">:  The ongoing sales of these old wet tantalum silver case designs has declined
</t>
  </si>
  <si>
    <t>December 2, 2014</t>
  </si>
  <si>
    <t xml:space="preserve">:  June 20, 2015
</t>
  </si>
  <si>
    <t xml:space="preserve">:  December 20, 2015
</t>
  </si>
  <si>
    <t>December 8, 2014</t>
  </si>
  <si>
    <t xml:space="preserve">:  June 2, 2015
</t>
  </si>
  <si>
    <t>December 15, 2014</t>
  </si>
  <si>
    <t xml:space="preserve">:  10/1/2008
</t>
  </si>
  <si>
    <t xml:space="preserve">:  10/24/2008
</t>
  </si>
  <si>
    <t xml:space="preserve">:  To official record the discontinuation of Arcotronics wet tantalum capacitor array part
</t>
  </si>
  <si>
    <t xml:space="preserve">:  October 30 th, 2015
</t>
  </si>
  <si>
    <t xml:space="preserve">:  April 30 th, 2016
</t>
  </si>
  <si>
    <t xml:space="preserve">:  Declining sales volume and discontinuation of molding services by 3 rd party
</t>
  </si>
  <si>
    <t xml:space="preserve">: Thin Film </t>
  </si>
  <si>
    <t xml:space="preserve"> March 30 th , 2015</t>
  </si>
  <si>
    <t xml:space="preserve">: 30-DEC-2021
</t>
  </si>
  <si>
    <t xml:space="preserve">: 30-DEC-2022
</t>
  </si>
  <si>
    <t xml:space="preserve">: Discontinuation of LPE Technology.
</t>
  </si>
  <si>
    <t>: Opto Sensors &amp; IRDC 14-JUL-2021</t>
  </si>
  <si>
    <t>PCN-OSI-1189-2021</t>
  </si>
  <si>
    <t xml:space="preserve"> 20Jul 2018
</t>
  </si>
  <si>
    <t xml:space="preserve">:  :  20 Jan, 2019
</t>
  </si>
  <si>
    <t xml:space="preserve">:  The ongoing sales of these technology products has declined. The cost of
</t>
  </si>
  <si>
    <t>: TC 16-Jan-2018</t>
  </si>
  <si>
    <t>PCN-TC-055-2018</t>
  </si>
  <si>
    <t xml:space="preserve">:  22 Aug 2017
</t>
  </si>
  <si>
    <t xml:space="preserve">:  T he cost of dedicating and maintaining this product styles/series
</t>
  </si>
  <si>
    <t>: TC 22-Aug-2017</t>
  </si>
  <si>
    <t xml:space="preserve">:  March 31 st , 2018
</t>
  </si>
  <si>
    <t xml:space="preserve">:  July 30 th 2018
</t>
  </si>
  <si>
    <t>: TC 24-Sep-2017</t>
  </si>
  <si>
    <t xml:space="preserve">: 10-AUG-2017
</t>
  </si>
  <si>
    <t xml:space="preserve">: Product discontinuation due to no business last 2 years
</t>
  </si>
  <si>
    <t>: Opto Modules &amp; Visibles 16-AUG-2017</t>
  </si>
  <si>
    <t xml:space="preserve">: 01-APR-2018
</t>
  </si>
  <si>
    <t xml:space="preserve">: 01-NOV-2018
</t>
  </si>
  <si>
    <t xml:space="preserve">: Portfolio consolidation of mechanical option parts.
</t>
  </si>
  <si>
    <t>: Opto Modules &amp; Visibles 09-NOV-2017</t>
  </si>
  <si>
    <t xml:space="preserve">: 30-JUN-2018
</t>
  </si>
  <si>
    <t xml:space="preserve">: 31-DEC-2018
</t>
  </si>
  <si>
    <t xml:space="preserve">: It is no longer feasible to manufacture these parts due to escalating costs and the
</t>
  </si>
  <si>
    <t>: Opto Modules &amp; Visibles 27-DEC-2017</t>
  </si>
  <si>
    <t xml:space="preserve">: It is no longer feasible to manufacture this part due to a lack of demand.
</t>
  </si>
  <si>
    <t xml:space="preserve">: It is no longer feasible to manufacture these parts due to escalating costs, the
</t>
  </si>
  <si>
    <t>: Opto Modules &amp; Visibles 23-DEC-2017</t>
  </si>
  <si>
    <t xml:space="preserve">: 21-FEB-2018
</t>
  </si>
  <si>
    <t xml:space="preserve">: Product discontinuation due to no Business last 2 years
</t>
  </si>
  <si>
    <t>: Opto Modules &amp; Visibles 05-MAR-2018</t>
  </si>
  <si>
    <t xml:space="preserve">: 16-AUG-2018No LTS or LTS required, these devices have not been
</t>
  </si>
  <si>
    <t xml:space="preserve">: 16-AUG-2018
</t>
  </si>
  <si>
    <t xml:space="preserve">: No demand
</t>
  </si>
  <si>
    <t>: Opto Modules &amp; Visibles 11-SEP-2018</t>
  </si>
  <si>
    <t xml:space="preserve">: 12-MAR-2019
</t>
  </si>
  <si>
    <t xml:space="preserve">: 10-SEP-2019
</t>
  </si>
  <si>
    <t xml:space="preserve">: The declining demand for these products in the market along with the
</t>
  </si>
  <si>
    <t xml:space="preserve">: 13-MAY-2019Final orders can only be accepted on or before the last order
</t>
  </si>
  <si>
    <t xml:space="preserve">: 11-OCT-2019strongly recommended
</t>
  </si>
  <si>
    <t xml:space="preserve">: The low demand for these products in the market along with the
</t>
  </si>
  <si>
    <t>: Opto Modules &amp; Visibles 09-NOV-2018</t>
  </si>
  <si>
    <t xml:space="preserve">: The low demand for these products in the market has rendered these parts
</t>
  </si>
  <si>
    <t xml:space="preserve">: 13-APR-2019
</t>
  </si>
  <si>
    <t xml:space="preserve">: The low demand in the market along with upcoming investments for
</t>
  </si>
  <si>
    <t>: Opto Modules &amp; Visibles 18-APR-2019</t>
  </si>
  <si>
    <t xml:space="preserve">: 18-OCT-2019
</t>
  </si>
  <si>
    <t xml:space="preserve">: 17-APR-2020
</t>
  </si>
  <si>
    <t xml:space="preserve">: The declining demand for these special selection types in the market along
</t>
  </si>
  <si>
    <t xml:space="preserve">: 10-MAY-2019No LTB or LTS required, these devices have not been
</t>
  </si>
  <si>
    <t xml:space="preserve">: 10-MAY-2019
</t>
  </si>
  <si>
    <t xml:space="preserve">: Obsoletion of products with no Sales for more than 2 years in order to
</t>
  </si>
  <si>
    <t>: Opto Modules &amp; Visibles 17-MAY-2019</t>
  </si>
  <si>
    <t xml:space="preserve">: 04-SEP-2019No last time buy or last time ship is possible. Raw materials
</t>
  </si>
  <si>
    <t xml:space="preserve">: 04-SEP-2019
</t>
  </si>
  <si>
    <t xml:space="preserve">: Unavailability of raw materials
</t>
  </si>
  <si>
    <t>: Opto Modules &amp; Visibles 12-SEP-2019</t>
  </si>
  <si>
    <t xml:space="preserve">: 24-APR-2020Final orders can only be accepted on or before the last order
</t>
  </si>
  <si>
    <t xml:space="preserve">: 23-OCT-2020strongly recommended
</t>
  </si>
  <si>
    <t xml:space="preserve">: A declining and low demand for these products in the market along with the
</t>
  </si>
  <si>
    <t>: Opto Modules &amp; Visibles 06-NOV-2019</t>
  </si>
  <si>
    <t xml:space="preserve">: 27-FEB-2020
</t>
  </si>
  <si>
    <t xml:space="preserve">: 15-APR-2020
</t>
  </si>
  <si>
    <t xml:space="preserve">: Obsolescence of the currently used UVC emitter die by the vendor
</t>
  </si>
  <si>
    <t>: Opto Modules &amp; Visibles 12-MAR-2020</t>
  </si>
  <si>
    <t xml:space="preserve">: 17-MAY-2020As there haven´t been any orders/billings within the last 3
</t>
  </si>
  <si>
    <t xml:space="preserve">: 17-MAY-2020released.
</t>
  </si>
  <si>
    <t xml:space="preserve">: No demand / Portfolio Consolidation.
</t>
  </si>
  <si>
    <t>: Opto Modules &amp; Visibles 21-APR-2020</t>
  </si>
  <si>
    <t xml:space="preserve">: 01-MAY-2021
</t>
  </si>
  <si>
    <t xml:space="preserve">: 01-DEC-2021
</t>
  </si>
  <si>
    <t xml:space="preserve">: Obsolescence of the emitter die by the manufacturer.
</t>
  </si>
  <si>
    <t>: Opto Modules &amp; Visibles 28-JAN-2021</t>
  </si>
  <si>
    <t xml:space="preserve">: 03-AUG-2021Final orders can only be accepted on or before the last order
</t>
  </si>
  <si>
    <t xml:space="preserve">: 31-AUG-2021strongly recommended.
</t>
  </si>
  <si>
    <t xml:space="preserve">: The low demand for this products in the market has rendered it unfeasible to
</t>
  </si>
  <si>
    <t>: Opto Modules &amp; Visibles 28-APR-2021</t>
  </si>
  <si>
    <t xml:space="preserve">: 31-MAR-2021As there haven`t been any orders/sales within the last 3
</t>
  </si>
  <si>
    <t xml:space="preserve">: 31-MAR-2021released.
</t>
  </si>
  <si>
    <t>: Opto Modules &amp; Visibles 30-MAR-2021</t>
  </si>
  <si>
    <t xml:space="preserve">: 01-MAY-2011
</t>
  </si>
  <si>
    <t xml:space="preserve">: 31-OCT-2011
</t>
  </si>
  <si>
    <t xml:space="preserve">: Consolidation programm
</t>
  </si>
  <si>
    <t xml:space="preserve">: Opto Modules &amp; Visibles   09-NOV-2010 </t>
  </si>
  <si>
    <t>PCN-OMV-441-2010</t>
  </si>
  <si>
    <t xml:space="preserve">: 17-JAN-2011
</t>
  </si>
  <si>
    <t xml:space="preserve">: 31-MAR-2011
</t>
  </si>
  <si>
    <t xml:space="preserve">: The supplier of the die used in MOSFET Drivers has closed down its'
</t>
  </si>
  <si>
    <t xml:space="preserve">: Opto Modules &amp; Visibles      16-NOV-2010 </t>
  </si>
  <si>
    <t xml:space="preserve">PCN-OMV-446-2010 </t>
  </si>
  <si>
    <t xml:space="preserve">: 26-MAY-2011
</t>
  </si>
  <si>
    <t xml:space="preserve">: 25-NOV-2011
</t>
  </si>
  <si>
    <t xml:space="preserve">: For Mini white the chip is phased out by the supplier. No direct replacement
</t>
  </si>
  <si>
    <t xml:space="preserve">: Opto Modules &amp; Visibles      23-NOV-2010 </t>
  </si>
  <si>
    <t>PCN-OMV-449-2010</t>
  </si>
  <si>
    <t xml:space="preserve">: 09-SEP-2011
</t>
  </si>
  <si>
    <t xml:space="preserve">: Basic materials phased out
</t>
  </si>
  <si>
    <t xml:space="preserve">: Opto Modules &amp; Visibles      09-MAR-2011 </t>
  </si>
  <si>
    <t>PCN-OMV-479-2011</t>
  </si>
  <si>
    <t xml:space="preserve">: 16-MAR-2011
</t>
  </si>
  <si>
    <t xml:space="preserve">: 10-AUG-2011
</t>
  </si>
  <si>
    <t xml:space="preserve">: Increse of AlInGaP and InGaN chip brightness
</t>
  </si>
  <si>
    <t xml:space="preserve">: Opto Modules &amp; Visibles      22-MAR-2011 </t>
  </si>
  <si>
    <t>PCN-OMV-483-2011</t>
  </si>
  <si>
    <t xml:space="preserve">: 30-APR-2012Orders need to be placed asap to assure material availability.
</t>
  </si>
  <si>
    <t xml:space="preserve">: 31-OCT-2012
</t>
  </si>
  <si>
    <t xml:space="preserve">: Non Sony certified new production location.
</t>
  </si>
  <si>
    <t xml:space="preserve">: Opto Modules &amp; Visibles      27-OCT-2011 </t>
  </si>
  <si>
    <t>PCN-OMV-553-2011</t>
  </si>
  <si>
    <t xml:space="preserve">: 17-AUG-2012
</t>
  </si>
  <si>
    <t xml:space="preserve">: 15-FEB-2013
</t>
  </si>
  <si>
    <t xml:space="preserve">: Consolidation programm.
</t>
  </si>
  <si>
    <t>: Opto Modules &amp; Visibles      06-FEB-2012</t>
  </si>
  <si>
    <t>PCN-OMV-565-2012</t>
  </si>
  <si>
    <t xml:space="preserve">: 15-MAY-2012
</t>
  </si>
  <si>
    <t xml:space="preserve">: 14-SEP-2012
</t>
  </si>
  <si>
    <t xml:space="preserve">: Product consolidation program
</t>
  </si>
  <si>
    <t>: Opto Modules &amp; Visibles      12-MAR-2012</t>
  </si>
  <si>
    <t>PCN-OMV-575-2012</t>
  </si>
  <si>
    <t xml:space="preserve">: 01-OCT-2012
</t>
  </si>
  <si>
    <t xml:space="preserve">: 07-APR-2013
</t>
  </si>
  <si>
    <t xml:space="preserve">: Introduction of new improved material generation and consolidation of current portfolio.
</t>
  </si>
  <si>
    <t>: Opto Modules &amp; Visibles      02-APR-2012</t>
  </si>
  <si>
    <t>PCN-OMV-581-2012</t>
  </si>
  <si>
    <t xml:space="preserve">: 13-APR-2012
</t>
  </si>
  <si>
    <t xml:space="preserve">: Low demand for the last 4 years for IL440-6X007 &amp; IL440-6X009T products. Product Discontinuation/ End Of Life (EOL) for IL440 Series was
</t>
  </si>
  <si>
    <t>: Opto Modules &amp; Visibles      05-APR-2012</t>
  </si>
  <si>
    <t>PCN-OMV-585-2012</t>
  </si>
  <si>
    <t xml:space="preserve">: 13-JUL-2012
</t>
  </si>
  <si>
    <t xml:space="preserve">: Due to no demand for the past three years, the devices listed below will be obsolete. As
</t>
  </si>
  <si>
    <t>: Opto Modules &amp; Visibles 13-JUL-2012</t>
  </si>
  <si>
    <t>PCN-OMV-591-2012</t>
  </si>
  <si>
    <t xml:space="preserve">: 14-OCT-2012
</t>
  </si>
  <si>
    <t xml:space="preserve">: 15-JAN-2013
</t>
  </si>
  <si>
    <t xml:space="preserve">: Due to low demand for the past three years of following listed devices a product and
</t>
  </si>
  <si>
    <t>PCN-OMV-592-2012</t>
  </si>
  <si>
    <t xml:space="preserve">: 23-AUG-2012
</t>
  </si>
  <si>
    <t xml:space="preserve">: 23-OCT-2012
</t>
  </si>
  <si>
    <t xml:space="preserve">: Increase of InGaN chip technology brightness
</t>
  </si>
  <si>
    <t>: Opto Modules &amp; Visibles 15-AUG-2012</t>
  </si>
  <si>
    <t>PCN-OMV-595-2012</t>
  </si>
  <si>
    <t xml:space="preserve">: 08-MAR-2013Vishay Semiconductor reserves the right to limit last Time buy quantities
</t>
  </si>
  <si>
    <t xml:space="preserve">: 06-SEP-2013
</t>
  </si>
  <si>
    <t xml:space="preserve">: Current Manufacturing equipment has been going down intermittently as it has reached its
</t>
  </si>
  <si>
    <t>: Opto Modules &amp; Visibles 10-SEP-2012</t>
  </si>
  <si>
    <t>PCN-OMV-601-2012</t>
  </si>
  <si>
    <t xml:space="preserve">: 22-AUG-2012
</t>
  </si>
  <si>
    <t xml:space="preserve">: product discontinuation due to no business last 2 years
</t>
  </si>
  <si>
    <t>: Opto Modules &amp; Visibles 27-AUG-2012</t>
  </si>
  <si>
    <t>PCN-OMV-603-2012</t>
  </si>
  <si>
    <t xml:space="preserve">: 01-APR-2013
</t>
  </si>
  <si>
    <t xml:space="preserve">: 01-OCT-2013
</t>
  </si>
  <si>
    <t xml:space="preserve">: Consolidate IR Receiver portfolio.
</t>
  </si>
  <si>
    <t>: Opto Modules &amp; Visibles 14-SEP-2012</t>
  </si>
  <si>
    <t>PCN-OMV-607-2012</t>
  </si>
  <si>
    <t xml:space="preserve">: 04-AUG-2013
</t>
  </si>
  <si>
    <t xml:space="preserve">: 11-SEP-2013
</t>
  </si>
  <si>
    <t xml:space="preserve">: The VLP*0101C5 and VLP*0303C5 will be phased out due to the following reasons
</t>
  </si>
  <si>
    <t>: Opto Modules &amp; Visibles 22-JUL-2013</t>
  </si>
  <si>
    <t>PCN-OMV-679-2013</t>
  </si>
  <si>
    <t xml:space="preserve">: 08-FEB-2014
</t>
  </si>
  <si>
    <t xml:space="preserve">: Portfolio consolidation.
</t>
  </si>
  <si>
    <t>: Opto Modules &amp; Visibles 02-AUG-2013</t>
  </si>
  <si>
    <t>PCN-OMV-683-2013</t>
  </si>
  <si>
    <t xml:space="preserve">: 01-APR-2014
</t>
  </si>
  <si>
    <t xml:space="preserve">: 01-JUL-2014
</t>
  </si>
  <si>
    <t>: Opto Modules &amp; Visibles 05-AUG-2013</t>
  </si>
  <si>
    <t>PCN-OMV-685-2013</t>
  </si>
  <si>
    <t xml:space="preserve">: 28-NOV-2013
</t>
  </si>
  <si>
    <t xml:space="preserve">: 28-FEB-2014
</t>
  </si>
  <si>
    <t xml:space="preserve">: Due to low sales for the past three years following listed devices are being discontinued.
</t>
  </si>
  <si>
    <t>: Opto Modules &amp; Visibles 29-AUG-2013</t>
  </si>
  <si>
    <t>PCN-OMV-688-2013</t>
  </si>
  <si>
    <t xml:space="preserve">: 25-OCT-2013
</t>
  </si>
  <si>
    <t xml:space="preserve">: 25-JAN-2014
</t>
  </si>
  <si>
    <t xml:space="preserve">: declining demand, production consolidation
</t>
  </si>
  <si>
    <t>: Opto Modules &amp; Visibles 30-AUG-2013</t>
  </si>
  <si>
    <t>PCN-OMV-689-2013</t>
  </si>
  <si>
    <t xml:space="preserve">: 12-DEC-2013
</t>
  </si>
  <si>
    <t xml:space="preserve">: 10-SEP-2014
</t>
  </si>
  <si>
    <t xml:space="preserve">: The LED with oval lens used for this module will be phased out
</t>
  </si>
  <si>
    <t>: Opto Modules &amp; Visibles 19-SEP-2013</t>
  </si>
  <si>
    <t>PCN-OMV-691-2013</t>
  </si>
  <si>
    <t xml:space="preserve">: 02-OCT-2013
</t>
  </si>
  <si>
    <t xml:space="preserve">: Product discontinuation due to no business last 2 years.
</t>
  </si>
  <si>
    <t>: Opto Modules &amp; Visibles 07-OCT-2013</t>
  </si>
  <si>
    <t>PCN-OMV-693-2013</t>
  </si>
  <si>
    <t xml:space="preserve">: 30-JAN-2014
</t>
  </si>
  <si>
    <t xml:space="preserve">: 30-APR-2014
</t>
  </si>
  <si>
    <t xml:space="preserve">: Product consolidation.
</t>
  </si>
  <si>
    <t>: Opto Modules &amp; Visibles 04-NOV-2013</t>
  </si>
  <si>
    <t>PCN-OMV-697-2013</t>
  </si>
  <si>
    <t>: Opto Modules &amp; Visibles 13-DEC-2013</t>
  </si>
  <si>
    <t>PCN-OMV-707-2013</t>
  </si>
  <si>
    <t xml:space="preserve">: 28-JUN-2014
</t>
  </si>
  <si>
    <t xml:space="preserve">: 15-DEC-2014
</t>
  </si>
  <si>
    <t xml:space="preserve">: Due to declining demand of listed devices and production consolidation
</t>
  </si>
  <si>
    <t>PCN-OMV-709-2013</t>
  </si>
  <si>
    <t xml:space="preserve">: 01-NOV-2014
</t>
  </si>
  <si>
    <t xml:space="preserve">: 01-MAY-2015
</t>
  </si>
  <si>
    <t>: Opto Modules &amp; Visibles 06-FEB-2014</t>
  </si>
  <si>
    <t>PCN-OMV-723-2014</t>
  </si>
  <si>
    <t xml:space="preserve">: 01-SEP-2014
</t>
  </si>
  <si>
    <t xml:space="preserve">: 01-MAR-2015
</t>
  </si>
  <si>
    <t xml:space="preserve">: portfolio consolidation
</t>
  </si>
  <si>
    <t>: Opto Modules &amp; Visibles 04-MAR-2014</t>
  </si>
  <si>
    <t>PCN-OMV-731-2014</t>
  </si>
  <si>
    <t xml:space="preserve">: 02-JUN-2014
</t>
  </si>
  <si>
    <t xml:space="preserve">: 17-MAR-2015
</t>
  </si>
  <si>
    <t xml:space="preserve">: Due to declining demand and production consolidation, devices listed below will be
</t>
  </si>
  <si>
    <t>: Opto Modules &amp; Visibles 17-MAR-2014</t>
  </si>
  <si>
    <t>PCN-OMV-733-2014</t>
  </si>
  <si>
    <t xml:space="preserve">: 28-SEP-2014
</t>
  </si>
  <si>
    <t xml:space="preserve">: 29-MAR-2015
</t>
  </si>
  <si>
    <t>: Opto Modules &amp; Visibles 23-MAR-2014</t>
  </si>
  <si>
    <t>PCN-OMV-735-2014</t>
  </si>
  <si>
    <t xml:space="preserve">: 31-DEC-2014
</t>
  </si>
  <si>
    <t xml:space="preserve">: 01-JUL-2015
</t>
  </si>
  <si>
    <t>: Opto Modules &amp; Visibles 11-JUN-2014</t>
  </si>
  <si>
    <t>PCN-OMV-749-2014</t>
  </si>
  <si>
    <t xml:space="preserve">: 08-MAR-2015
</t>
  </si>
  <si>
    <t xml:space="preserve">: 06-SEP-2015
</t>
  </si>
  <si>
    <t xml:space="preserve">: No demand and worrn out tool
</t>
  </si>
  <si>
    <t>: Opto Modules &amp; Visibles 15-SEP-2014</t>
  </si>
  <si>
    <t>PCN-OMV-777-2014</t>
  </si>
  <si>
    <t xml:space="preserve">: 19-APR-2015
</t>
  </si>
  <si>
    <t xml:space="preserve">: 18-OCT-2015
</t>
  </si>
  <si>
    <t xml:space="preserve">: Consolidate IR Portfolio
</t>
  </si>
  <si>
    <t>: Opto Modules &amp; Visibles 20-OCT-2014</t>
  </si>
  <si>
    <t>PCN-OMV-787-2014</t>
  </si>
  <si>
    <t xml:space="preserve">: 12-NOV-2014
</t>
  </si>
  <si>
    <t xml:space="preserve">: Product discuntinuation due to no business last 2 years
</t>
  </si>
  <si>
    <t>: Opto Modules &amp; Visibles 18-NOV-2014</t>
  </si>
  <si>
    <t>PCN-OMV-793-2014</t>
  </si>
  <si>
    <t xml:space="preserve">: 01-OCT-2015
</t>
  </si>
  <si>
    <t xml:space="preserve">: 01-APR-2016
</t>
  </si>
  <si>
    <t>: Opto Modules &amp; Visibles 31-MAR-2015</t>
  </si>
  <si>
    <t>PCN-OMV-827-2015</t>
  </si>
  <si>
    <t xml:space="preserve">: 28-NOV-2015
</t>
  </si>
  <si>
    <t xml:space="preserve">: 28-MAY-2016
</t>
  </si>
  <si>
    <t xml:space="preserve">: IC obsolescence and Portfolio consolidation.
</t>
  </si>
  <si>
    <t>: Opto Modules &amp; Visibles 01-JUN-2015</t>
  </si>
  <si>
    <t>PCN-OMV-843-2015</t>
  </si>
  <si>
    <t xml:space="preserve">: 31-JAN-2016
</t>
  </si>
  <si>
    <t xml:space="preserve">: 31-JUL-2016
</t>
  </si>
  <si>
    <t xml:space="preserve">: End of Life.
</t>
  </si>
  <si>
    <t>: Opto Modules &amp; Visibles 17-AUG-2015</t>
  </si>
  <si>
    <t>PCN-OMV-847-2015</t>
  </si>
  <si>
    <t xml:space="preserve">: 18-NOV-2015
</t>
  </si>
  <si>
    <t xml:space="preserve">: 10-OCT-2016
</t>
  </si>
  <si>
    <t xml:space="preserve">: Chip series for the TELUX device types TLWR9600 and TLWR9900 is phased out.
</t>
  </si>
  <si>
    <t>: Opto Modules &amp; Visibles 05-OCT-2015</t>
  </si>
  <si>
    <t>PCN-OMV-863-2015</t>
  </si>
  <si>
    <t xml:space="preserve">: 30-JUN-2016
</t>
  </si>
  <si>
    <t xml:space="preserve">: 31-DEC-2016
</t>
  </si>
  <si>
    <t xml:space="preserve">: No demand and worrn out tool.
</t>
  </si>
  <si>
    <t>: Opto Modules &amp; Visibles 18-JAN-2016</t>
  </si>
  <si>
    <t>PCN-OMV-878-2015</t>
  </si>
  <si>
    <t xml:space="preserve">: 31-JAN-2017
</t>
  </si>
  <si>
    <t xml:space="preserve">: 31-JUL-2017
</t>
  </si>
  <si>
    <t xml:space="preserve">: The Vendor of the detector chip has announced discontinuance of the die.
</t>
  </si>
  <si>
    <t>: Opto Modules &amp; Visibles 29-JAN-2016</t>
  </si>
  <si>
    <t>PCN-OMV-883-2016</t>
  </si>
  <si>
    <t xml:space="preserve">: 10-JUN-2016
</t>
  </si>
  <si>
    <t xml:space="preserve">: 10-SEP-2016
</t>
  </si>
  <si>
    <t xml:space="preserve">: No demand of MQ1 and tool will be changed to new custom MT1 holder for Technicolor
</t>
  </si>
  <si>
    <t>: Opto Modules &amp; Visibles 14-MAR-2016</t>
  </si>
  <si>
    <t>PCN-OMV-905-2016</t>
  </si>
  <si>
    <t xml:space="preserve">: 13-JUN-2016last time buy and shipment have the same date to enable parts to be
</t>
  </si>
  <si>
    <t xml:space="preserve">: 13-JUN-2016
</t>
  </si>
  <si>
    <t xml:space="preserve">: Removal of product with incorrect nomenclature.
</t>
  </si>
  <si>
    <t>: Opto Modules &amp; Visibles 13-JUN-2016</t>
  </si>
  <si>
    <t>PCN-OMV-907-2016</t>
  </si>
  <si>
    <t xml:space="preserve">: 20-DEC-2016
</t>
  </si>
  <si>
    <t xml:space="preserve">: 31-MAY-2017
</t>
  </si>
  <si>
    <t xml:space="preserve">: Due to declining demand of listed devices and production consolidation it is
</t>
  </si>
  <si>
    <t>: Opto Modules &amp; Visibles WITHDRAWN  since  8-DEC-2016</t>
  </si>
  <si>
    <t>PCN-OMV-913-2016</t>
  </si>
  <si>
    <t xml:space="preserve">: Due to declining demand of listed devices and production consolidation it is necessary to
</t>
  </si>
  <si>
    <t>: Opto Modules &amp; Visibles 30-MAY-2016</t>
  </si>
  <si>
    <t xml:space="preserve">: 28-JUL-2017
</t>
  </si>
  <si>
    <t xml:space="preserve">: 26-JAN-2018
</t>
  </si>
  <si>
    <t xml:space="preserve">: No Sales on identified product.
</t>
  </si>
  <si>
    <t>: Opto Modules &amp; Visibles 29-JAN-2017</t>
  </si>
  <si>
    <t>PCN-OMV-947-2017</t>
  </si>
  <si>
    <t xml:space="preserve">: 11-AUG-2017
</t>
  </si>
  <si>
    <t xml:space="preserve">: 16-FEB-2018
</t>
  </si>
  <si>
    <t xml:space="preserve">: Consolidation of the Portfolio.
</t>
  </si>
  <si>
    <t>: Opto Modules &amp; Visibles 15-FEB-2017</t>
  </si>
  <si>
    <t>PCN-OMV-952-2017</t>
  </si>
  <si>
    <t xml:space="preserve">: 28-JUL-2017We are discontinuing these products effectively immediately.
</t>
  </si>
  <si>
    <t xml:space="preserve">: Products are been made obsolete for the following reasons:
</t>
  </si>
  <si>
    <t>PCN-OMV-953-2017</t>
  </si>
  <si>
    <t xml:space="preserve">: 01-SEP-2017
</t>
  </si>
  <si>
    <t xml:space="preserve">: 02-MAR-2018
</t>
  </si>
  <si>
    <t xml:space="preserve">: This action is being taken for one of the following reasons:
</t>
  </si>
  <si>
    <t>: Opto Modules &amp; Visibles 09-MAR-2017</t>
  </si>
  <si>
    <t>PCN-OMV-963-2017</t>
  </si>
  <si>
    <t xml:space="preserve">: 30-SEP-2017
</t>
  </si>
  <si>
    <t>: Opto Modules &amp; Visibles 28-MAR-2017</t>
  </si>
  <si>
    <t>PCN-OMV-969-2017</t>
  </si>
  <si>
    <t xml:space="preserve">: 16-APR-2017
</t>
  </si>
  <si>
    <t>: Opto Modules &amp; Visibles 18-APR-2017</t>
  </si>
  <si>
    <t>PCN-OMV-977-2017</t>
  </si>
  <si>
    <t xml:space="preserve">: 31-MAY-2018
</t>
  </si>
  <si>
    <t xml:space="preserve">: 31-AUG-2018
</t>
  </si>
  <si>
    <t xml:space="preserve">: End of life for T8810VC.
</t>
  </si>
  <si>
    <t>: Opto Sensors &amp; IRDC 05-JAN-2018</t>
  </si>
  <si>
    <t xml:space="preserve">: 31-MAY-2019
</t>
  </si>
  <si>
    <t xml:space="preserve">: 31-DEC-2019
</t>
  </si>
  <si>
    <t xml:space="preserve">: Discontinuation of sensor IC
</t>
  </si>
  <si>
    <t>: Opto Sensors &amp; IRDC 21-FEB-2019</t>
  </si>
  <si>
    <t xml:space="preserve">: 31-AUG-2019
</t>
  </si>
  <si>
    <t xml:space="preserve">: 30-NOV-2019
</t>
  </si>
  <si>
    <t xml:space="preserve">: Due to the low demand of listed devices a product and production
</t>
  </si>
  <si>
    <t>: Opto Sensors &amp; IRDC 11-MAR-2019</t>
  </si>
  <si>
    <t xml:space="preserve">: 30-APR-2020
</t>
  </si>
  <si>
    <t>: Opto Sensors &amp; IRDC 26-SEP-2019</t>
  </si>
  <si>
    <t xml:space="preserve">: 14-OCT-2020
</t>
  </si>
  <si>
    <t xml:space="preserve">: low demand
</t>
  </si>
  <si>
    <t>: Opto Sensors &amp; IRDC 29-OCT-2019</t>
  </si>
  <si>
    <t xml:space="preserve">: 30-NOV-2020
</t>
  </si>
  <si>
    <t xml:space="preserve">: 29-JAN-2021
</t>
  </si>
  <si>
    <t xml:space="preserve">: very low demand
</t>
  </si>
  <si>
    <t>: Opto Sensors &amp; IRDC 14-SEP-2020</t>
  </si>
  <si>
    <t xml:space="preserve">: 30-SEP-2020
</t>
  </si>
  <si>
    <t xml:space="preserve">: 31-DEC-2020
</t>
  </si>
  <si>
    <t xml:space="preserve">: End of Life of T290V-SF-F and T291V-SF-F
</t>
  </si>
  <si>
    <t>: Opto Sensors &amp; IRDC 25-JUN-2020</t>
  </si>
  <si>
    <t xml:space="preserve">: 03-JUL-2021
</t>
  </si>
  <si>
    <t>: Opto Sensors &amp; IRDC 14-JUL-2020</t>
  </si>
  <si>
    <t xml:space="preserve">: 30-SEP-2021
</t>
  </si>
  <si>
    <t>: Opto Sensors &amp; IRDC 15-JUN-2021</t>
  </si>
  <si>
    <t xml:space="preserve">: 02-APR-2010
</t>
  </si>
  <si>
    <t xml:space="preserve">:02-JUL-2010
</t>
  </si>
  <si>
    <t xml:space="preserve">: Due to no demand of the lower intensity groups, yield situation for -3 group cannot
</t>
  </si>
  <si>
    <t xml:space="preserve">: Opto Sensors &amp; IRDC      07-OCT-2009 </t>
  </si>
  <si>
    <t>PTN OSI-353-2009</t>
  </si>
  <si>
    <t xml:space="preserve">: 12-MAR-2010
</t>
  </si>
  <si>
    <t xml:space="preserve">:30-JUN-2010
</t>
  </si>
  <si>
    <t xml:space="preserve">: Opto Sensors &amp; IRDC      08-DEC-2009 </t>
  </si>
  <si>
    <t xml:space="preserve">: Consolidation program
</t>
  </si>
  <si>
    <t xml:space="preserve">: 01-MAR-2011
</t>
  </si>
  <si>
    <t xml:space="preserve">: 31-AUG-2011
</t>
  </si>
  <si>
    <t xml:space="preserve">: Due to low demand of listed devices a product and production consolidation is necessary to streamline and optimize facility resource utilization. In
</t>
  </si>
  <si>
    <t xml:space="preserve">: Opto Sensors &amp; IRDC      13-SEP-2010 </t>
  </si>
  <si>
    <t xml:space="preserve">: 11-DEC-2010 There are limited numbers of TFDU8108 available. If the
</t>
  </si>
  <si>
    <t xml:space="preserve">: 31-MAR-2011 data rate.
</t>
  </si>
  <si>
    <t xml:space="preserve">: ASIC supplier announced to discontinue the production of the internal ASIC.
</t>
  </si>
  <si>
    <t xml:space="preserve">: Opto Sensors &amp; IRDC      23-NOV-2010 </t>
  </si>
  <si>
    <t xml:space="preserve">: 31-OCT-2011 Time schedule is according to all valid customer contracts and according
</t>
  </si>
  <si>
    <t xml:space="preserve">: 30-APR-2012
</t>
  </si>
  <si>
    <t xml:space="preserve">: For the last 2 years Vishay agreed to offer a continuous supply of these EOL devices for
</t>
  </si>
  <si>
    <t xml:space="preserve">: Opto Sensors &amp; IRDC      25-MAR-2011 </t>
  </si>
  <si>
    <t xml:space="preserve">: 30-JUN-2011
</t>
  </si>
  <si>
    <t xml:space="preserve">: Due to no demand within the last 3 years the listed device are announced to be
</t>
  </si>
  <si>
    <t xml:space="preserve">: Opto Sensors &amp; IRDC      17-JUN-2011 </t>
  </si>
  <si>
    <t xml:space="preserve">: 31-JAN-2012
</t>
  </si>
  <si>
    <t xml:space="preserve">: 3 Photodiodes have been developed for the customer Finisar. These chips request a
</t>
  </si>
  <si>
    <t xml:space="preserve">: Opto Sensors &amp; IRDC      27-OCT-2011 </t>
  </si>
  <si>
    <t xml:space="preserve">: 23-MAR-2012No last time buy will be allowed. HP has directed Vishay to discontinue
</t>
  </si>
  <si>
    <t xml:space="preserve">: 23-MAR-2012
</t>
  </si>
  <si>
    <t xml:space="preserve">: No production orders
</t>
  </si>
  <si>
    <t>: Opto Sensors &amp; IRDC      29-MAR-2012</t>
  </si>
  <si>
    <t xml:space="preserve">: 21-APR-2012There will be no last time buy. HP does not need any.
</t>
  </si>
  <si>
    <t xml:space="preserve">: 21-APR-2012
</t>
  </si>
  <si>
    <t xml:space="preserve">: HP has advised us that they will no longer order this sensor so we can discontinue it.
</t>
  </si>
  <si>
    <t>: Opto Sensors &amp; IRDC 22-APR-2012</t>
  </si>
  <si>
    <t xml:space="preserve">: 01-JUL-2013
</t>
  </si>
  <si>
    <t xml:space="preserve">: 31-DEC-2013
</t>
  </si>
  <si>
    <t xml:space="preserve">: For the last 4 years Vishay agreed to offer a continuous supply of these EOL devices for
</t>
  </si>
  <si>
    <t>: Opto Sensors &amp; IRDC 15-JAN-2013</t>
  </si>
  <si>
    <t xml:space="preserve">: 28-JUN-2013
</t>
  </si>
  <si>
    <t xml:space="preserve">: 15-DEC-2013
</t>
  </si>
  <si>
    <t xml:space="preserve">: Declining demand
</t>
  </si>
  <si>
    <t xml:space="preserve">: 08-MAY-2013
</t>
  </si>
  <si>
    <t xml:space="preserve">: Due to technical issues,TCNT2000 is announced for discontinuation.For this reason, the
</t>
  </si>
  <si>
    <t>: Opto Sensors &amp; IRDC 14-MAY-2013</t>
  </si>
  <si>
    <t xml:space="preserve">: 31-JAN-2014
</t>
  </si>
  <si>
    <t xml:space="preserve">: Volume of business has become too small to support.
</t>
  </si>
  <si>
    <t>: Opto Sensors &amp; IRDC 10-JUL-2013</t>
  </si>
  <si>
    <t xml:space="preserve">: 31-MAR-2014
</t>
  </si>
  <si>
    <t xml:space="preserve">: 31-JUL-2014
</t>
  </si>
  <si>
    <t xml:space="preserve">: EOL of IC process
</t>
  </si>
  <si>
    <t>: Opto Sensors &amp; IRDC 11-JUL-2013</t>
  </si>
  <si>
    <t xml:space="preserve">: 31-MAY-2014
</t>
  </si>
  <si>
    <t xml:space="preserve">: Due to declining demand for integrated proximity sensors without interrupt function,the
</t>
  </si>
  <si>
    <t>: Opto Sensors &amp; IRDC 26-NOV-2013</t>
  </si>
  <si>
    <t xml:space="preserve">: 30-JUN-2014
</t>
  </si>
  <si>
    <t xml:space="preserve">: declining demand
</t>
  </si>
  <si>
    <t>: Opto Sensors &amp; IRDC 21-JAN-2014</t>
  </si>
  <si>
    <t xml:space="preserve">: 31-AUG-2014
</t>
  </si>
  <si>
    <t xml:space="preserve">: No running parts
</t>
  </si>
  <si>
    <t>: Opto Sensors &amp; IRDC 25-JUN-2014</t>
  </si>
  <si>
    <t xml:space="preserve">: 29-AUG-2014Samples of recommended alternative parts are available upon request.
</t>
  </si>
  <si>
    <t xml:space="preserve">: 30-SEP-2014
</t>
  </si>
  <si>
    <t>: Opto Sensors &amp; IRDC 15-AUG-2014</t>
  </si>
  <si>
    <t xml:space="preserve">: 30-APR-2015
</t>
  </si>
  <si>
    <t xml:space="preserve">: 31-OCT-2015
</t>
  </si>
  <si>
    <t xml:space="preserve">: Declining demand.
</t>
  </si>
  <si>
    <t>: Opto Sensors &amp; IRDC 03-NOV-2014</t>
  </si>
  <si>
    <t xml:space="preserve">: 31-MAY-2015
</t>
  </si>
  <si>
    <t xml:space="preserve">: 30-NOV-2015
</t>
  </si>
  <si>
    <t xml:space="preserve">: Supplier obsoletes the product.
</t>
  </si>
  <si>
    <t>: Opto Sensors &amp; IRDC 15-JAN-2015</t>
  </si>
  <si>
    <t xml:space="preserve">: 20-APR-2015PCN date: ww11 2015
</t>
  </si>
  <si>
    <t xml:space="preserve">: 28-JUN-2015EOL date (A9T80-80023): 30 Apr 2015
</t>
  </si>
  <si>
    <t xml:space="preserve">: Customer request (Consolidation of both analog encoder part numbers under C9000-
</t>
  </si>
  <si>
    <t>: Opto Sensors &amp; IRDC 16-MAR-2015</t>
  </si>
  <si>
    <t xml:space="preserve">: 18-AUG-2015
</t>
  </si>
  <si>
    <t>: Opto Sensors &amp; IRDC 21-AUG-2015</t>
  </si>
  <si>
    <t xml:space="preserve">: 28-SEP-2015
</t>
  </si>
  <si>
    <t>: Opto Sensors &amp; IRDC 29-SEP-2015</t>
  </si>
  <si>
    <t xml:space="preserve">: 21-FEB-2016
</t>
  </si>
  <si>
    <t xml:space="preserve">: End supplier changed chip specification and do not supply old chips anymore
</t>
  </si>
  <si>
    <t>: Opto Sensors &amp; IRDC 14-MAR-2016</t>
  </si>
  <si>
    <t xml:space="preserve">: 31-AUG-2017
</t>
  </si>
  <si>
    <t xml:space="preserve">: 28-FEB-2018
</t>
  </si>
  <si>
    <t>: Opto Sensors &amp; IRDC 09-MAR-2017</t>
  </si>
  <si>
    <t>PCN OSI-945-2017</t>
  </si>
  <si>
    <t xml:space="preserve">: 09-FEB-2017
</t>
  </si>
  <si>
    <t xml:space="preserve">: No sales the last 2 years.
</t>
  </si>
  <si>
    <t>: Opto Sensors &amp; IRDC 15-FEB-2017</t>
  </si>
  <si>
    <t xml:space="preserve">: 10-FEB-2017
</t>
  </si>
  <si>
    <t xml:space="preserve">: No sales in the past years
</t>
  </si>
  <si>
    <t xml:space="preserve">: 30-APR-2011
</t>
  </si>
  <si>
    <t xml:space="preserve">: Process and Production Consolidation
</t>
  </si>
  <si>
    <t xml:space="preserve">: Small Signal Products    08-NOV-2010 </t>
  </si>
  <si>
    <t>PCN SSP-443-2010  -Rev-1</t>
  </si>
  <si>
    <t xml:space="preserve">: Aug. 20, 2018
</t>
  </si>
  <si>
    <t xml:space="preserve">: Feb. 20, 2019
</t>
  </si>
  <si>
    <t xml:space="preserve">: Decreasing sales and availability of good replacements in 157 PUM-SI and
</t>
  </si>
  <si>
    <t>Feb. 20, 2018</t>
  </si>
  <si>
    <t xml:space="preserve">: Tue Sep 21, 2021
</t>
  </si>
  <si>
    <t xml:space="preserve">: Portfolio Management. Better and more suitable products available in other Snap-In series.
</t>
  </si>
  <si>
    <t>: AC</t>
  </si>
  <si>
    <t>Tue Mar 23, 2021</t>
  </si>
  <si>
    <t xml:space="preserve">:  June 11, 2019
</t>
  </si>
  <si>
    <t xml:space="preserve">:  December 11, 2019
</t>
  </si>
  <si>
    <t xml:space="preserve">:  Low demand
</t>
  </si>
  <si>
    <t>: Vishay Division Name</t>
  </si>
  <si>
    <t>Dec. 11, 2018</t>
  </si>
  <si>
    <t xml:space="preserve">: Thu Sep 30, 2021
</t>
  </si>
  <si>
    <t xml:space="preserve">: Poor availability of key raw materials and low market demand.
</t>
  </si>
  <si>
    <t>Mon Mar 1, 2021</t>
  </si>
  <si>
    <t>Tue Mar 30, 2021</t>
  </si>
  <si>
    <t xml:space="preserve">: Sun Mar 27, 2022
</t>
  </si>
  <si>
    <t>Mon Sep 27, 2021</t>
  </si>
  <si>
    <t xml:space="preserve">:   O c t o b e r 31, 2019
</t>
  </si>
  <si>
    <t xml:space="preserve">:  March 21, 2020
</t>
  </si>
  <si>
    <t xml:space="preserve">: Discontinuance of third party materials
</t>
  </si>
  <si>
    <t>May 10, 2019</t>
  </si>
  <si>
    <t xml:space="preserve">: Thu May 26, 2022
</t>
  </si>
  <si>
    <t xml:space="preserve">: Raw material is not available any longer
</t>
  </si>
  <si>
    <t>: CC</t>
  </si>
  <si>
    <t>Mon Nov 15, 2021</t>
  </si>
  <si>
    <t xml:space="preserve"> April 19, 2020</t>
  </si>
  <si>
    <t xml:space="preserve">: Mon May 9, 2022
</t>
  </si>
  <si>
    <t xml:space="preserve">: Ceramic disc manufacturing process no longer available
</t>
  </si>
  <si>
    <t>Fri Oct 1, 2021</t>
  </si>
  <si>
    <t xml:space="preserve">: Banishment of lead-containing solder.
</t>
  </si>
  <si>
    <t xml:space="preserve"> March 17, 2020</t>
  </si>
  <si>
    <t>PCN-CC-001-2020</t>
  </si>
  <si>
    <t xml:space="preserve">: Chip inserts discontinued
</t>
  </si>
  <si>
    <t xml:space="preserve"> March 23, 2020</t>
  </si>
  <si>
    <t>PCN-CC-002-2020</t>
  </si>
  <si>
    <t xml:space="preserve">: June 10, 2020
</t>
  </si>
  <si>
    <t xml:space="preserve">: January 11, 2021
</t>
  </si>
  <si>
    <t xml:space="preserve"> January 10, 2020</t>
  </si>
  <si>
    <t xml:space="preserve">: August 2, 2021
</t>
  </si>
  <si>
    <t xml:space="preserve">: February 2, 2022
</t>
  </si>
  <si>
    <t xml:space="preserve">:  Portfolio consolidation
</t>
  </si>
  <si>
    <t xml:space="preserve"> February 2, 2021</t>
  </si>
  <si>
    <t xml:space="preserve">: July 19 th , 2018
</t>
  </si>
  <si>
    <t xml:space="preserve">: January 19 th , 2019
</t>
  </si>
  <si>
    <t xml:space="preserve"> January 19 th , 2018</t>
  </si>
  <si>
    <t xml:space="preserve">:   April 26, 2019
</t>
  </si>
  <si>
    <t xml:space="preserve">:  October 25, 2019
</t>
  </si>
  <si>
    <t xml:space="preserve">: Diode Division </t>
  </si>
  <si>
    <t xml:space="preserve"> March 26, 2019</t>
  </si>
  <si>
    <t xml:space="preserve">: December 18, 2020
</t>
  </si>
  <si>
    <t xml:space="preserve">: June 18, 2021
</t>
  </si>
  <si>
    <t xml:space="preserve">: Portfolio consolidation
</t>
  </si>
  <si>
    <t xml:space="preserve"> June 18, 2020</t>
  </si>
  <si>
    <t xml:space="preserve">: October 20, 2020
</t>
  </si>
  <si>
    <t xml:space="preserve">: April 30, 2021
</t>
  </si>
  <si>
    <t xml:space="preserve">:   Discontinued supply of Mosfet - IGBT dice
</t>
  </si>
  <si>
    <t xml:space="preserve"> June 19, 2020</t>
  </si>
  <si>
    <t xml:space="preserve">:  Low customer demand
</t>
  </si>
  <si>
    <t xml:space="preserve"> August, 10th 2016</t>
  </si>
  <si>
    <t xml:space="preserve">:  Low production volume
</t>
  </si>
  <si>
    <t xml:space="preserve"> October, 12 th 2016</t>
  </si>
  <si>
    <t xml:space="preserve">: December 28, 2020
</t>
  </si>
  <si>
    <t xml:space="preserve">: June 28, 2021
</t>
  </si>
  <si>
    <t xml:space="preserve">: Low business and Portfolio Consolidation
</t>
  </si>
  <si>
    <t xml:space="preserve"> June 26, 2020</t>
  </si>
  <si>
    <t xml:space="preserve">: May 12, 2022
</t>
  </si>
  <si>
    <t xml:space="preserve">: November 12, 2022
</t>
  </si>
  <si>
    <t xml:space="preserve">: Low sales, Portfolio Consolidation
</t>
  </si>
  <si>
    <t xml:space="preserve"> November 12, 2021</t>
  </si>
  <si>
    <t xml:space="preserve">: March 25, 2019
</t>
  </si>
  <si>
    <t xml:space="preserve">: September 25, 2019
</t>
  </si>
  <si>
    <t xml:space="preserve"> September 25, 2018</t>
  </si>
  <si>
    <t xml:space="preserve">: May 31, 2021
</t>
  </si>
  <si>
    <t xml:space="preserve">: November 30, 2021
</t>
  </si>
  <si>
    <t xml:space="preserve">: Production line consolidation.
</t>
  </si>
  <si>
    <t xml:space="preserve"> November 30, 2020</t>
  </si>
  <si>
    <t xml:space="preserve">:   May 4, 2020
</t>
  </si>
  <si>
    <t xml:space="preserve">:  November 4, 2020
</t>
  </si>
  <si>
    <t xml:space="preserve"> December 10, 2019</t>
  </si>
  <si>
    <t xml:space="preserve">: May 31, 2020
</t>
  </si>
  <si>
    <t xml:space="preserve">: December 31, 2020
</t>
  </si>
  <si>
    <t xml:space="preserve"> December 20, 2019</t>
  </si>
  <si>
    <t xml:space="preserve">: 6/3/2018
</t>
  </si>
  <si>
    <t xml:space="preserve">: 8/3/2018
</t>
  </si>
  <si>
    <t xml:space="preserve">: Low Sales
</t>
  </si>
  <si>
    <t>January 3, 2018</t>
  </si>
  <si>
    <t xml:space="preserve">: Mon Feb 22, 2021
</t>
  </si>
  <si>
    <t xml:space="preserve">: Vishay no longer has the ability to perform the acceptance testing required.
</t>
  </si>
  <si>
    <t>: DI</t>
  </si>
  <si>
    <t>Mon Feb 22, 2021</t>
  </si>
  <si>
    <t xml:space="preserve">: Wed Nov 10, 2021
</t>
  </si>
  <si>
    <t xml:space="preserve">:  5/10/2022
</t>
  </si>
  <si>
    <t xml:space="preserve">: New improved series is available
</t>
  </si>
  <si>
    <t>Wed May 19, 2021</t>
  </si>
  <si>
    <t xml:space="preserve">: Fri Sep 10, 2021
</t>
  </si>
  <si>
    <t xml:space="preserve">:  12/30/2021
</t>
  </si>
  <si>
    <t xml:space="preserve">: According to the EU RoHS regulations, the LID used in XT36 products will no
</t>
  </si>
  <si>
    <t>Wed Jul 7, 2021</t>
  </si>
  <si>
    <t xml:space="preserve">: July 22 , 20 20 ;  Last Time Shipment Date: Jan. 22 , 20 2 1
</t>
  </si>
  <si>
    <t xml:space="preserve">: Jan. 22 , 20 2 1
</t>
  </si>
  <si>
    <t xml:space="preserve">: The market for these products is in decline. Vishay is focusing its
</t>
  </si>
  <si>
    <t xml:space="preserve"> January 21 , 20 20 </t>
  </si>
  <si>
    <t>PCN-DR-0 000 2-20 20</t>
  </si>
  <si>
    <t xml:space="preserve">: Nov. 12 , 20 20 ;  Last Time Ship Date: Jun. 12 , 20 2 1
</t>
  </si>
  <si>
    <t xml:space="preserve"> May 12 , 20 20 </t>
  </si>
  <si>
    <t>PCN-DR-0 0010 -20 20</t>
  </si>
  <si>
    <t xml:space="preserve"> November 23 , 20 20 </t>
  </si>
  <si>
    <t>PCN-DR-0 0020 -20 20</t>
  </si>
  <si>
    <t xml:space="preserve">: May 22 , 20 21 ;  Last Time Ship Date: Nov. 22 , 20 2 1
</t>
  </si>
  <si>
    <t xml:space="preserve">: Production volume for CPL, CPCL, CPSL resistors has
</t>
  </si>
  <si>
    <t xml:space="preserve"> November 18 , 20 20 </t>
  </si>
  <si>
    <t>PCN-DR-0 0021 -20 20</t>
  </si>
  <si>
    <t xml:space="preserve">: Production volume for M4946506 (RLV30) and M4946507
</t>
  </si>
  <si>
    <t>PCN-DR-0 0022 -20 20</t>
  </si>
  <si>
    <t xml:space="preserve">: May 24 , 20 21 ;  Last Time Ship Date: Nov. 24 , 20 2 1
</t>
  </si>
  <si>
    <t xml:space="preserve">: Production volume for ROX, RNX, RDX and RJU metal
</t>
  </si>
  <si>
    <t xml:space="preserve"> November 19 , 20 20 </t>
  </si>
  <si>
    <t>PCN-DR-0 0025 20 20</t>
  </si>
  <si>
    <t xml:space="preserve">: June 10 , 20 21 ; Last Time Ship Date: Dec. 31 , 20 2 1
</t>
  </si>
  <si>
    <t xml:space="preserve"> December 10 , 20 20 </t>
  </si>
  <si>
    <t>PCN-DR-0 0027 -20 20</t>
  </si>
  <si>
    <t xml:space="preserve">: The WSL…E is a “Flip Chip” “Extended Range” product that is being
</t>
  </si>
  <si>
    <t xml:space="preserve"> January 25, 2018</t>
  </si>
  <si>
    <t xml:space="preserve">: Sat Jul 31, 2021
</t>
  </si>
  <si>
    <t xml:space="preserve">: Production volume for the EDGS Power Resistors has become too small to continue the manufacturing of the
</t>
  </si>
  <si>
    <t>: DR</t>
  </si>
  <si>
    <t xml:space="preserve">: Wed Jul 27, 2022
</t>
  </si>
  <si>
    <t xml:space="preserve">: Production volume for the CS65 Power Resistors listed below has become too small to continue the
</t>
  </si>
  <si>
    <t>Wed Jan 26, 2022</t>
  </si>
  <si>
    <t xml:space="preserve">: Not Applicable, production equipment is no longer available.
</t>
  </si>
  <si>
    <t xml:space="preserve">: These products are being obsoleted due to no sales on either product for over
</t>
  </si>
  <si>
    <t xml:space="preserve">: Vishay Dale Resistors </t>
  </si>
  <si>
    <t xml:space="preserve"> March 1, 2019</t>
  </si>
  <si>
    <t xml:space="preserve">: Fri Aug 20, 2021
</t>
  </si>
  <si>
    <t xml:space="preserve">: The welded construction of the WSKW0612 is superior to the clad construction of the WSK0612 by providing
</t>
  </si>
  <si>
    <t>Tue Feb 16, 2021</t>
  </si>
  <si>
    <t xml:space="preserve">: Product is being terminated/obsoleted immediately.
</t>
  </si>
  <si>
    <t xml:space="preserve">:  Due to a lack of availability of raw materials the MR703 will no
</t>
  </si>
  <si>
    <t>: Huntington Resistors</t>
  </si>
  <si>
    <t>August 6, 2019</t>
  </si>
  <si>
    <t xml:space="preserve">: Tue Oct 19, 2021
</t>
  </si>
  <si>
    <t xml:space="preserve">: Production volume for these specific CS62 and CS65 Custom Power Resistors has become too small to continue
</t>
  </si>
  <si>
    <t>Tue Apr 20, 2021</t>
  </si>
  <si>
    <t xml:space="preserve">: December 31, 2018.  Last Time Shipment Date: June 25, 2019
</t>
  </si>
  <si>
    <t xml:space="preserve">: June 25, 2019
</t>
  </si>
  <si>
    <t xml:space="preserve">:  Market for the CCF-50 and FRJ-50 products have become too small to
</t>
  </si>
  <si>
    <t xml:space="preserve"> June 25, 2018</t>
  </si>
  <si>
    <t>PCN-DR-00011-2018,</t>
  </si>
  <si>
    <t xml:space="preserve">:  There have been no sales on this product for the last two years.
</t>
  </si>
  <si>
    <t>September 12, 2018</t>
  </si>
  <si>
    <t xml:space="preserve">: Thu May 6, 2021
</t>
  </si>
  <si>
    <t xml:space="preserve">: Raw materials are no longer available to meet the 25 ppm/°C TCR rating.
</t>
  </si>
  <si>
    <t>Thu May 6, 2021</t>
  </si>
  <si>
    <t xml:space="preserve">: January 24, 2021
</t>
  </si>
  <si>
    <t xml:space="preserve">: July 24, 2021
</t>
  </si>
  <si>
    <t xml:space="preserve">: Production volume for the PC Quick Connect has become too small to
</t>
  </si>
  <si>
    <t>July 24, 2020</t>
  </si>
  <si>
    <t>PCN-DR-00013 2020</t>
  </si>
  <si>
    <t xml:space="preserve">: December 31, 2018. Last Time Shipment Date: June 25, 2019
</t>
  </si>
  <si>
    <t xml:space="preserve">: The WSF2012Metal Film, Power, Surface Mount product is being
</t>
  </si>
  <si>
    <t xml:space="preserve"> July 20, 2018</t>
  </si>
  <si>
    <t xml:space="preserve">: Mon Sep 20, 2021
</t>
  </si>
  <si>
    <t xml:space="preserve">: Declining sales.
</t>
  </si>
  <si>
    <t>Fri May 14, 2021</t>
  </si>
  <si>
    <t xml:space="preserve">: Feb 13, 2021
</t>
  </si>
  <si>
    <t xml:space="preserve">: August 13, 2021
</t>
  </si>
  <si>
    <t xml:space="preserve">: Production volume for the HEXF &amp; HEXA Power Resistors has become too
</t>
  </si>
  <si>
    <t>August 13, 2020</t>
  </si>
  <si>
    <t>PCN-DR-00015 2020</t>
  </si>
  <si>
    <t xml:space="preserve">:  September, 28th, 2019  Last Time Ship Date:  March 28th, 2020
</t>
  </si>
  <si>
    <t xml:space="preserve">:  CPR07..XX is a commercial product with very little volume. Vishay is
</t>
  </si>
  <si>
    <t>September 28, 2018</t>
  </si>
  <si>
    <t xml:space="preserve">: Mon Jul 5, 2021
</t>
  </si>
  <si>
    <t xml:space="preserve">: Production volume for all the above indicated products has become too small to continue manufacturing.
</t>
  </si>
  <si>
    <t>Wed Jan 6, 2021</t>
  </si>
  <si>
    <t xml:space="preserve">:  06-06-2014
</t>
  </si>
  <si>
    <t xml:space="preserve">:  07-30-2014
</t>
  </si>
  <si>
    <t xml:space="preserve"> Issue Date: May 23, 2014</t>
  </si>
  <si>
    <t xml:space="preserve">: November 2, 2017
</t>
  </si>
  <si>
    <t xml:space="preserve">: At completion of orders
</t>
  </si>
  <si>
    <t xml:space="preserve">: The AA and CA terminal styles in conjunction with 'S', 'E', 'D' and 'F' solder
</t>
  </si>
  <si>
    <t>May 02, 2017</t>
  </si>
  <si>
    <t>PCN-DR-006-2017</t>
  </si>
  <si>
    <t xml:space="preserve">: December 2, 2016
</t>
  </si>
  <si>
    <t xml:space="preserve">: June 2, 2017
</t>
  </si>
  <si>
    <t xml:space="preserve">: Market for the CRCA and CRCC products have become too small to continue
</t>
  </si>
  <si>
    <t>June 2, 2016</t>
  </si>
  <si>
    <t xml:space="preserve">: March 25, 2016, Last Time Shipment Date: September 30, 2016
</t>
  </si>
  <si>
    <t xml:space="preserve">: September 30, 2016
</t>
  </si>
  <si>
    <t xml:space="preserve">: Dale and Huntington have similar tubular wirewound product offering – this
</t>
  </si>
  <si>
    <t>October 9, 2015</t>
  </si>
  <si>
    <t xml:space="preserve">:  Friday November 18, 2016
</t>
  </si>
  <si>
    <t xml:space="preserve">:  Friday December 23, 2016
</t>
  </si>
  <si>
    <t xml:space="preserve">: Market for the RS1/8 has become too small to continue production.
</t>
  </si>
  <si>
    <t>September 23, 2016</t>
  </si>
  <si>
    <t xml:space="preserve">: Not Available
</t>
  </si>
  <si>
    <t xml:space="preserve">: The video controllers used for the below affected OLED displays with TAB
</t>
  </si>
  <si>
    <t xml:space="preserve"> November 10, 2016</t>
  </si>
  <si>
    <t xml:space="preserve">: April 5, 2016
</t>
  </si>
  <si>
    <t xml:space="preserve">: October 5, 2016
</t>
  </si>
  <si>
    <t xml:space="preserve">: Market for the HVW and HVX series’ -1 and -2 sizes have become too small to
</t>
  </si>
  <si>
    <t>October 5, 2015</t>
  </si>
  <si>
    <t xml:space="preserve">:  July 28th, 2017     Last Time Shipment Date:  February 2nd, 2018
</t>
  </si>
  <si>
    <t xml:space="preserve">:  February 2nd, 2018
</t>
  </si>
  <si>
    <t xml:space="preserve">:  Vishay is standardizing on a single terminal construction to improve
</t>
  </si>
  <si>
    <t>January 27, 2016</t>
  </si>
  <si>
    <t>January 27, 2017</t>
  </si>
  <si>
    <t xml:space="preserve">: Market for the CP002M has become too small to continue production.
</t>
  </si>
  <si>
    <t xml:space="preserve">: April 01, 2016, Last Time Shipment Date: October 07, 2016
</t>
  </si>
  <si>
    <t xml:space="preserve">: October 07, 2016
</t>
  </si>
  <si>
    <t xml:space="preserve">: The Huntington MTL and Dale LVR are very similar – this consolidation allows
</t>
  </si>
  <si>
    <t>October 23, 2015</t>
  </si>
  <si>
    <t xml:space="preserve">:  April 29, 2016
</t>
  </si>
  <si>
    <t xml:space="preserve">:  October 28, 2016
</t>
  </si>
  <si>
    <t xml:space="preserve">:  Production volume for the CP Quick Connect, CL, and PCT has become too
</t>
  </si>
  <si>
    <t>October 30, 2015</t>
  </si>
  <si>
    <t xml:space="preserve">:  June 24, 2016
</t>
  </si>
  <si>
    <t xml:space="preserve">:  December 16, 2016
</t>
  </si>
  <si>
    <t xml:space="preserve">: Due to the duplication of the Vishay Dale ceramic boated wirewound resistor
</t>
  </si>
  <si>
    <t>December 21, 2015</t>
  </si>
  <si>
    <t xml:space="preserve">: May 6, 2016;  Last Time Shipment Date: Nov.6, 2016
</t>
  </si>
  <si>
    <t xml:space="preserve">: Nov.6, 2016
</t>
  </si>
  <si>
    <t xml:space="preserve">: The WSH2818 is the original conformal coated design of high power 5W
</t>
  </si>
  <si>
    <t xml:space="preserve"> November 6, 2015</t>
  </si>
  <si>
    <t xml:space="preserve">: Mon Nov 29, 2021
</t>
  </si>
  <si>
    <t xml:space="preserve">: CA, CP and CPCC series resistors utilize fiberglass core. Vendors for the fiberglass rope are scarce and many
</t>
  </si>
  <si>
    <t>Mon Dec 6, 2021</t>
  </si>
  <si>
    <t xml:space="preserve">:13/10/2018
</t>
  </si>
  <si>
    <t xml:space="preserve">:  13/10/2019
</t>
  </si>
  <si>
    <t xml:space="preserve">:  Streamline Portfolio
</t>
  </si>
  <si>
    <t>April 13th 2018</t>
  </si>
  <si>
    <t xml:space="preserve">:08/09/2019
</t>
  </si>
  <si>
    <t xml:space="preserve">:  08/03/2020
</t>
  </si>
  <si>
    <t xml:space="preserve"> 8 th March 2019</t>
  </si>
  <si>
    <t xml:space="preserve">:08/07/2021
</t>
  </si>
  <si>
    <t xml:space="preserve">:  08/01/2022
</t>
  </si>
  <si>
    <t xml:space="preserve"> 8th January 2021</t>
  </si>
  <si>
    <t xml:space="preserve">: Fri Jul 15, 2022
</t>
  </si>
  <si>
    <t xml:space="preserve">: Streamline Portfolio
</t>
  </si>
  <si>
    <t>: FC</t>
  </si>
  <si>
    <t>Thu Jan 6, 2022</t>
  </si>
  <si>
    <t xml:space="preserve">: 13/10/2018
</t>
  </si>
  <si>
    <t xml:space="preserve">:  13/10/2019 Last Time Buy Date: 13/10/2018
</t>
  </si>
  <si>
    <t xml:space="preserve">:  13/04/2019 Last Time Buy Date:13/10/2018
</t>
  </si>
  <si>
    <t xml:space="preserve">: 13/10/2019
</t>
  </si>
  <si>
    <t xml:space="preserve">: 13/10/2019Last Time Buy Date: 13/10/2019
</t>
  </si>
  <si>
    <t>April 13h 2018</t>
  </si>
  <si>
    <t xml:space="preserve">: 13/10/2019Last Time Buy Date: 13/10/2018
</t>
  </si>
  <si>
    <t xml:space="preserve">: March 31st  2019
</t>
  </si>
  <si>
    <t xml:space="preserve">: August 31st , 2019after depletion of inventory
</t>
  </si>
  <si>
    <t xml:space="preserve">: In order to maximize MLCC production efficiency and enhance production
</t>
  </si>
  <si>
    <t>Feb 26th 2019</t>
  </si>
  <si>
    <t xml:space="preserve">: July 16, 2020
</t>
  </si>
  <si>
    <t xml:space="preserve">: October 16, 2020or depletion of inventory
</t>
  </si>
  <si>
    <t xml:space="preserve"> January 16, 2020</t>
  </si>
  <si>
    <t>Feb 28 th 2019</t>
  </si>
  <si>
    <t xml:space="preserve"> : September 26, 2019
</t>
  </si>
  <si>
    <t xml:space="preserve"> : March 26, 2020or depletion of inventory
</t>
  </si>
  <si>
    <t xml:space="preserve"> : Oktober 08, 2019
</t>
  </si>
  <si>
    <t xml:space="preserve"> : April 08, 2020or depletion of inventory
</t>
  </si>
  <si>
    <t xml:space="preserve"> April 08, 2019</t>
  </si>
  <si>
    <t xml:space="preserve">: - In order to maximize MLCC production efficiency and enhance production flexibility it was decided to  phase out
</t>
  </si>
  <si>
    <t>: MLC</t>
  </si>
  <si>
    <t>Wed Jun 30, 2021</t>
  </si>
  <si>
    <t xml:space="preserve">: Sat Jan 1, 2022
</t>
  </si>
  <si>
    <t xml:space="preserve">: In order to maximize MLCC production efficiency and enhance production flexibility it was decided to phase out
</t>
  </si>
  <si>
    <t>Sun Jul 4, 2021</t>
  </si>
  <si>
    <t xml:space="preserve">: Dec. 8th 2018
</t>
  </si>
  <si>
    <t xml:space="preserve">: June 8th, 2019
</t>
  </si>
  <si>
    <t>June 8th 2018</t>
  </si>
  <si>
    <t xml:space="preserve">: March 5th 2019
</t>
  </si>
  <si>
    <t xml:space="preserve">: Sept. 5th 2019
</t>
  </si>
  <si>
    <t xml:space="preserve">: These MLCCs will be merged to Termination “E”, VJxxxxxxxxxExxx :
</t>
  </si>
  <si>
    <t>Sept. 5th 2018</t>
  </si>
  <si>
    <t xml:space="preserve"> : March 04, 2020
</t>
  </si>
  <si>
    <t xml:space="preserve"> : June 4, 2020or depletion of inventory
</t>
  </si>
  <si>
    <t xml:space="preserve"> Sept 4, 2019</t>
  </si>
  <si>
    <t xml:space="preserve">: March 3rd, 2019
</t>
  </si>
  <si>
    <t xml:space="preserve">: Sept. 3rd ,2019
</t>
  </si>
  <si>
    <t xml:space="preserve">: These MLCCs will be merged to HiFREQ Series.
</t>
  </si>
  <si>
    <t>Sept. 3rd 2018</t>
  </si>
  <si>
    <t xml:space="preserve">: Fri Feb 4, 2022
</t>
  </si>
  <si>
    <t>Fri Jul 16, 2021</t>
  </si>
  <si>
    <t xml:space="preserve">: Wed Feb 9, 2022
</t>
  </si>
  <si>
    <t xml:space="preserve">: In order to maximize MLCC production efficiency and enhance production flexibility, it was decided to phase out
</t>
  </si>
  <si>
    <t>Thu Aug 5, 2021</t>
  </si>
  <si>
    <t xml:space="preserve">: April 21th, 2019
</t>
  </si>
  <si>
    <t xml:space="preserve">: November 21th, 2019
</t>
  </si>
  <si>
    <t>Nov. 21 2018</t>
  </si>
  <si>
    <t xml:space="preserve">: June 12, 2020
</t>
  </si>
  <si>
    <t xml:space="preserve">: September 12, 2020or depletion of inventory
</t>
  </si>
  <si>
    <t xml:space="preserve"> December 12, 2019</t>
  </si>
  <si>
    <t xml:space="preserve">: May 8, 2020
</t>
  </si>
  <si>
    <t xml:space="preserve">: August 8, 2020or depletion of inventory
</t>
  </si>
  <si>
    <t xml:space="preserve"> November 8, 2019</t>
  </si>
  <si>
    <t xml:space="preserve">: 2017/ 08 / 20
</t>
  </si>
  <si>
    <t xml:space="preserve">: 2018/ 02 / 20
</t>
  </si>
  <si>
    <t xml:space="preserve">: End of Life
</t>
  </si>
  <si>
    <t xml:space="preserve"> January 11, 2017</t>
  </si>
  <si>
    <t xml:space="preserve">: July 31, 2017, please contact Daniel.Fraimoricer@vishay.com regarding last time buy requirements
</t>
  </si>
  <si>
    <t xml:space="preserve">: January 31, 2018
</t>
  </si>
  <si>
    <t xml:space="preserve">: Streamlining our portfolio
</t>
  </si>
  <si>
    <t xml:space="preserve"> January 15, 2017</t>
  </si>
  <si>
    <t xml:space="preserve">: July 31, 2017, please contact Daniel.Fraimorice @vishay.com regarding last time buy requirements
</t>
  </si>
  <si>
    <t xml:space="preserve">: July 24, 2017, please contact Thomas.Waechter@vishay.com regarding last time buy requirements
</t>
  </si>
  <si>
    <t xml:space="preserve">: January 24, 2018
</t>
  </si>
  <si>
    <t>January 24, 2017</t>
  </si>
  <si>
    <t xml:space="preserve">: January 3rd, 2018.
</t>
  </si>
  <si>
    <t xml:space="preserve">: July 3rd, 2018
</t>
  </si>
  <si>
    <t xml:space="preserve">: Streamlining portfolio to small reel (code “T” ) offering.
</t>
  </si>
  <si>
    <t>July 3rd, 2017</t>
  </si>
  <si>
    <t>PCN-MLC-010-2017</t>
  </si>
  <si>
    <t xml:space="preserve">: March 7th, 2018.
</t>
  </si>
  <si>
    <t xml:space="preserve">: September 7th, 2018
</t>
  </si>
  <si>
    <t>September 7th, 2017</t>
  </si>
  <si>
    <t>PCN-MLC-011-2017</t>
  </si>
  <si>
    <t>PCN-MLC-012-2017</t>
  </si>
  <si>
    <t>PCN-MLC-013-2017</t>
  </si>
  <si>
    <t>PCN-MLC-014-2017</t>
  </si>
  <si>
    <t xml:space="preserve">: July 31 st , 2018
</t>
  </si>
  <si>
    <t xml:space="preserve">:  These MLCCs cannot be built due to production constraints.
</t>
  </si>
  <si>
    <t xml:space="preserve"> December 17 th , 2017</t>
  </si>
  <si>
    <t>PCN-MLC-015-2017</t>
  </si>
  <si>
    <t xml:space="preserve">: Sun Feb 6, 2022
</t>
  </si>
  <si>
    <t xml:space="preserve">: Declining demand of affected parts and parts with difficulties for the material supply.
</t>
  </si>
  <si>
    <t>: OPT</t>
  </si>
  <si>
    <t>Fri Aug 6, 2021</t>
  </si>
  <si>
    <t xml:space="preserve">: Sun Oct 17, 2021
</t>
  </si>
  <si>
    <t>Tue Oct 26, 2021</t>
  </si>
  <si>
    <t xml:space="preserve">:  June 1 st 2020
</t>
  </si>
  <si>
    <t xml:space="preserve">:  Dec 31 st 2021
</t>
  </si>
  <si>
    <t>Dec 13 th 2019</t>
  </si>
  <si>
    <t>PCN-SF243-2019</t>
  </si>
  <si>
    <t xml:space="preserve">: Fri Dec 31, 2021
</t>
  </si>
  <si>
    <t xml:space="preserve">: REASON FOR CHANGE:  High decreasing demand for more than 5 years
</t>
  </si>
  <si>
    <t>: SF</t>
  </si>
  <si>
    <t>Fri Jun 25, 2021</t>
  </si>
  <si>
    <t xml:space="preserve"> Not available
</t>
  </si>
  <si>
    <t xml:space="preserve">: REACH compliance
</t>
  </si>
  <si>
    <t xml:space="preserve"> March 24 2021</t>
  </si>
  <si>
    <t xml:space="preserve">: Fri Jan 21, 2022
</t>
  </si>
  <si>
    <t xml:space="preserve">: Equipment obsolescence and low business
</t>
  </si>
  <si>
    <t>Mon Jul 19, 2021</t>
  </si>
  <si>
    <t xml:space="preserve">: Sun Jan 30, 2022
</t>
  </si>
  <si>
    <t>Fri Jul 30, 2021</t>
  </si>
  <si>
    <t xml:space="preserve">: Thu Mar 31, 2022
</t>
  </si>
  <si>
    <t xml:space="preserve">: Decreasing demand
</t>
  </si>
  <si>
    <t xml:space="preserve">: Mon Oct 25, 2021
</t>
  </si>
  <si>
    <t xml:space="preserve">: Raw Material issues. Below listed low values in 1% and 2% cannot be manufactured anymore. LBOs are not
</t>
  </si>
  <si>
    <t>Fri Oct 22, 2021</t>
  </si>
  <si>
    <t xml:space="preserve">: Mon Jul 11, 2022
</t>
  </si>
  <si>
    <t xml:space="preserve">: Equipment obsolescence and decreasing demand
</t>
  </si>
  <si>
    <t>Mon Jan 10, 2022</t>
  </si>
  <si>
    <t xml:space="preserve">: Wed Nov 11, 2020
</t>
  </si>
  <si>
    <t xml:space="preserve">: Obsolescence of Assembly
</t>
  </si>
  <si>
    <t>: SIL</t>
  </si>
  <si>
    <t>Wed Nov 11, 2020</t>
  </si>
  <si>
    <t xml:space="preserve">: Mon May 2, 2022
</t>
  </si>
  <si>
    <t xml:space="preserve">: No more assembly capacity
</t>
  </si>
  <si>
    <t xml:space="preserve">: Tue Jul 27, 2021
</t>
  </si>
  <si>
    <t xml:space="preserve">: Standardization of materials
</t>
  </si>
  <si>
    <t>Wed Jan 20, 2021</t>
  </si>
  <si>
    <t xml:space="preserve">: Wed Nov 17, 2021
</t>
  </si>
  <si>
    <t>Thu May 20, 2021</t>
  </si>
  <si>
    <t xml:space="preserve">: Tue Dec 7, 2021
</t>
  </si>
  <si>
    <t xml:space="preserve">: Mon Jan 10, 2022
</t>
  </si>
  <si>
    <t>Fri Jun 18, 2021</t>
  </si>
  <si>
    <t xml:space="preserve">: Sun Feb 27, 2022
</t>
  </si>
  <si>
    <t>Fri Aug 13, 2021</t>
  </si>
  <si>
    <t xml:space="preserve">: Fri Mar 25, 2022
</t>
  </si>
  <si>
    <t xml:space="preserve">:  Standardization of materials
</t>
  </si>
  <si>
    <t>Tue Aug 24, 2021</t>
  </si>
  <si>
    <t xml:space="preserve">: Fri Nov 18, 2022
</t>
  </si>
  <si>
    <t xml:space="preserve">: End of Life to TO-220 Package
</t>
  </si>
  <si>
    <t>Fri Nov 12, 2021</t>
  </si>
  <si>
    <t xml:space="preserve">: End of Life to TO-262 Package
</t>
  </si>
  <si>
    <t>Tue Nov 16, 2021</t>
  </si>
  <si>
    <t xml:space="preserve">: Wed Jun 30, 2021
</t>
  </si>
  <si>
    <t>Tue Dec 22, 2020</t>
  </si>
  <si>
    <t>July 29, 2014</t>
  </si>
  <si>
    <t xml:space="preserve">:           03 March 2018
</t>
  </si>
  <si>
    <t xml:space="preserve">:  28 August 2018
</t>
  </si>
  <si>
    <t xml:space="preserve">:  Tamelox film QPL approved chip resistor already offered
</t>
  </si>
  <si>
    <t>: Vishay Dale Thin Film</t>
  </si>
  <si>
    <t>28 August 2017</t>
  </si>
  <si>
    <t>PCN-TF-001-2017</t>
  </si>
  <si>
    <t>September,24th, 2019</t>
  </si>
  <si>
    <t>September,25th, 2019</t>
  </si>
  <si>
    <t>Last Time Buy Date</t>
  </si>
  <si>
    <t>Last Time Shipment Date</t>
  </si>
  <si>
    <t>Reason for change</t>
  </si>
  <si>
    <t xml:space="preserve">Product groupe release date </t>
  </si>
  <si>
    <t xml:space="preserve">:  30.09.2016
</t>
  </si>
  <si>
    <t xml:space="preserve">: 31.10.2016
</t>
  </si>
  <si>
    <t xml:space="preserve">:   Unviable manufacturing due to very low demand
</t>
  </si>
  <si>
    <t xml:space="preserve"> Beyschlag Res</t>
  </si>
  <si>
    <t xml:space="preserve">:  12-Mar-2011
</t>
  </si>
  <si>
    <t xml:space="preserve">:  Defense Supply Center, Columbus has issued a Notice of Cancellation for
</t>
  </si>
  <si>
    <t>: Tantalum Capacitor Division Issue Date : August 11, 2010 TC009-2010-Rev-0</t>
  </si>
  <si>
    <t xml:space="preserve">:  14-Jul-2017
</t>
  </si>
  <si>
    <t xml:space="preserve">:  The cost of dedicating and maintaining these product styles/series
</t>
  </si>
  <si>
    <t>: Tantalum Capacitor Division Issue Date : January 03, 2017TC002-2017-Rev-0</t>
  </si>
  <si>
    <t>: Tantalum Capacitor Division Issue Date : January 03, 2017TC001-2017-Rev-0</t>
  </si>
  <si>
    <t xml:space="preserve">:  Aug 15, 2010.
</t>
  </si>
  <si>
    <t xml:space="preserve">:  Feb 15, 2011 or till stock depletion of available inventory for last time
</t>
  </si>
  <si>
    <t xml:space="preserve">: The current design of these parts does not support acceptable quality
</t>
  </si>
  <si>
    <t>: TC   Issue Date : Feb 15, 2010PCN: TC-001-2010,-Rev-1</t>
  </si>
  <si>
    <t>Tous les composants</t>
  </si>
  <si>
    <t>Multilayer smd</t>
  </si>
  <si>
    <t>Résistance</t>
  </si>
  <si>
    <t>Transistor</t>
  </si>
  <si>
    <t>29/02/2011</t>
  </si>
  <si>
    <t>Graphiques!A1</t>
  </si>
  <si>
    <t>Graphiques illustrant l'exploitation des données dont :</t>
  </si>
  <si>
    <t>Une représentation sous forme de diagramme à secteurs illustrant les raisons de l'obsolescence (parmi 9 catégories)</t>
  </si>
  <si>
    <t>Une deuxième représentation sous forme de diagramme à secteurs illustrant les responsables de l'obsolescence (parmi 4 possibilités)</t>
  </si>
  <si>
    <t xml:space="preserve">Un histogramme illustrant le délais (en mois) entre la publication du PDN et la dernière date pour commander (last order acceptance du PDN) </t>
  </si>
  <si>
    <t xml:space="preserve">Eventuellement un histogramme illustrant de la durée de vie (en années) entre la date de dernière commande et la date de la fiche technique </t>
  </si>
  <si>
    <t>La durée de vie figure seulement pour les Diodes et les Transistors car les données des feuilles Diodes, Résistances et Transistors ont été traitées à la main</t>
  </si>
  <si>
    <t>VISHAY Composant'!A1</t>
  </si>
  <si>
    <t xml:space="preserve">Les graphiques sont construits à partit des 11 feuilles suivantes </t>
  </si>
  <si>
    <t>Capacitors!A1</t>
  </si>
  <si>
    <t>Connectors!A1</t>
  </si>
  <si>
    <t>Diode '!A1</t>
  </si>
  <si>
    <t>ICS!A1</t>
  </si>
  <si>
    <t>Inductors!A1</t>
  </si>
  <si>
    <t>Modules!A1</t>
  </si>
  <si>
    <t>Multilayer smd'!A1</t>
  </si>
  <si>
    <t>Optoelectronics!A1</t>
  </si>
  <si>
    <t>Résistance!A1</t>
  </si>
  <si>
    <t>Transistor!A1</t>
  </si>
  <si>
    <t>Cette feuille constitue la base de données pour le fabricant Vishay</t>
  </si>
  <si>
    <t>Colonne B : les liens des PCN ont été récupérés à la main car ils n'avaient pas été exportés</t>
  </si>
  <si>
    <t>Colonnes A, C, D, E, F, G : les informations sont issues d'un export Excel sur le site internet du fabricant</t>
  </si>
  <si>
    <t>Colonnes H, I, J : les données sont issues du programme Ui Path qui a téléchargé puis lu les PDN (utilisation de formules Regex), les données on été mises dans la dernière feuille (lien ci-dessous), puis elles ont été nettoyées à la main, ou avec des formules Excel / VBA</t>
  </si>
  <si>
    <t>VISHAY Extraction Ui Path'!A1</t>
  </si>
  <si>
    <t>Colonnes K et L : les raisons et reponsables du changement ont été determinées à la main, d'après la colonne J raison du changement</t>
  </si>
  <si>
    <t>Colonne M : le délais (en mois) entre la sortie du PDN et la dernière date pour commander a été calculé (voir formule case M2)</t>
  </si>
  <si>
    <t xml:space="preserve">10 feuilles de </t>
  </si>
  <si>
    <t>à</t>
  </si>
  <si>
    <t>Les colonnes O à fin permettent d'exploiter les raisons/responsables du changement et les dates pour construire des tableaux puis les différents diagrammes, également retrouvés dans la feuilles "Graphiques"</t>
  </si>
  <si>
    <t>Ces tableaux sont des extraits de la feuille "VISHAY Composant", selon les différentes catégories (colonne C) comportant plusieurs composants</t>
  </si>
  <si>
    <t>Pour les composants Diode, Résistance et Transistor : les données ont été exploitées à la main avant le fonctionnement du programme Ui Path</t>
  </si>
  <si>
    <t>C'est pour cela que l'histogramme de durée de vie est tracé pour 2 des 3 composants (le dernier n'ayant pas d'informations sur les dates de lancement de produit)</t>
  </si>
  <si>
    <t>Ces histogrammes ont pu être tracés car les fiches techniques ont été vérifiées à la main (ce qui n'a pas été fait pour les 7 autres catégories automatisées)</t>
  </si>
  <si>
    <t>Il y a également les statistiques des données (moyennes etc. de la durée de vie et le délai pour passer la dernière commande)</t>
  </si>
  <si>
    <t>Ce sont les données extraites du programme Ui Path, avant d'être nettoyées (voir feuille également "VISHAY Composant")</t>
  </si>
  <si>
    <t>Remarques</t>
  </si>
  <si>
    <t>Ici l'étude se concentre sur les PCN (Product Change Notification) et plus particulièrement les PDN (Product Discontinuation Notification)</t>
  </si>
  <si>
    <t>Chaque PDN peut donc regrouper un a plusieurs dizaines de composants</t>
  </si>
  <si>
    <t>Dans plus de la moitié des PDN, VISHAY propose des remplacements pour le ou les composants obsolètes</t>
  </si>
  <si>
    <t>On peut voir cela dans les onglets qui ont été complétés à la main : Diode, Résistance et Transistor (colonne K)</t>
  </si>
  <si>
    <t>Multilayer SMD</t>
  </si>
  <si>
    <t>Transistors</t>
  </si>
  <si>
    <t>sub-ttl</t>
  </si>
  <si>
    <t>Change category</t>
  </si>
  <si>
    <t>Unavailability/Obso of RM</t>
  </si>
  <si>
    <t>New technology</t>
  </si>
  <si>
    <t>Closed down a production plant</t>
  </si>
  <si>
    <t>Production shutdown</t>
  </si>
  <si>
    <t>Technology obsolescence</t>
  </si>
  <si>
    <t>Quality</t>
  </si>
  <si>
    <t>Closed down a prod plant</t>
  </si>
  <si>
    <t>Delay (m)</t>
  </si>
  <si>
    <t>4 to 6</t>
  </si>
  <si>
    <t>Optoelec.</t>
  </si>
  <si>
    <t>Estimation of the life span (difference between LBO and the date of first publication of the datasheet)</t>
  </si>
  <si>
    <t>0 to 2</t>
  </si>
  <si>
    <t>2 to 4</t>
  </si>
  <si>
    <t>6 to 8</t>
  </si>
  <si>
    <t xml:space="preserve">8 to 10 </t>
  </si>
  <si>
    <t>10 and + (max 12)</t>
  </si>
  <si>
    <t>1 to 3m</t>
  </si>
  <si>
    <t>4 to 6m</t>
  </si>
  <si>
    <t>7 to  9m</t>
  </si>
  <si>
    <t>10 to 12m</t>
  </si>
  <si>
    <t>12m or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</si>
</sst>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24">
    <font>
      <sz val="11"/>
      <color theme="1"/>
      <name val="Calibri"/>
      <family val="2"/>
      <scheme val="minor"/>
    </font>
    <font>
      <u/>
      <sz val="11"/>
      <color theme="10"/>
      <name val="Calibri"/>
      <family val="2"/>
      <scheme val="minor"/>
    </font>
    <font>
      <sz val="10"/>
      <color rgb="FF000000"/>
      <name val="Times New Roman"/>
      <family val="1"/>
    </font>
    <font>
      <b/>
      <sz val="8"/>
      <name val="Arial"/>
      <family val="2"/>
    </font>
    <font>
      <sz val="8"/>
      <name val="Arial MT"/>
    </font>
    <font>
      <sz val="8"/>
      <name val="Calibri"/>
      <family val="2"/>
      <scheme val="minor"/>
    </font>
    <font>
      <sz val="11"/>
      <color rgb="FF000000"/>
      <name val="Calibri"/>
      <family val="2"/>
    </font>
    <font>
      <b/>
      <sz val="11"/>
      <color theme="1"/>
      <name val="Calibri"/>
      <family val="2"/>
      <scheme val="minor"/>
    </font>
    <font>
      <sz val="11"/>
      <color rgb="FF444444"/>
      <name val="Calibri"/>
      <family val="2"/>
      <charset val="1"/>
    </font>
    <font>
      <sz val="11"/>
      <color rgb="FF444444"/>
      <name val="Calibri"/>
      <family val="2"/>
    </font>
    <font>
      <b/>
      <sz val="10"/>
      <color indexed="8"/>
      <name val="Helvetica"/>
    </font>
    <font>
      <sz val="10"/>
      <color theme="10"/>
      <name val="Arial"/>
      <family val="2"/>
    </font>
    <font>
      <sz val="10"/>
      <name val="Arial"/>
      <family val="2"/>
    </font>
    <font>
      <sz val="10"/>
      <name val="Arial"/>
      <family val="2"/>
    </font>
    <font>
      <u/>
      <sz val="10"/>
      <color theme="10"/>
      <name val="Arial"/>
      <family val="2"/>
    </font>
    <font>
      <sz val="10"/>
      <color rgb="FF000000"/>
      <name val="Arial"/>
      <family val="2"/>
    </font>
    <font>
      <b/>
      <sz val="10"/>
      <color rgb="FF000000"/>
      <name val="Helvetica"/>
    </font>
    <font>
      <sz val="14"/>
      <color rgb="FF595959"/>
      <name val="Calibri"/>
      <family val="2"/>
      <scheme val="minor"/>
    </font>
    <font>
      <sz val="11"/>
      <color theme="1"/>
      <name val="Calibri"/>
      <family val="2"/>
      <scheme val="minor"/>
    </font>
    <font>
      <b/>
      <sz val="10"/>
      <color theme="1"/>
      <name val="Calibri"/>
      <family val="2"/>
      <scheme val="minor"/>
    </font>
    <font>
      <sz val="10"/>
      <color theme="1"/>
      <name val="Calibri"/>
      <family val="2"/>
      <scheme val="minor"/>
    </font>
    <font>
      <sz val="9"/>
      <color theme="1"/>
      <name val="Calibri"/>
      <family val="2"/>
      <scheme val="minor"/>
    </font>
    <font>
      <b/>
      <i/>
      <sz val="11"/>
      <color theme="1"/>
      <name val="Calibri"/>
      <family val="2"/>
      <scheme val="minor"/>
    </font>
    <font>
      <b/>
      <i/>
      <sz val="10"/>
      <color theme="1"/>
      <name val="Calibri"/>
      <family val="2"/>
      <scheme val="minor"/>
    </font>
  </fonts>
  <fills count="13">
    <fill>
      <patternFill patternType="none"/>
    </fill>
    <fill>
      <patternFill patternType="gray125"/>
    </fill>
    <fill>
      <patternFill patternType="solid">
        <fgColor theme="9" tint="0.79998168889431442"/>
        <bgColor indexed="64"/>
      </patternFill>
    </fill>
    <fill>
      <patternFill patternType="solid">
        <fgColor theme="2" tint="-9.9978637043366805E-2"/>
        <bgColor indexed="64"/>
      </patternFill>
    </fill>
    <fill>
      <patternFill patternType="solid">
        <fgColor rgb="FFE2EFDA"/>
        <bgColor rgb="FF000000"/>
      </patternFill>
    </fill>
    <fill>
      <patternFill patternType="solid">
        <fgColor rgb="FFFFFFFF"/>
        <bgColor indexed="64"/>
      </patternFill>
    </fill>
    <fill>
      <patternFill patternType="solid">
        <fgColor rgb="FFE2EFDA"/>
        <bgColor indexed="64"/>
      </patternFill>
    </fill>
    <fill>
      <patternFill patternType="solid">
        <fgColor rgb="FFE7E6E6"/>
        <bgColor indexed="64"/>
      </patternFill>
    </fill>
    <fill>
      <patternFill patternType="solid">
        <fgColor theme="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rgb="FFFFFF00"/>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rgb="FF000000"/>
      </left>
      <right/>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right/>
      <top style="thin">
        <color rgb="FF000000"/>
      </top>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indexed="64"/>
      </left>
      <right style="thin">
        <color indexed="64"/>
      </right>
      <top style="thin">
        <color rgb="FF000000"/>
      </top>
      <bottom style="thin">
        <color indexed="64"/>
      </bottom>
      <diagonal/>
    </border>
    <border>
      <left style="thin">
        <color indexed="64"/>
      </left>
      <right/>
      <top style="thin">
        <color indexed="64"/>
      </top>
      <bottom/>
      <diagonal/>
    </border>
    <border>
      <left/>
      <right/>
      <top style="thin">
        <color indexed="64"/>
      </top>
      <bottom/>
      <diagonal/>
    </border>
  </borders>
  <cellStyleXfs count="7">
    <xf numFmtId="0" fontId="0" fillId="0" borderId="0"/>
    <xf numFmtId="0" fontId="1" fillId="0" borderId="0" applyNumberFormat="0" applyFill="0" applyBorder="0" applyAlignment="0" applyProtection="0"/>
    <xf numFmtId="0" fontId="2" fillId="0" borderId="0"/>
    <xf numFmtId="0" fontId="1" fillId="0" borderId="0" applyNumberFormat="0" applyFill="0" applyBorder="0" applyAlignment="0" applyProtection="0"/>
    <xf numFmtId="0" fontId="13" fillId="0" borderId="0"/>
    <xf numFmtId="0" fontId="14" fillId="0" borderId="0" applyNumberFormat="0" applyFill="0" applyBorder="0" applyAlignment="0" applyProtection="0"/>
    <xf numFmtId="9" fontId="18" fillId="0" borderId="0" applyFont="0" applyFill="0" applyBorder="0" applyAlignment="0" applyProtection="0"/>
  </cellStyleXfs>
  <cellXfs count="247">
    <xf numFmtId="0" fontId="0" fillId="0" borderId="0" xfId="0"/>
    <xf numFmtId="0" fontId="0" fillId="0" borderId="1" xfId="0" applyBorder="1"/>
    <xf numFmtId="0" fontId="0" fillId="2" borderId="1" xfId="0" applyFill="1" applyBorder="1"/>
    <xf numFmtId="0" fontId="1" fillId="0" borderId="1" xfId="1" applyBorder="1"/>
    <xf numFmtId="14" fontId="0" fillId="0" borderId="1" xfId="0" applyNumberFormat="1" applyBorder="1"/>
    <xf numFmtId="0" fontId="0" fillId="0" borderId="1" xfId="0" applyBorder="1" applyAlignment="1">
      <alignment wrapText="1"/>
    </xf>
    <xf numFmtId="0" fontId="0" fillId="2" borderId="1" xfId="0" applyFill="1" applyBorder="1" applyAlignment="1">
      <alignment horizontal="right"/>
    </xf>
    <xf numFmtId="14" fontId="0" fillId="0" borderId="1" xfId="0" applyNumberFormat="1" applyBorder="1" applyAlignment="1">
      <alignment horizontal="right"/>
    </xf>
    <xf numFmtId="0" fontId="0" fillId="0" borderId="1" xfId="0" applyBorder="1" applyAlignment="1">
      <alignment horizontal="left"/>
    </xf>
    <xf numFmtId="0" fontId="1" fillId="0" borderId="0" xfId="1"/>
    <xf numFmtId="0" fontId="0" fillId="3" borderId="1" xfId="0" applyFill="1" applyBorder="1"/>
    <xf numFmtId="0" fontId="0" fillId="2" borderId="3" xfId="0" applyFill="1" applyBorder="1"/>
    <xf numFmtId="0" fontId="0" fillId="0" borderId="3" xfId="0" applyBorder="1"/>
    <xf numFmtId="0" fontId="0" fillId="0" borderId="3" xfId="0" applyBorder="1" applyAlignment="1">
      <alignment wrapText="1"/>
    </xf>
    <xf numFmtId="0" fontId="6" fillId="4" borderId="1" xfId="0" applyFont="1" applyFill="1" applyBorder="1"/>
    <xf numFmtId="0" fontId="6" fillId="4" borderId="4" xfId="0" applyFont="1" applyFill="1" applyBorder="1"/>
    <xf numFmtId="0" fontId="6" fillId="0" borderId="5" xfId="0" applyFont="1" applyBorder="1"/>
    <xf numFmtId="0" fontId="6" fillId="0" borderId="6" xfId="0" applyFont="1" applyBorder="1"/>
    <xf numFmtId="14" fontId="6" fillId="0" borderId="6" xfId="0" applyNumberFormat="1" applyFont="1" applyBorder="1"/>
    <xf numFmtId="0" fontId="6" fillId="0" borderId="0" xfId="0" applyFont="1"/>
    <xf numFmtId="0" fontId="6" fillId="0" borderId="4" xfId="0" applyFont="1" applyBorder="1"/>
    <xf numFmtId="0" fontId="1" fillId="0" borderId="6" xfId="3" applyBorder="1"/>
    <xf numFmtId="0" fontId="6" fillId="4" borderId="2" xfId="0" applyFont="1" applyFill="1" applyBorder="1"/>
    <xf numFmtId="0" fontId="6" fillId="0" borderId="2" xfId="0" applyFont="1" applyBorder="1"/>
    <xf numFmtId="0" fontId="0" fillId="0" borderId="2" xfId="0" applyBorder="1"/>
    <xf numFmtId="0" fontId="6" fillId="4" borderId="7" xfId="0" applyFont="1" applyFill="1" applyBorder="1"/>
    <xf numFmtId="0" fontId="6" fillId="0" borderId="8" xfId="0" applyFont="1" applyBorder="1"/>
    <xf numFmtId="0" fontId="0" fillId="0" borderId="4" xfId="0" applyBorder="1"/>
    <xf numFmtId="0" fontId="1" fillId="0" borderId="1" xfId="3" applyBorder="1"/>
    <xf numFmtId="0" fontId="6" fillId="0" borderId="2" xfId="0" applyFont="1" applyBorder="1" applyAlignment="1">
      <alignment wrapText="1"/>
    </xf>
    <xf numFmtId="0" fontId="6" fillId="0" borderId="9" xfId="0" applyFont="1" applyBorder="1"/>
    <xf numFmtId="14" fontId="6" fillId="0" borderId="8" xfId="0" applyNumberFormat="1" applyFont="1" applyBorder="1"/>
    <xf numFmtId="0" fontId="6" fillId="4" borderId="1" xfId="0" applyFont="1" applyFill="1" applyBorder="1" applyAlignment="1">
      <alignment wrapText="1"/>
    </xf>
    <xf numFmtId="0" fontId="0" fillId="0" borderId="5" xfId="0" applyBorder="1" applyAlignment="1">
      <alignment wrapText="1"/>
    </xf>
    <xf numFmtId="0" fontId="7" fillId="0" borderId="1" xfId="0" applyFont="1" applyBorder="1"/>
    <xf numFmtId="0" fontId="7" fillId="6" borderId="2" xfId="0" applyFont="1" applyFill="1" applyBorder="1"/>
    <xf numFmtId="0" fontId="7" fillId="6" borderId="1" xfId="0" applyFont="1" applyFill="1" applyBorder="1"/>
    <xf numFmtId="0" fontId="7" fillId="0" borderId="0" xfId="0" applyFont="1"/>
    <xf numFmtId="1" fontId="0" fillId="0" borderId="0" xfId="0" applyNumberFormat="1"/>
    <xf numFmtId="0" fontId="7" fillId="7" borderId="1" xfId="0" applyFont="1" applyFill="1" applyBorder="1"/>
    <xf numFmtId="0" fontId="6" fillId="4" borderId="10" xfId="0" applyFont="1" applyFill="1" applyBorder="1"/>
    <xf numFmtId="0" fontId="0" fillId="0" borderId="10" xfId="0" applyBorder="1"/>
    <xf numFmtId="0" fontId="0" fillId="5" borderId="10" xfId="0" applyFill="1" applyBorder="1"/>
    <xf numFmtId="1" fontId="6" fillId="4" borderId="10" xfId="0" applyNumberFormat="1" applyFont="1" applyFill="1" applyBorder="1"/>
    <xf numFmtId="1" fontId="0" fillId="0" borderId="10" xfId="0" applyNumberFormat="1" applyBorder="1"/>
    <xf numFmtId="0" fontId="0" fillId="0" borderId="4" xfId="0" applyBorder="1" applyAlignment="1">
      <alignment wrapText="1"/>
    </xf>
    <xf numFmtId="0" fontId="0" fillId="6" borderId="2" xfId="0" applyFill="1" applyBorder="1"/>
    <xf numFmtId="0" fontId="0" fillId="0" borderId="11" xfId="0" applyBorder="1"/>
    <xf numFmtId="0" fontId="8" fillId="0" borderId="2" xfId="0" quotePrefix="1" applyFont="1" applyBorder="1"/>
    <xf numFmtId="16" fontId="0" fillId="0" borderId="10" xfId="0" applyNumberFormat="1" applyBorder="1"/>
    <xf numFmtId="0" fontId="0" fillId="0" borderId="12" xfId="0" applyBorder="1"/>
    <xf numFmtId="0" fontId="8" fillId="0" borderId="10" xfId="0" quotePrefix="1" applyFont="1" applyBorder="1"/>
    <xf numFmtId="0" fontId="0" fillId="0" borderId="13" xfId="0" applyBorder="1"/>
    <xf numFmtId="0" fontId="7" fillId="7" borderId="10" xfId="0" applyFont="1" applyFill="1" applyBorder="1"/>
    <xf numFmtId="0" fontId="0" fillId="7" borderId="2" xfId="0" applyFill="1" applyBorder="1"/>
    <xf numFmtId="0" fontId="0" fillId="6" borderId="12" xfId="0" applyFill="1" applyBorder="1"/>
    <xf numFmtId="1" fontId="6" fillId="4" borderId="1" xfId="0" applyNumberFormat="1" applyFont="1" applyFill="1" applyBorder="1"/>
    <xf numFmtId="1" fontId="0" fillId="0" borderId="1" xfId="0" applyNumberFormat="1" applyBorder="1"/>
    <xf numFmtId="0" fontId="3" fillId="0" borderId="0" xfId="2" applyFont="1" applyAlignment="1">
      <alignment horizontal="left" vertical="top" wrapText="1"/>
    </xf>
    <xf numFmtId="0" fontId="0" fillId="0" borderId="0" xfId="0" applyAlignment="1">
      <alignment horizontal="right"/>
    </xf>
    <xf numFmtId="0" fontId="4" fillId="0" borderId="0" xfId="2" applyFont="1" applyAlignment="1">
      <alignment horizontal="left" vertical="top" wrapText="1"/>
    </xf>
    <xf numFmtId="0" fontId="0" fillId="0" borderId="14" xfId="0" applyBorder="1"/>
    <xf numFmtId="0" fontId="0" fillId="0" borderId="0" xfId="0" applyAlignment="1">
      <alignment wrapText="1"/>
    </xf>
    <xf numFmtId="0" fontId="0" fillId="0" borderId="15" xfId="0" applyBorder="1"/>
    <xf numFmtId="0" fontId="6" fillId="0" borderId="16" xfId="0" applyFont="1" applyBorder="1"/>
    <xf numFmtId="0" fontId="6" fillId="0" borderId="11" xfId="0" applyFont="1" applyBorder="1"/>
    <xf numFmtId="0" fontId="6" fillId="0" borderId="17" xfId="0" applyFont="1" applyBorder="1"/>
    <xf numFmtId="14" fontId="6" fillId="0" borderId="17" xfId="0" applyNumberFormat="1" applyFont="1" applyBorder="1"/>
    <xf numFmtId="14" fontId="6" fillId="0" borderId="0" xfId="0" applyNumberFormat="1" applyFont="1"/>
    <xf numFmtId="1" fontId="0" fillId="0" borderId="14" xfId="0" applyNumberFormat="1" applyBorder="1"/>
    <xf numFmtId="0" fontId="6" fillId="0" borderId="1" xfId="0" applyFont="1" applyBorder="1"/>
    <xf numFmtId="14" fontId="6" fillId="0" borderId="1" xfId="0" applyNumberFormat="1" applyFont="1" applyBorder="1"/>
    <xf numFmtId="0" fontId="1" fillId="0" borderId="14" xfId="1" applyBorder="1"/>
    <xf numFmtId="14" fontId="0" fillId="0" borderId="14" xfId="0" applyNumberFormat="1" applyBorder="1"/>
    <xf numFmtId="0" fontId="1" fillId="0" borderId="14" xfId="3" applyBorder="1"/>
    <xf numFmtId="14" fontId="0" fillId="0" borderId="14" xfId="0" applyNumberFormat="1" applyBorder="1" applyAlignment="1">
      <alignment horizontal="right"/>
    </xf>
    <xf numFmtId="0" fontId="0" fillId="0" borderId="19" xfId="0" applyBorder="1"/>
    <xf numFmtId="0" fontId="1" fillId="0" borderId="3" xfId="3" applyBorder="1"/>
    <xf numFmtId="0" fontId="0" fillId="0" borderId="15" xfId="0" applyBorder="1" applyAlignment="1">
      <alignment wrapText="1"/>
    </xf>
    <xf numFmtId="14" fontId="6" fillId="0" borderId="3" xfId="0" applyNumberFormat="1" applyFont="1" applyBorder="1"/>
    <xf numFmtId="0" fontId="7" fillId="6" borderId="5" xfId="0" applyFont="1" applyFill="1" applyBorder="1"/>
    <xf numFmtId="0" fontId="0" fillId="0" borderId="20" xfId="0" applyBorder="1"/>
    <xf numFmtId="0" fontId="0" fillId="0" borderId="21" xfId="0" applyBorder="1"/>
    <xf numFmtId="0" fontId="7" fillId="6" borderId="22" xfId="0" applyFont="1" applyFill="1" applyBorder="1"/>
    <xf numFmtId="0" fontId="7" fillId="7" borderId="23" xfId="0" applyFont="1" applyFill="1" applyBorder="1"/>
    <xf numFmtId="0" fontId="0" fillId="7" borderId="22" xfId="0" applyFill="1" applyBorder="1"/>
    <xf numFmtId="164" fontId="0" fillId="0" borderId="1" xfId="0" applyNumberFormat="1" applyBorder="1"/>
    <xf numFmtId="164" fontId="0" fillId="0" borderId="10" xfId="0" applyNumberFormat="1" applyBorder="1"/>
    <xf numFmtId="0" fontId="8" fillId="0" borderId="10" xfId="0" applyFont="1" applyBorder="1"/>
    <xf numFmtId="2" fontId="7" fillId="6" borderId="24" xfId="0" applyNumberFormat="1" applyFont="1" applyFill="1" applyBorder="1"/>
    <xf numFmtId="2" fontId="7" fillId="6" borderId="18" xfId="0" applyNumberFormat="1" applyFont="1" applyFill="1" applyBorder="1"/>
    <xf numFmtId="2" fontId="7" fillId="6" borderId="14" xfId="0" applyNumberFormat="1" applyFont="1" applyFill="1" applyBorder="1"/>
    <xf numFmtId="2" fontId="7" fillId="6" borderId="4" xfId="0" applyNumberFormat="1" applyFont="1" applyFill="1" applyBorder="1"/>
    <xf numFmtId="2" fontId="7" fillId="6" borderId="1" xfId="0" applyNumberFormat="1" applyFont="1" applyFill="1" applyBorder="1"/>
    <xf numFmtId="0" fontId="9" fillId="0" borderId="10" xfId="0" applyFont="1" applyBorder="1"/>
    <xf numFmtId="0" fontId="0" fillId="5" borderId="1" xfId="0" applyFill="1" applyBorder="1"/>
    <xf numFmtId="14" fontId="0" fillId="0" borderId="3" xfId="0" applyNumberFormat="1" applyBorder="1"/>
    <xf numFmtId="14" fontId="0" fillId="0" borderId="25" xfId="0" applyNumberFormat="1" applyBorder="1"/>
    <xf numFmtId="1" fontId="0" fillId="0" borderId="19" xfId="0" applyNumberFormat="1" applyBorder="1"/>
    <xf numFmtId="1" fontId="0" fillId="0" borderId="18" xfId="0" applyNumberFormat="1" applyBorder="1"/>
    <xf numFmtId="1" fontId="0" fillId="0" borderId="7" xfId="0" applyNumberFormat="1" applyBorder="1"/>
    <xf numFmtId="0" fontId="0" fillId="8" borderId="0" xfId="0" applyFill="1"/>
    <xf numFmtId="0" fontId="10" fillId="2" borderId="2" xfId="4" applyFont="1" applyFill="1" applyBorder="1" applyAlignment="1">
      <alignment horizontal="center" vertical="center" wrapText="1"/>
    </xf>
    <xf numFmtId="0" fontId="10" fillId="2" borderId="2" xfId="0" applyFont="1" applyFill="1" applyBorder="1" applyAlignment="1">
      <alignment horizontal="center" vertical="center" wrapText="1"/>
    </xf>
    <xf numFmtId="0" fontId="13" fillId="0" borderId="2" xfId="4" applyBorder="1" applyAlignment="1">
      <alignment horizontal="center" vertical="center" wrapText="1"/>
    </xf>
    <xf numFmtId="0" fontId="13" fillId="0" borderId="2" xfId="4" applyBorder="1" applyAlignment="1">
      <alignment horizontal="left" vertical="top" wrapText="1"/>
    </xf>
    <xf numFmtId="0" fontId="13" fillId="0" borderId="2" xfId="4" applyBorder="1" applyAlignment="1">
      <alignment horizontal="left" vertical="top"/>
    </xf>
    <xf numFmtId="0" fontId="13" fillId="8" borderId="2" xfId="4" applyFill="1" applyBorder="1" applyAlignment="1">
      <alignment horizontal="center" vertical="center" wrapText="1"/>
    </xf>
    <xf numFmtId="14" fontId="15" fillId="0" borderId="2" xfId="4" applyNumberFormat="1" applyFont="1" applyBorder="1" applyAlignment="1">
      <alignment horizontal="center" vertical="top" wrapText="1"/>
    </xf>
    <xf numFmtId="14" fontId="13" fillId="0" borderId="2" xfId="4" applyNumberFormat="1" applyBorder="1" applyAlignment="1">
      <alignment horizontal="center" vertical="top" wrapText="1"/>
    </xf>
    <xf numFmtId="14" fontId="13" fillId="0" borderId="2" xfId="4" applyNumberFormat="1" applyBorder="1" applyAlignment="1">
      <alignment horizontal="center" vertical="top"/>
    </xf>
    <xf numFmtId="0" fontId="0" fillId="0" borderId="2" xfId="0" applyBorder="1" applyAlignment="1">
      <alignment horizontal="left" vertical="top"/>
    </xf>
    <xf numFmtId="0" fontId="10" fillId="2" borderId="20" xfId="4" applyFont="1" applyFill="1" applyBorder="1" applyAlignment="1">
      <alignment horizontal="center" vertical="center" wrapText="1"/>
    </xf>
    <xf numFmtId="0" fontId="11" fillId="0" borderId="20" xfId="5" applyFont="1" applyBorder="1" applyAlignment="1">
      <alignment horizontal="center" vertical="center" wrapText="1"/>
    </xf>
    <xf numFmtId="0" fontId="12" fillId="0" borderId="20" xfId="4" applyFont="1" applyBorder="1" applyAlignment="1">
      <alignment horizontal="center" vertical="center" wrapText="1"/>
    </xf>
    <xf numFmtId="0" fontId="11" fillId="0" borderId="20" xfId="5" applyFont="1" applyBorder="1" applyAlignment="1">
      <alignment horizontal="center" vertical="center"/>
    </xf>
    <xf numFmtId="0" fontId="11" fillId="0" borderId="20" xfId="5" applyNumberFormat="1" applyFont="1" applyBorder="1" applyAlignment="1">
      <alignment horizontal="center" vertical="center"/>
    </xf>
    <xf numFmtId="0" fontId="13" fillId="0" borderId="20" xfId="4" applyBorder="1" applyAlignment="1">
      <alignment horizontal="center" vertical="center" wrapText="1"/>
    </xf>
    <xf numFmtId="0" fontId="14" fillId="0" borderId="20" xfId="5" applyBorder="1" applyAlignment="1">
      <alignment horizontal="center" vertical="center" wrapText="1"/>
    </xf>
    <xf numFmtId="0" fontId="14" fillId="0" borderId="20" xfId="5" applyBorder="1" applyAlignment="1">
      <alignment horizontal="center" vertical="center"/>
    </xf>
    <xf numFmtId="0" fontId="10" fillId="2" borderId="2" xfId="4" applyFont="1" applyFill="1" applyBorder="1" applyAlignment="1">
      <alignment horizontal="left" vertical="top" wrapText="1"/>
    </xf>
    <xf numFmtId="0" fontId="13" fillId="8" borderId="2" xfId="4" applyFill="1" applyBorder="1" applyAlignment="1">
      <alignment horizontal="left" vertical="top" wrapText="1"/>
    </xf>
    <xf numFmtId="0" fontId="13" fillId="5" borderId="2" xfId="4" applyFill="1" applyBorder="1" applyAlignment="1">
      <alignment horizontal="left" vertical="top" wrapText="1"/>
    </xf>
    <xf numFmtId="0" fontId="1" fillId="0" borderId="20" xfId="3" applyBorder="1" applyAlignment="1">
      <alignment horizontal="center" vertical="center" wrapText="1"/>
    </xf>
    <xf numFmtId="14" fontId="12" fillId="0" borderId="2" xfId="4" applyNumberFormat="1" applyFont="1" applyBorder="1" applyAlignment="1">
      <alignment horizontal="center" vertical="top"/>
    </xf>
    <xf numFmtId="14" fontId="0" fillId="0" borderId="2" xfId="0" applyNumberFormat="1" applyBorder="1"/>
    <xf numFmtId="14" fontId="12" fillId="0" borderId="2" xfId="4" applyNumberFormat="1" applyFont="1" applyBorder="1" applyAlignment="1">
      <alignment horizontal="center" vertical="top" wrapText="1"/>
    </xf>
    <xf numFmtId="0" fontId="10" fillId="2" borderId="10" xfId="4" applyFont="1" applyFill="1" applyBorder="1" applyAlignment="1">
      <alignment horizontal="center" vertical="center" wrapText="1"/>
    </xf>
    <xf numFmtId="0" fontId="15" fillId="0" borderId="10" xfId="4" applyFont="1" applyBorder="1" applyAlignment="1">
      <alignment horizontal="left" vertical="top" wrapText="1"/>
    </xf>
    <xf numFmtId="0" fontId="13" fillId="0" borderId="10" xfId="4" applyBorder="1" applyAlignment="1">
      <alignment horizontal="left" vertical="top" wrapText="1"/>
    </xf>
    <xf numFmtId="0" fontId="12" fillId="0" borderId="10" xfId="4" applyFont="1" applyBorder="1" applyAlignment="1">
      <alignment horizontal="left" vertical="top" wrapText="1"/>
    </xf>
    <xf numFmtId="0" fontId="13" fillId="0" borderId="10" xfId="4" applyBorder="1" applyAlignment="1">
      <alignment horizontal="left" vertical="top"/>
    </xf>
    <xf numFmtId="0" fontId="0" fillId="0" borderId="10" xfId="0" applyBorder="1" applyAlignment="1">
      <alignment horizontal="left" vertical="top" wrapText="1"/>
    </xf>
    <xf numFmtId="0" fontId="0" fillId="0" borderId="10" xfId="0" applyBorder="1" applyAlignment="1">
      <alignment horizontal="left" vertical="top"/>
    </xf>
    <xf numFmtId="0" fontId="9" fillId="0" borderId="2" xfId="0" applyFont="1" applyBorder="1"/>
    <xf numFmtId="14" fontId="0" fillId="0" borderId="2" xfId="0" applyNumberFormat="1" applyBorder="1" applyAlignment="1">
      <alignment horizontal="center" vertical="top" wrapText="1"/>
    </xf>
    <xf numFmtId="14" fontId="0" fillId="0" borderId="2" xfId="0" applyNumberFormat="1" applyBorder="1" applyAlignment="1">
      <alignment horizontal="center" vertical="top"/>
    </xf>
    <xf numFmtId="14" fontId="10" fillId="2" borderId="2" xfId="4" applyNumberFormat="1" applyFont="1" applyFill="1" applyBorder="1" applyAlignment="1">
      <alignment horizontal="center" vertical="top" wrapText="1"/>
    </xf>
    <xf numFmtId="14" fontId="0" fillId="0" borderId="0" xfId="0" applyNumberFormat="1" applyAlignment="1">
      <alignment horizontal="center" vertical="center"/>
    </xf>
    <xf numFmtId="0" fontId="13" fillId="0" borderId="10" xfId="4" applyBorder="1" applyAlignment="1">
      <alignment horizontal="center" vertical="center" wrapText="1"/>
    </xf>
    <xf numFmtId="0" fontId="13" fillId="8" borderId="10" xfId="4" applyFill="1" applyBorder="1" applyAlignment="1">
      <alignment horizontal="center" vertical="center" wrapText="1"/>
    </xf>
    <xf numFmtId="14" fontId="10" fillId="2" borderId="20" xfId="4" applyNumberFormat="1" applyFont="1" applyFill="1" applyBorder="1" applyAlignment="1">
      <alignment horizontal="center" vertical="top" wrapText="1"/>
    </xf>
    <xf numFmtId="14" fontId="13" fillId="0" borderId="20" xfId="4" applyNumberFormat="1" applyBorder="1" applyAlignment="1">
      <alignment horizontal="center" vertical="top" wrapText="1"/>
    </xf>
    <xf numFmtId="14" fontId="15" fillId="0" borderId="20" xfId="4" applyNumberFormat="1" applyFont="1" applyBorder="1" applyAlignment="1">
      <alignment horizontal="center" vertical="top" wrapText="1"/>
    </xf>
    <xf numFmtId="14" fontId="13" fillId="0" borderId="20" xfId="4" applyNumberFormat="1" applyBorder="1" applyAlignment="1">
      <alignment horizontal="center" vertical="top"/>
    </xf>
    <xf numFmtId="14" fontId="12" fillId="0" borderId="20" xfId="4" applyNumberFormat="1" applyFont="1" applyBorder="1" applyAlignment="1">
      <alignment horizontal="center" vertical="top"/>
    </xf>
    <xf numFmtId="14" fontId="0" fillId="0" borderId="20" xfId="0" applyNumberFormat="1" applyBorder="1" applyAlignment="1">
      <alignment horizontal="center" vertical="top" wrapText="1"/>
    </xf>
    <xf numFmtId="14" fontId="0" fillId="0" borderId="20" xfId="0" applyNumberFormat="1" applyBorder="1" applyAlignment="1">
      <alignment horizontal="center" vertical="top"/>
    </xf>
    <xf numFmtId="14" fontId="16" fillId="4" borderId="2" xfId="0" applyNumberFormat="1" applyFont="1" applyFill="1" applyBorder="1" applyAlignment="1">
      <alignment horizontal="center" wrapText="1"/>
    </xf>
    <xf numFmtId="14" fontId="6" fillId="0" borderId="2" xfId="0" applyNumberFormat="1" applyFont="1" applyBorder="1" applyAlignment="1">
      <alignment horizontal="center"/>
    </xf>
    <xf numFmtId="14" fontId="0" fillId="0" borderId="0" xfId="0" applyNumberFormat="1" applyAlignment="1">
      <alignment horizontal="center"/>
    </xf>
    <xf numFmtId="14" fontId="0" fillId="0" borderId="2" xfId="0" applyNumberFormat="1" applyBorder="1" applyAlignment="1">
      <alignment horizontal="center"/>
    </xf>
    <xf numFmtId="14" fontId="15" fillId="0" borderId="20" xfId="4" applyNumberFormat="1" applyFont="1" applyBorder="1" applyAlignment="1">
      <alignment horizontal="center" vertical="top"/>
    </xf>
    <xf numFmtId="0" fontId="0" fillId="0" borderId="14" xfId="0" applyBorder="1" applyAlignment="1">
      <alignment wrapText="1"/>
    </xf>
    <xf numFmtId="0" fontId="7" fillId="7" borderId="5" xfId="0" applyFont="1" applyFill="1" applyBorder="1"/>
    <xf numFmtId="14" fontId="16" fillId="4" borderId="2" xfId="0" applyNumberFormat="1" applyFont="1" applyFill="1" applyBorder="1" applyAlignment="1">
      <alignment horizontal="center" vertical="center" wrapText="1"/>
    </xf>
    <xf numFmtId="14" fontId="10" fillId="2" borderId="20" xfId="4" applyNumberFormat="1" applyFont="1" applyFill="1" applyBorder="1" applyAlignment="1">
      <alignment horizontal="center" vertical="center" wrapText="1"/>
    </xf>
    <xf numFmtId="14" fontId="10" fillId="2" borderId="2" xfId="4" applyNumberFormat="1" applyFont="1" applyFill="1" applyBorder="1" applyAlignment="1">
      <alignment horizontal="center" vertical="center" wrapText="1"/>
    </xf>
    <xf numFmtId="0" fontId="0" fillId="0" borderId="0" xfId="0" applyAlignment="1">
      <alignment horizontal="center" vertical="center" wrapText="1"/>
    </xf>
    <xf numFmtId="0" fontId="0" fillId="0" borderId="2" xfId="0" applyBorder="1" applyAlignment="1">
      <alignment horizontal="center" vertical="center" wrapText="1"/>
    </xf>
    <xf numFmtId="0" fontId="7" fillId="6" borderId="1" xfId="0" applyFont="1" applyFill="1" applyBorder="1" applyAlignment="1">
      <alignment horizontal="center" vertical="center" wrapText="1"/>
    </xf>
    <xf numFmtId="0" fontId="7" fillId="0" borderId="1" xfId="0" applyFont="1" applyBorder="1" applyAlignment="1">
      <alignment horizontal="center" vertical="center" wrapText="1"/>
    </xf>
    <xf numFmtId="0" fontId="0" fillId="0" borderId="1" xfId="0" applyBorder="1" applyAlignment="1">
      <alignment horizontal="center" vertical="center" wrapText="1"/>
    </xf>
    <xf numFmtId="0" fontId="0" fillId="0" borderId="14" xfId="0" applyBorder="1" applyAlignment="1">
      <alignment horizontal="center" vertical="center" wrapText="1"/>
    </xf>
    <xf numFmtId="0" fontId="7" fillId="6" borderId="5" xfId="0" applyFont="1" applyFill="1" applyBorder="1" applyAlignment="1">
      <alignment horizontal="center" vertical="center" wrapText="1"/>
    </xf>
    <xf numFmtId="0" fontId="7" fillId="7" borderId="5" xfId="0" applyFont="1" applyFill="1" applyBorder="1" applyAlignment="1">
      <alignment horizontal="center" vertical="center" wrapText="1"/>
    </xf>
    <xf numFmtId="0" fontId="7" fillId="7" borderId="1" xfId="0" applyFont="1" applyFill="1" applyBorder="1" applyAlignment="1">
      <alignment horizontal="center" vertical="center" wrapText="1"/>
    </xf>
    <xf numFmtId="0" fontId="0" fillId="8" borderId="0" xfId="0" applyFill="1" applyAlignment="1">
      <alignment horizontal="center" vertical="center" wrapText="1"/>
    </xf>
    <xf numFmtId="14" fontId="0" fillId="0" borderId="0" xfId="0" applyNumberFormat="1" applyAlignment="1">
      <alignment horizontal="center" vertical="center" wrapText="1"/>
    </xf>
    <xf numFmtId="0" fontId="0" fillId="0" borderId="0" xfId="0" applyAlignment="1">
      <alignment horizontal="left" vertical="top"/>
    </xf>
    <xf numFmtId="14" fontId="0" fillId="0" borderId="0" xfId="0" applyNumberFormat="1" applyAlignment="1">
      <alignment horizontal="center" vertical="top"/>
    </xf>
    <xf numFmtId="0" fontId="0" fillId="0" borderId="2" xfId="0" applyBorder="1" applyAlignment="1">
      <alignment wrapText="1"/>
    </xf>
    <xf numFmtId="0" fontId="17" fillId="0" borderId="0" xfId="0" applyFont="1" applyAlignment="1">
      <alignment horizontal="center" vertical="center" readingOrder="1"/>
    </xf>
    <xf numFmtId="0" fontId="12" fillId="0" borderId="2" xfId="4" applyFont="1" applyBorder="1" applyAlignment="1">
      <alignment horizontal="center" vertical="center" wrapText="1"/>
    </xf>
    <xf numFmtId="0" fontId="12" fillId="0" borderId="10" xfId="4" applyFont="1" applyBorder="1" applyAlignment="1">
      <alignment horizontal="center" vertical="center" wrapText="1"/>
    </xf>
    <xf numFmtId="14" fontId="6" fillId="0" borderId="2" xfId="0" applyNumberFormat="1" applyFont="1" applyBorder="1" applyAlignment="1">
      <alignment horizontal="center" vertical="center" wrapText="1"/>
    </xf>
    <xf numFmtId="14" fontId="12" fillId="0" borderId="20" xfId="4" applyNumberFormat="1" applyFont="1" applyBorder="1" applyAlignment="1">
      <alignment horizontal="center" vertical="center" wrapText="1"/>
    </xf>
    <xf numFmtId="14" fontId="15" fillId="0" borderId="2" xfId="4" applyNumberFormat="1" applyFont="1" applyBorder="1" applyAlignment="1">
      <alignment horizontal="center" vertical="center" wrapText="1"/>
    </xf>
    <xf numFmtId="0" fontId="15" fillId="0" borderId="10" xfId="4" applyFont="1" applyBorder="1" applyAlignment="1">
      <alignment horizontal="center" vertical="center" wrapText="1"/>
    </xf>
    <xf numFmtId="0" fontId="9" fillId="0" borderId="2" xfId="0" applyFont="1" applyBorder="1" applyAlignment="1">
      <alignment horizontal="center" vertical="center" wrapText="1"/>
    </xf>
    <xf numFmtId="14" fontId="15" fillId="0" borderId="20" xfId="4" applyNumberFormat="1" applyFont="1" applyBorder="1" applyAlignment="1">
      <alignment horizontal="center" vertical="center" wrapText="1"/>
    </xf>
    <xf numFmtId="14" fontId="12" fillId="0" borderId="2" xfId="4" applyNumberFormat="1" applyFont="1" applyBorder="1" applyAlignment="1">
      <alignment horizontal="center" vertical="center" wrapText="1"/>
    </xf>
    <xf numFmtId="0" fontId="12" fillId="8" borderId="2" xfId="4" applyFont="1" applyFill="1" applyBorder="1" applyAlignment="1">
      <alignment horizontal="center" vertical="center" wrapText="1"/>
    </xf>
    <xf numFmtId="0" fontId="12" fillId="8" borderId="10" xfId="4" applyFont="1" applyFill="1" applyBorder="1" applyAlignment="1">
      <alignment horizontal="center" vertical="center" wrapText="1"/>
    </xf>
    <xf numFmtId="0" fontId="12" fillId="5" borderId="2" xfId="4" applyFont="1" applyFill="1" applyBorder="1" applyAlignment="1">
      <alignment horizontal="center" vertical="center" wrapText="1"/>
    </xf>
    <xf numFmtId="14" fontId="6" fillId="0" borderId="10" xfId="0" applyNumberFormat="1" applyFont="1" applyBorder="1" applyAlignment="1">
      <alignment horizontal="center"/>
    </xf>
    <xf numFmtId="0" fontId="7" fillId="6" borderId="11" xfId="0" applyFont="1" applyFill="1" applyBorder="1"/>
    <xf numFmtId="14" fontId="0" fillId="0" borderId="1" xfId="0" applyNumberFormat="1" applyBorder="1" applyAlignment="1">
      <alignment horizontal="center"/>
    </xf>
    <xf numFmtId="14" fontId="15" fillId="0" borderId="19" xfId="4" applyNumberFormat="1" applyFont="1" applyBorder="1" applyAlignment="1">
      <alignment horizontal="center" vertical="top" wrapText="1"/>
    </xf>
    <xf numFmtId="14" fontId="6" fillId="0" borderId="1" xfId="0" applyNumberFormat="1" applyFont="1" applyBorder="1" applyAlignment="1">
      <alignment horizontal="center"/>
    </xf>
    <xf numFmtId="14" fontId="15" fillId="0" borderId="1" xfId="4" applyNumberFormat="1" applyFont="1" applyBorder="1" applyAlignment="1">
      <alignment horizontal="center" vertical="top" wrapText="1"/>
    </xf>
    <xf numFmtId="14" fontId="13" fillId="0" borderId="1" xfId="4" applyNumberFormat="1" applyBorder="1" applyAlignment="1">
      <alignment horizontal="center" vertical="top" wrapText="1"/>
    </xf>
    <xf numFmtId="0" fontId="7" fillId="6" borderId="10" xfId="0" applyFont="1" applyFill="1" applyBorder="1"/>
    <xf numFmtId="14" fontId="13" fillId="0" borderId="1" xfId="4" applyNumberFormat="1" applyBorder="1" applyAlignment="1">
      <alignment horizontal="center" vertical="top"/>
    </xf>
    <xf numFmtId="0" fontId="7" fillId="6" borderId="14" xfId="0" applyFont="1" applyFill="1" applyBorder="1"/>
    <xf numFmtId="0" fontId="7" fillId="6" borderId="21" xfId="0" applyFont="1" applyFill="1" applyBorder="1"/>
    <xf numFmtId="0" fontId="13" fillId="0" borderId="1" xfId="4" applyBorder="1" applyAlignment="1">
      <alignment horizontal="left" vertical="top" wrapText="1"/>
    </xf>
    <xf numFmtId="0" fontId="15" fillId="0" borderId="1" xfId="4" applyFont="1" applyBorder="1" applyAlignment="1">
      <alignment horizontal="left" vertical="top" wrapText="1"/>
    </xf>
    <xf numFmtId="0" fontId="9" fillId="0" borderId="1" xfId="0" applyFont="1" applyBorder="1"/>
    <xf numFmtId="0" fontId="0" fillId="0" borderId="0" xfId="0" applyBorder="1"/>
    <xf numFmtId="0" fontId="13" fillId="0" borderId="1" xfId="4" applyBorder="1" applyAlignment="1">
      <alignment horizontal="center" vertical="center" wrapText="1"/>
    </xf>
    <xf numFmtId="0" fontId="1" fillId="0" borderId="1" xfId="3" applyBorder="1" applyAlignment="1">
      <alignment horizontal="center" vertical="center" wrapText="1"/>
    </xf>
    <xf numFmtId="0" fontId="14" fillId="0" borderId="1" xfId="5" applyBorder="1" applyAlignment="1">
      <alignment horizontal="center" vertical="center" wrapText="1"/>
    </xf>
    <xf numFmtId="0" fontId="13" fillId="0" borderId="1" xfId="4" applyBorder="1" applyAlignment="1">
      <alignment horizontal="left" vertical="top"/>
    </xf>
    <xf numFmtId="0" fontId="14" fillId="0" borderId="1" xfId="5" applyBorder="1" applyAlignment="1">
      <alignment horizontal="center" vertical="center"/>
    </xf>
    <xf numFmtId="0" fontId="10" fillId="2" borderId="1" xfId="4" applyFont="1" applyFill="1" applyBorder="1" applyAlignment="1">
      <alignment horizontal="left" vertical="top" wrapText="1"/>
    </xf>
    <xf numFmtId="0" fontId="10" fillId="2" borderId="1" xfId="4" applyFont="1" applyFill="1" applyBorder="1" applyAlignment="1">
      <alignment horizontal="center" vertical="center" wrapText="1"/>
    </xf>
    <xf numFmtId="14" fontId="16" fillId="4" borderId="1" xfId="0" applyNumberFormat="1" applyFont="1" applyFill="1" applyBorder="1" applyAlignment="1">
      <alignment horizontal="center" wrapText="1"/>
    </xf>
    <xf numFmtId="14" fontId="10" fillId="2" borderId="1" xfId="4" applyNumberFormat="1" applyFont="1" applyFill="1" applyBorder="1" applyAlignment="1">
      <alignment horizontal="center" vertical="top" wrapText="1"/>
    </xf>
    <xf numFmtId="0" fontId="10" fillId="2" borderId="1" xfId="0" applyFont="1" applyFill="1" applyBorder="1" applyAlignment="1">
      <alignment horizontal="center" vertical="center" wrapText="1"/>
    </xf>
    <xf numFmtId="14" fontId="12" fillId="0" borderId="1" xfId="4" applyNumberFormat="1" applyFont="1" applyBorder="1" applyAlignment="1">
      <alignment horizontal="center" vertical="top" wrapText="1"/>
    </xf>
    <xf numFmtId="0" fontId="1" fillId="0" borderId="0" xfId="1" quotePrefix="1"/>
    <xf numFmtId="0" fontId="0" fillId="0" borderId="0" xfId="0" applyAlignment="1">
      <alignment horizontal="center"/>
    </xf>
    <xf numFmtId="0" fontId="0" fillId="0" borderId="0" xfId="0" applyAlignment="1"/>
    <xf numFmtId="0" fontId="7" fillId="10" borderId="0" xfId="0" applyFont="1" applyFill="1"/>
    <xf numFmtId="0" fontId="0" fillId="0" borderId="1" xfId="0" applyBorder="1" applyAlignment="1">
      <alignment horizontal="center"/>
    </xf>
    <xf numFmtId="0" fontId="0" fillId="11" borderId="1" xfId="0" applyFill="1" applyBorder="1" applyAlignment="1">
      <alignment horizontal="center"/>
    </xf>
    <xf numFmtId="0" fontId="7" fillId="0" borderId="1" xfId="0" applyFont="1" applyFill="1" applyBorder="1" applyAlignment="1">
      <alignment horizontal="center"/>
    </xf>
    <xf numFmtId="0" fontId="7" fillId="12" borderId="1" xfId="0" applyFont="1" applyFill="1" applyBorder="1" applyAlignment="1">
      <alignment horizontal="center"/>
    </xf>
    <xf numFmtId="0" fontId="7" fillId="12" borderId="1" xfId="0" applyFont="1" applyFill="1" applyBorder="1" applyAlignment="1">
      <alignment horizontal="center" wrapText="1"/>
    </xf>
    <xf numFmtId="0" fontId="1" fillId="0" borderId="20" xfId="1" applyBorder="1" applyAlignment="1">
      <alignment horizontal="center" vertical="center" wrapText="1"/>
    </xf>
    <xf numFmtId="0" fontId="21" fillId="0" borderId="0" xfId="0" applyFont="1" applyBorder="1" applyAlignment="1">
      <alignment horizontal="center"/>
    </xf>
    <xf numFmtId="0" fontId="20" fillId="0" borderId="0" xfId="0" applyFont="1" applyBorder="1" applyAlignment="1">
      <alignment horizontal="center"/>
    </xf>
    <xf numFmtId="0" fontId="19" fillId="8" borderId="7" xfId="0" applyFont="1" applyFill="1" applyBorder="1" applyAlignment="1">
      <alignment horizontal="center"/>
    </xf>
    <xf numFmtId="0" fontId="19" fillId="12" borderId="7" xfId="0" applyFont="1" applyFill="1" applyBorder="1" applyAlignment="1">
      <alignment horizontal="center" textRotation="90" wrapText="1"/>
    </xf>
    <xf numFmtId="0" fontId="7" fillId="0" borderId="7" xfId="0" applyFont="1" applyFill="1" applyBorder="1" applyAlignment="1">
      <alignment horizontal="center"/>
    </xf>
    <xf numFmtId="0" fontId="21" fillId="0" borderId="8" xfId="0" applyFont="1" applyBorder="1" applyAlignment="1">
      <alignment horizontal="center"/>
    </xf>
    <xf numFmtId="0" fontId="20" fillId="0" borderId="8" xfId="0" applyFont="1" applyBorder="1" applyAlignment="1">
      <alignment horizontal="center"/>
    </xf>
    <xf numFmtId="0" fontId="20" fillId="8" borderId="0" xfId="0" applyFont="1" applyFill="1" applyBorder="1" applyAlignment="1">
      <alignment horizontal="center"/>
    </xf>
    <xf numFmtId="0" fontId="19" fillId="8" borderId="0" xfId="0" applyFont="1" applyFill="1" applyBorder="1" applyAlignment="1">
      <alignment horizontal="center" textRotation="90" wrapText="1"/>
    </xf>
    <xf numFmtId="0" fontId="22" fillId="8" borderId="7" xfId="0" applyFont="1" applyFill="1" applyBorder="1" applyAlignment="1">
      <alignment horizontal="center"/>
    </xf>
    <xf numFmtId="0" fontId="23" fillId="8" borderId="7" xfId="0" applyFont="1" applyFill="1" applyBorder="1" applyAlignment="1">
      <alignment horizontal="center" wrapText="1"/>
    </xf>
    <xf numFmtId="0" fontId="23" fillId="8" borderId="26" xfId="0" applyFont="1" applyFill="1" applyBorder="1" applyAlignment="1">
      <alignment horizontal="center"/>
    </xf>
    <xf numFmtId="0" fontId="0" fillId="8" borderId="26" xfId="0" applyFill="1" applyBorder="1" applyAlignment="1">
      <alignment horizontal="center"/>
    </xf>
    <xf numFmtId="0" fontId="23" fillId="8" borderId="0" xfId="0" applyFont="1" applyFill="1" applyBorder="1" applyAlignment="1">
      <alignment horizontal="center"/>
    </xf>
    <xf numFmtId="0" fontId="0" fillId="8" borderId="0" xfId="0" applyFill="1" applyBorder="1" applyAlignment="1">
      <alignment horizontal="center"/>
    </xf>
    <xf numFmtId="0" fontId="23" fillId="8" borderId="8" xfId="0" applyFont="1" applyFill="1" applyBorder="1" applyAlignment="1">
      <alignment horizontal="center"/>
    </xf>
    <xf numFmtId="0" fontId="0" fillId="8" borderId="8" xfId="0" applyFill="1" applyBorder="1" applyAlignment="1">
      <alignment horizontal="center"/>
    </xf>
    <xf numFmtId="0" fontId="0" fillId="8" borderId="7" xfId="0" applyFill="1" applyBorder="1" applyAlignment="1">
      <alignment horizontal="center" vertical="top" wrapText="1"/>
    </xf>
    <xf numFmtId="0" fontId="0" fillId="8" borderId="7" xfId="0" applyFill="1" applyBorder="1" applyAlignment="1">
      <alignment horizontal="center" vertical="top"/>
    </xf>
    <xf numFmtId="0" fontId="0" fillId="8" borderId="0" xfId="0" applyFill="1" applyAlignment="1">
      <alignment horizontal="center" vertical="top"/>
    </xf>
    <xf numFmtId="0" fontId="0" fillId="8" borderId="0" xfId="0" applyFill="1" applyBorder="1" applyAlignment="1">
      <alignment horizontal="center" vertical="top"/>
    </xf>
    <xf numFmtId="0" fontId="0" fillId="8" borderId="8" xfId="0" applyFill="1" applyBorder="1" applyAlignment="1">
      <alignment horizontal="center" vertical="top"/>
    </xf>
    <xf numFmtId="9" fontId="0" fillId="8" borderId="0" xfId="6" applyFont="1" applyFill="1" applyBorder="1" applyAlignment="1">
      <alignment horizontal="center"/>
    </xf>
    <xf numFmtId="9" fontId="0" fillId="8" borderId="8" xfId="6" applyFont="1" applyFill="1" applyBorder="1" applyAlignment="1">
      <alignment horizontal="center"/>
    </xf>
    <xf numFmtId="0" fontId="20" fillId="0" borderId="0" xfId="0" applyFont="1" applyFill="1" applyBorder="1" applyAlignment="1">
      <alignment horizontal="center"/>
    </xf>
    <xf numFmtId="0" fontId="0" fillId="9" borderId="1" xfId="0" applyFill="1" applyBorder="1" applyAlignment="1">
      <alignment horizontal="center"/>
    </xf>
  </cellXfs>
  <cellStyles count="7">
    <cellStyle name="Hyperlink" xfId="3"/>
    <cellStyle name="Hyperlink 2" xfId="5"/>
    <cellStyle name="Lien hypertexte" xfId="1" builtinId="8"/>
    <cellStyle name="Normal" xfId="0" builtinId="0"/>
    <cellStyle name="Normal 2" xfId="2"/>
    <cellStyle name="Normal 3" xfId="4"/>
    <cellStyle name="Pourcentage" xfId="6"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_rels/chart76.xml.rels><?xml version="1.0" encoding="UTF-8" standalone="yes"?>
<Relationships xmlns="http://schemas.openxmlformats.org/package/2006/relationships"><Relationship Id="rId2" Type="http://schemas.microsoft.com/office/2011/relationships/chartColorStyle" Target="colors76.xml"/><Relationship Id="rId1" Type="http://schemas.microsoft.com/office/2011/relationships/chartStyle" Target="style76.xml"/></Relationships>
</file>

<file path=xl/charts/_rels/chartEx1.xml.rels><?xml version="1.0" encoding="UTF-8" standalone="yes"?>
<Relationships xmlns="http://schemas.openxmlformats.org/package/2006/relationships"><Relationship Id="rId2" Type="http://schemas.microsoft.com/office/2011/relationships/chartColorStyle" Target="colors77.xml"/><Relationship Id="rId1" Type="http://schemas.microsoft.com/office/2011/relationships/chartStyle" Target="style7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RAISONS de l'obsolescence d'un composant VISHAY - étude sur 584 PCN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4CF-4B4D-A726-025DE7910C7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4CF-4B4D-A726-025DE7910C7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4CF-4B4D-A726-025DE7910C7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4CF-4B4D-A726-025DE7910C7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4CF-4B4D-A726-025DE7910C7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4CF-4B4D-A726-025DE7910C7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D4CF-4B4D-A726-025DE7910C7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D4CF-4B4D-A726-025DE7910C79}"/>
              </c:ext>
            </c:extLst>
          </c:dPt>
          <c:dLbls>
            <c:dLbl>
              <c:idx val="6"/>
              <c:layout>
                <c:manualLayout>
                  <c:x val="-5.1357841088906159E-4"/>
                  <c:y val="1.7899467587545628E-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D-D4CF-4B4D-A726-025DE7910C7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'VISHAY Composant'!$O$3:$O$10</c:f>
              <c:strCache>
                <c:ptCount val="8"/>
                <c:pt idx="0">
                  <c:v>Indisponibilité/Obsolescence des matières premières</c:v>
                </c:pt>
                <c:pt idx="1">
                  <c:v>Nouvelle technologie</c:v>
                </c:pt>
                <c:pt idx="2">
                  <c:v>Fermeture d'un site de production</c:v>
                </c:pt>
                <c:pt idx="3">
                  <c:v>Arrêt de production</c:v>
                </c:pt>
                <c:pt idx="4">
                  <c:v>Obsolescence d'une technologie</c:v>
                </c:pt>
                <c:pt idx="5">
                  <c:v>Standardisation</c:v>
                </c:pt>
                <c:pt idx="6">
                  <c:v>Faible demande</c:v>
                </c:pt>
                <c:pt idx="7">
                  <c:v>Qualité</c:v>
                </c:pt>
              </c:strCache>
            </c:strRef>
          </c:cat>
          <c:val>
            <c:numRef>
              <c:f>'VISHAY Composant'!$P$3:$P$10</c:f>
              <c:numCache>
                <c:formatCode>General</c:formatCode>
                <c:ptCount val="8"/>
                <c:pt idx="0">
                  <c:v>70</c:v>
                </c:pt>
                <c:pt idx="1">
                  <c:v>18</c:v>
                </c:pt>
                <c:pt idx="2">
                  <c:v>46</c:v>
                </c:pt>
                <c:pt idx="3">
                  <c:v>79</c:v>
                </c:pt>
                <c:pt idx="4">
                  <c:v>29</c:v>
                </c:pt>
                <c:pt idx="5">
                  <c:v>119</c:v>
                </c:pt>
                <c:pt idx="6">
                  <c:v>218</c:v>
                </c:pt>
                <c:pt idx="7">
                  <c:v>5</c:v>
                </c:pt>
              </c:numCache>
            </c:numRef>
          </c:val>
          <c:extLst>
            <c:ext xmlns:c16="http://schemas.microsoft.com/office/drawing/2014/chart" uri="{C3380CC4-5D6E-409C-BE32-E72D297353CC}">
              <c16:uniqueId val="{00000010-D4CF-4B4D-A726-025DE7910C7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RESPONSABLES de l'obsolescence d'un composant VISHAY - étude sur 584 PCN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BC1-4FB2-AA68-B052B95A92E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BC1-4FB2-AA68-B052B95A92E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BC1-4FB2-AA68-B052B95A92E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BC1-4FB2-AA68-B052B95A92E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'VISHAY Composant'!$O$14:$O$17</c:f>
              <c:strCache>
                <c:ptCount val="4"/>
                <c:pt idx="0">
                  <c:v>Entreprise</c:v>
                </c:pt>
                <c:pt idx="1">
                  <c:v>Client</c:v>
                </c:pt>
                <c:pt idx="2">
                  <c:v>Technologie</c:v>
                </c:pt>
                <c:pt idx="3">
                  <c:v>Fournisseur</c:v>
                </c:pt>
              </c:strCache>
            </c:strRef>
          </c:cat>
          <c:val>
            <c:numRef>
              <c:f>'VISHAY Composant'!$P$14:$P$17</c:f>
              <c:numCache>
                <c:formatCode>General</c:formatCode>
                <c:ptCount val="4"/>
                <c:pt idx="0">
                  <c:v>257</c:v>
                </c:pt>
                <c:pt idx="1">
                  <c:v>217</c:v>
                </c:pt>
                <c:pt idx="2">
                  <c:v>40</c:v>
                </c:pt>
                <c:pt idx="3">
                  <c:v>70</c:v>
                </c:pt>
              </c:numCache>
            </c:numRef>
          </c:val>
          <c:extLst>
            <c:ext xmlns:c16="http://schemas.microsoft.com/office/drawing/2014/chart" uri="{C3380CC4-5D6E-409C-BE32-E72D297353CC}">
              <c16:uniqueId val="{00000008-ABC1-4FB2-AA68-B052B95A92E6}"/>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RAISONS de l'obsolescence d'un composant (VISHAY CAPACITORS) - étude sur 126 PCN</a:t>
            </a:r>
            <a:endParaRPr lang="fr-FR"/>
          </a:p>
        </c:rich>
      </c:tx>
      <c:layout>
        <c:manualLayout>
          <c:xMode val="edge"/>
          <c:yMode val="edge"/>
          <c:x val="0.1145479641551761"/>
          <c:y val="1.094843613298337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10B-4990-99FD-F6A7C9F0F39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10B-4990-99FD-F6A7C9F0F39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10B-4990-99FD-F6A7C9F0F39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10B-4990-99FD-F6A7C9F0F39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10B-4990-99FD-F6A7C9F0F39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10B-4990-99FD-F6A7C9F0F390}"/>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10B-4990-99FD-F6A7C9F0F390}"/>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10B-4990-99FD-F6A7C9F0F390}"/>
              </c:ext>
            </c:extLst>
          </c:dPt>
          <c:dLbls>
            <c:dLbl>
              <c:idx val="1"/>
              <c:layout>
                <c:manualLayout>
                  <c:x val="-2.5253863495278858E-2"/>
                  <c:y val="-1.7379921077535415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010B-4990-99FD-F6A7C9F0F390}"/>
                </c:ext>
              </c:extLst>
            </c:dLbl>
            <c:dLbl>
              <c:idx val="2"/>
              <c:layout>
                <c:manualLayout>
                  <c:x val="3.7298657169928446E-3"/>
                  <c:y val="9.73806304514966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010B-4990-99FD-F6A7C9F0F390}"/>
                </c:ext>
              </c:extLst>
            </c:dLbl>
            <c:dLbl>
              <c:idx val="4"/>
              <c:layout>
                <c:manualLayout>
                  <c:x val="-1.6242199496847125E-2"/>
                  <c:y val="-9.677218378005779E-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bestFit"/>
              <c:showLegendKey val="0"/>
              <c:showVal val="0"/>
              <c:showCatName val="0"/>
              <c:showSerName val="0"/>
              <c:showPercent val="1"/>
              <c:showBubbleSize val="0"/>
              <c:extLst>
                <c:ext xmlns:c15="http://schemas.microsoft.com/office/drawing/2012/chart" uri="{CE6537A1-D6FC-4f65-9D91-7224C49458BB}">
                  <c15:layout>
                    <c:manualLayout>
                      <c:w val="5.3931616950370832E-2"/>
                      <c:h val="0.11106073861979372"/>
                    </c:manualLayout>
                  </c15:layout>
                </c:ext>
                <c:ext xmlns:c16="http://schemas.microsoft.com/office/drawing/2014/chart" uri="{C3380CC4-5D6E-409C-BE32-E72D297353CC}">
                  <c16:uniqueId val="{00000009-010B-4990-99FD-F6A7C9F0F390}"/>
                </c:ext>
              </c:extLst>
            </c:dLbl>
            <c:dLbl>
              <c:idx val="6"/>
              <c:layout>
                <c:manualLayout>
                  <c:x val="-2.2190021890417223E-2"/>
                  <c:y val="-5.9821310215011003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D-010B-4990-99FD-F6A7C9F0F390}"/>
                </c:ext>
              </c:extLst>
            </c:dLbl>
            <c:dLbl>
              <c:idx val="7"/>
              <c:layout>
                <c:manualLayout>
                  <c:x val="9.1733917077791802E-3"/>
                  <c:y val="4.2536520056205084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bestFit"/>
              <c:showLegendKey val="0"/>
              <c:showVal val="0"/>
              <c:showCatName val="0"/>
              <c:showSerName val="0"/>
              <c:showPercent val="1"/>
              <c:showBubbleSize val="0"/>
              <c:extLst>
                <c:ext xmlns:c15="http://schemas.microsoft.com/office/drawing/2012/chart" uri="{CE6537A1-D6FC-4f65-9D91-7224C49458BB}">
                  <c15:layout>
                    <c:manualLayout>
                      <c:w val="6.4305060933773306E-2"/>
                      <c:h val="8.7491715050770164E-2"/>
                    </c:manualLayout>
                  </c15:layout>
                </c:ext>
                <c:ext xmlns:c16="http://schemas.microsoft.com/office/drawing/2014/chart" uri="{C3380CC4-5D6E-409C-BE32-E72D297353CC}">
                  <c16:uniqueId val="{0000000F-010B-4990-99FD-F6A7C9F0F39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Capacitors!$O$3:$O$10</c:f>
              <c:strCache>
                <c:ptCount val="8"/>
                <c:pt idx="0">
                  <c:v>Indisponibilité/Obsolescence des matières premières</c:v>
                </c:pt>
                <c:pt idx="1">
                  <c:v>Nouvelle technologie</c:v>
                </c:pt>
                <c:pt idx="2">
                  <c:v>Fermeture d'un site de production</c:v>
                </c:pt>
                <c:pt idx="3">
                  <c:v>Arrêt de production</c:v>
                </c:pt>
                <c:pt idx="4">
                  <c:v>Obsolescence d'une technologie</c:v>
                </c:pt>
                <c:pt idx="5">
                  <c:v>Standardisation</c:v>
                </c:pt>
                <c:pt idx="6">
                  <c:v>Faible demande</c:v>
                </c:pt>
                <c:pt idx="7">
                  <c:v>Qualité</c:v>
                </c:pt>
              </c:strCache>
            </c:strRef>
          </c:cat>
          <c:val>
            <c:numRef>
              <c:f>Capacitors!$P$3:$P$10</c:f>
              <c:numCache>
                <c:formatCode>General</c:formatCode>
                <c:ptCount val="8"/>
                <c:pt idx="0">
                  <c:v>13</c:v>
                </c:pt>
                <c:pt idx="1">
                  <c:v>0</c:v>
                </c:pt>
                <c:pt idx="2">
                  <c:v>0</c:v>
                </c:pt>
                <c:pt idx="3">
                  <c:v>25</c:v>
                </c:pt>
                <c:pt idx="4">
                  <c:v>2</c:v>
                </c:pt>
                <c:pt idx="5">
                  <c:v>40</c:v>
                </c:pt>
                <c:pt idx="6">
                  <c:v>44</c:v>
                </c:pt>
                <c:pt idx="7">
                  <c:v>2</c:v>
                </c:pt>
              </c:numCache>
            </c:numRef>
          </c:val>
          <c:extLst>
            <c:ext xmlns:c16="http://schemas.microsoft.com/office/drawing/2014/chart" uri="{C3380CC4-5D6E-409C-BE32-E72D297353CC}">
              <c16:uniqueId val="{00000010-010B-4990-99FD-F6A7C9F0F390}"/>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RESPONSABLES de l'obsolescence d'un composant (VISHAY CAPACITORS) - étude sur 126 PCN</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B1C-4008-92BE-AB46DB0FE94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B1C-4008-92BE-AB46DB0FE94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B1C-4008-92BE-AB46DB0FE94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B1C-4008-92BE-AB46DB0FE944}"/>
              </c:ext>
            </c:extLst>
          </c:dPt>
          <c:dLbls>
            <c:dLbl>
              <c:idx val="2"/>
              <c:layout>
                <c:manualLayout>
                  <c:x val="1.1311190607699324E-2"/>
                  <c:y val="2.7197965088701263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3B1C-4008-92BE-AB46DB0FE94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Capacitors!$O$14:$O$17</c:f>
              <c:strCache>
                <c:ptCount val="4"/>
                <c:pt idx="0">
                  <c:v>Entreprise</c:v>
                </c:pt>
                <c:pt idx="1">
                  <c:v>Client</c:v>
                </c:pt>
                <c:pt idx="2">
                  <c:v>Technologie</c:v>
                </c:pt>
                <c:pt idx="3">
                  <c:v>Fournisseur</c:v>
                </c:pt>
              </c:strCache>
            </c:strRef>
          </c:cat>
          <c:val>
            <c:numRef>
              <c:f>Capacitors!$P$14:$P$17</c:f>
              <c:numCache>
                <c:formatCode>General</c:formatCode>
                <c:ptCount val="4"/>
                <c:pt idx="0">
                  <c:v>68</c:v>
                </c:pt>
                <c:pt idx="1">
                  <c:v>43</c:v>
                </c:pt>
                <c:pt idx="2">
                  <c:v>2</c:v>
                </c:pt>
                <c:pt idx="3">
                  <c:v>13</c:v>
                </c:pt>
              </c:numCache>
            </c:numRef>
          </c:val>
          <c:extLst>
            <c:ext xmlns:c16="http://schemas.microsoft.com/office/drawing/2014/chart" uri="{C3380CC4-5D6E-409C-BE32-E72D297353CC}">
              <c16:uniqueId val="{00000008-3B1C-4008-92BE-AB46DB0FE944}"/>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RAISONS de l'obsolescence d'un composant (VISHAY CONNECTORS) - étude sur 16 PCN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8D7-48B8-A95D-6489BB6F4CF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8D7-48B8-A95D-6489BB6F4CF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8D7-48B8-A95D-6489BB6F4CF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8D7-48B8-A95D-6489BB6F4CF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8D7-48B8-A95D-6489BB6F4CF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8D7-48B8-A95D-6489BB6F4CFF}"/>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8D7-48B8-A95D-6489BB6F4CFF}"/>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48D7-48B8-A95D-6489BB6F4CFF}"/>
              </c:ext>
            </c:extLst>
          </c:dPt>
          <c:dLbls>
            <c:dLbl>
              <c:idx val="6"/>
              <c:layout>
                <c:manualLayout>
                  <c:x val="-9.3511365324617443E-3"/>
                  <c:y val="-1.0007624031293183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D-48D7-48B8-A95D-6489BB6F4CF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Connectors!$O$3:$O$10</c:f>
              <c:strCache>
                <c:ptCount val="8"/>
                <c:pt idx="0">
                  <c:v>Indisponibilité/Obsolescence des matières premières</c:v>
                </c:pt>
                <c:pt idx="1">
                  <c:v>Nouvelle technologie</c:v>
                </c:pt>
                <c:pt idx="2">
                  <c:v>Fermeture d'un site de production</c:v>
                </c:pt>
                <c:pt idx="3">
                  <c:v>Arrêt de production</c:v>
                </c:pt>
                <c:pt idx="4">
                  <c:v>Obsolescence d'une technologie</c:v>
                </c:pt>
                <c:pt idx="5">
                  <c:v>Standardisation</c:v>
                </c:pt>
                <c:pt idx="6">
                  <c:v>Faible demande</c:v>
                </c:pt>
                <c:pt idx="7">
                  <c:v>Qualité</c:v>
                </c:pt>
              </c:strCache>
            </c:strRef>
          </c:cat>
          <c:val>
            <c:numRef>
              <c:f>Connectors!$P$3:$P$10</c:f>
              <c:numCache>
                <c:formatCode>General</c:formatCode>
                <c:ptCount val="8"/>
                <c:pt idx="0">
                  <c:v>4</c:v>
                </c:pt>
                <c:pt idx="1">
                  <c:v>0</c:v>
                </c:pt>
                <c:pt idx="2">
                  <c:v>0</c:v>
                </c:pt>
                <c:pt idx="3">
                  <c:v>5</c:v>
                </c:pt>
                <c:pt idx="4">
                  <c:v>0</c:v>
                </c:pt>
                <c:pt idx="5">
                  <c:v>1</c:v>
                </c:pt>
                <c:pt idx="6">
                  <c:v>6</c:v>
                </c:pt>
                <c:pt idx="7">
                  <c:v>0</c:v>
                </c:pt>
              </c:numCache>
            </c:numRef>
          </c:val>
          <c:extLst>
            <c:ext xmlns:c16="http://schemas.microsoft.com/office/drawing/2014/chart" uri="{C3380CC4-5D6E-409C-BE32-E72D297353CC}">
              <c16:uniqueId val="{00000010-48D7-48B8-A95D-6489BB6F4CFF}"/>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RESPONSABLES de l'obsolescence d'un composant (VISHAY CONNECTORS) - étude sur 16 PCN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266-4F55-B62A-C2E455A50F6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266-4F55-B62A-C2E455A50F6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266-4F55-B62A-C2E455A50F6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266-4F55-B62A-C2E455A50F6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Connectors!$O$14:$O$17</c:f>
              <c:strCache>
                <c:ptCount val="4"/>
                <c:pt idx="0">
                  <c:v>Entreprise</c:v>
                </c:pt>
                <c:pt idx="1">
                  <c:v>Client</c:v>
                </c:pt>
                <c:pt idx="2">
                  <c:v>Technologie</c:v>
                </c:pt>
                <c:pt idx="3">
                  <c:v>Fournisseur</c:v>
                </c:pt>
              </c:strCache>
            </c:strRef>
          </c:cat>
          <c:val>
            <c:numRef>
              <c:f>Connectors!$P$14:$P$17</c:f>
              <c:numCache>
                <c:formatCode>General</c:formatCode>
                <c:ptCount val="4"/>
                <c:pt idx="0">
                  <c:v>6</c:v>
                </c:pt>
                <c:pt idx="1">
                  <c:v>6</c:v>
                </c:pt>
                <c:pt idx="2">
                  <c:v>0</c:v>
                </c:pt>
                <c:pt idx="3">
                  <c:v>4</c:v>
                </c:pt>
              </c:numCache>
            </c:numRef>
          </c:val>
          <c:extLst>
            <c:ext xmlns:c16="http://schemas.microsoft.com/office/drawing/2014/chart" uri="{C3380CC4-5D6E-409C-BE32-E72D297353CC}">
              <c16:uniqueId val="{00000008-9266-4F55-B62A-C2E455A50F68}"/>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Diagramme représentant les RAISONS de l'obsolescence d'un composant (VISHAY DIODE) - étude sur 43 PCN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865-462F-B261-736F0611DE7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865-462F-B261-736F0611DE7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865-462F-B261-736F0611DE7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865-462F-B261-736F0611DE7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865-462F-B261-736F0611DE7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865-462F-B261-736F0611DE7E}"/>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865-462F-B261-736F0611DE7E}"/>
              </c:ext>
            </c:extLst>
          </c:dPt>
          <c:dLbls>
            <c:dLbl>
              <c:idx val="0"/>
              <c:layout>
                <c:manualLayout>
                  <c:x val="-4.5267489711934158E-2"/>
                  <c:y val="2.0487314225451286E-2"/>
                </c:manualLayout>
              </c:layout>
              <c:dLblPos val="bestFi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1-9865-462F-B261-736F0611DE7E}"/>
                </c:ext>
              </c:extLst>
            </c:dLbl>
            <c:dLbl>
              <c:idx val="1"/>
              <c:layout>
                <c:manualLayout>
                  <c:x val="-1.4233012540099154E-2"/>
                  <c:y val="1.3626771469573539E-2"/>
                </c:manualLayout>
              </c:layout>
              <c:dLblPos val="bestFi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3-9865-462F-B261-736F0611DE7E}"/>
                </c:ext>
              </c:extLst>
            </c:dLbl>
            <c:dLbl>
              <c:idx val="2"/>
              <c:layout>
                <c:manualLayout>
                  <c:x val="1.0580668157221012E-2"/>
                  <c:y val="1.3462793646234428E-2"/>
                </c:manualLayout>
              </c:layout>
              <c:dLblPos val="bestFi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5-9865-462F-B261-736F0611DE7E}"/>
                </c:ext>
              </c:extLst>
            </c:dLbl>
            <c:dLbl>
              <c:idx val="6"/>
              <c:layout>
                <c:manualLayout>
                  <c:x val="3.8906710735231794E-3"/>
                  <c:y val="3.0488621761036081E-3"/>
                </c:manualLayout>
              </c:layout>
              <c:dLblPos val="bestFi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D-9865-462F-B261-736F0611DE7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'Diode '!$V$7:$V$13</c:f>
              <c:strCache>
                <c:ptCount val="7"/>
                <c:pt idx="0">
                  <c:v>Indisponibilité/Obsolescence des matières premières</c:v>
                </c:pt>
                <c:pt idx="1">
                  <c:v>Nouvelle technologie</c:v>
                </c:pt>
                <c:pt idx="2">
                  <c:v>Fermeture d'un site de production</c:v>
                </c:pt>
                <c:pt idx="3">
                  <c:v>Arrêt de production</c:v>
                </c:pt>
                <c:pt idx="4">
                  <c:v>Obsolescence d'une technologie</c:v>
                </c:pt>
                <c:pt idx="5">
                  <c:v>Standardisation</c:v>
                </c:pt>
                <c:pt idx="6">
                  <c:v>Faible demande</c:v>
                </c:pt>
              </c:strCache>
            </c:strRef>
          </c:cat>
          <c:val>
            <c:numRef>
              <c:f>'Diode '!$W$7:$W$13</c:f>
              <c:numCache>
                <c:formatCode>General</c:formatCode>
                <c:ptCount val="7"/>
                <c:pt idx="0">
                  <c:v>0</c:v>
                </c:pt>
                <c:pt idx="1">
                  <c:v>1</c:v>
                </c:pt>
                <c:pt idx="2">
                  <c:v>0</c:v>
                </c:pt>
                <c:pt idx="3">
                  <c:v>3</c:v>
                </c:pt>
                <c:pt idx="4">
                  <c:v>4</c:v>
                </c:pt>
                <c:pt idx="5">
                  <c:v>20</c:v>
                </c:pt>
                <c:pt idx="6">
                  <c:v>15</c:v>
                </c:pt>
              </c:numCache>
            </c:numRef>
          </c:val>
          <c:extLst>
            <c:ext xmlns:c16="http://schemas.microsoft.com/office/drawing/2014/chart" uri="{C3380CC4-5D6E-409C-BE32-E72D297353CC}">
              <c16:uniqueId val="{0000000E-9865-462F-B261-736F0611DE7E}"/>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Diagramme représentant les RESPONSABLES de l'obsolescence d'un composant (VISHAY DIODE) - étude sur 43 PCN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79B-47A2-93BF-9EE1718FB4E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79B-47A2-93BF-9EE1718FB4E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79B-47A2-93BF-9EE1718FB4E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B8E-41B6-A0F0-F7962F3E913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'Diode '!$V$17:$V$20</c:f>
              <c:strCache>
                <c:ptCount val="4"/>
                <c:pt idx="0">
                  <c:v>Entreprise</c:v>
                </c:pt>
                <c:pt idx="1">
                  <c:v>Client</c:v>
                </c:pt>
                <c:pt idx="2">
                  <c:v>Technologie</c:v>
                </c:pt>
                <c:pt idx="3">
                  <c:v>Fournisseur</c:v>
                </c:pt>
              </c:strCache>
            </c:strRef>
          </c:cat>
          <c:val>
            <c:numRef>
              <c:f>'Diode '!$W$17:$W$20</c:f>
              <c:numCache>
                <c:formatCode>General</c:formatCode>
                <c:ptCount val="4"/>
                <c:pt idx="0">
                  <c:v>23</c:v>
                </c:pt>
                <c:pt idx="1">
                  <c:v>16</c:v>
                </c:pt>
                <c:pt idx="2">
                  <c:v>4</c:v>
                </c:pt>
                <c:pt idx="3">
                  <c:v>0</c:v>
                </c:pt>
              </c:numCache>
            </c:numRef>
          </c:val>
          <c:extLst>
            <c:ext xmlns:c16="http://schemas.microsoft.com/office/drawing/2014/chart" uri="{C3380CC4-5D6E-409C-BE32-E72D297353CC}">
              <c16:uniqueId val="{00000006-079B-47A2-93BF-9EE1718FB4EE}"/>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RAISONS de l'obsolescence d'un composant (VISHAY ICS) - étude sur 11 PCN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DEE-4856-8D33-2DC2FA21E5B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DEE-4856-8D33-2DC2FA21E5B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DEE-4856-8D33-2DC2FA21E5B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DEE-4856-8D33-2DC2FA21E5B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DEE-4856-8D33-2DC2FA21E5B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EDEE-4856-8D33-2DC2FA21E5B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EDEE-4856-8D33-2DC2FA21E5B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EDEE-4856-8D33-2DC2FA21E5B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ICS!$O$3:$O$10</c:f>
              <c:strCache>
                <c:ptCount val="8"/>
                <c:pt idx="0">
                  <c:v>Indisponibilité/Obsolescence des matières premières</c:v>
                </c:pt>
                <c:pt idx="1">
                  <c:v>Nouvelle technologie</c:v>
                </c:pt>
                <c:pt idx="2">
                  <c:v>Fermeture d'un site de production</c:v>
                </c:pt>
                <c:pt idx="3">
                  <c:v>Arrêt de production</c:v>
                </c:pt>
                <c:pt idx="4">
                  <c:v>Obsolescence d'une technologie</c:v>
                </c:pt>
                <c:pt idx="5">
                  <c:v>Standardisation</c:v>
                </c:pt>
                <c:pt idx="6">
                  <c:v>Faible demande</c:v>
                </c:pt>
                <c:pt idx="7">
                  <c:v>Qualité</c:v>
                </c:pt>
              </c:strCache>
            </c:strRef>
          </c:cat>
          <c:val>
            <c:numRef>
              <c:f>ICS!$P$3:$P$10</c:f>
              <c:numCache>
                <c:formatCode>General</c:formatCode>
                <c:ptCount val="8"/>
                <c:pt idx="0">
                  <c:v>0</c:v>
                </c:pt>
                <c:pt idx="1">
                  <c:v>0</c:v>
                </c:pt>
                <c:pt idx="2">
                  <c:v>8</c:v>
                </c:pt>
                <c:pt idx="3">
                  <c:v>0</c:v>
                </c:pt>
                <c:pt idx="4">
                  <c:v>1</c:v>
                </c:pt>
                <c:pt idx="5">
                  <c:v>2</c:v>
                </c:pt>
                <c:pt idx="6">
                  <c:v>0</c:v>
                </c:pt>
                <c:pt idx="7">
                  <c:v>0</c:v>
                </c:pt>
              </c:numCache>
            </c:numRef>
          </c:val>
          <c:extLst>
            <c:ext xmlns:c16="http://schemas.microsoft.com/office/drawing/2014/chart" uri="{C3380CC4-5D6E-409C-BE32-E72D297353CC}">
              <c16:uniqueId val="{00000010-EDEE-4856-8D33-2DC2FA21E5B9}"/>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RESPONSABLES de l'obsolescence d'un composant (VISHAY ICS) - étude sur 11 PCN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AF9-43C8-8CA0-163CF21FBED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AF9-43C8-8CA0-163CF21FBED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AF9-43C8-8CA0-163CF21FBED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AF9-43C8-8CA0-163CF21FBED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ICS!$O$14:$O$17</c:f>
              <c:strCache>
                <c:ptCount val="4"/>
                <c:pt idx="0">
                  <c:v>Entreprise</c:v>
                </c:pt>
                <c:pt idx="1">
                  <c:v>Client</c:v>
                </c:pt>
                <c:pt idx="2">
                  <c:v>Technologie</c:v>
                </c:pt>
                <c:pt idx="3">
                  <c:v>Fournisseur</c:v>
                </c:pt>
              </c:strCache>
            </c:strRef>
          </c:cat>
          <c:val>
            <c:numRef>
              <c:f>ICS!$P$14:$P$17</c:f>
              <c:numCache>
                <c:formatCode>General</c:formatCode>
                <c:ptCount val="4"/>
                <c:pt idx="0">
                  <c:v>10</c:v>
                </c:pt>
                <c:pt idx="1">
                  <c:v>0</c:v>
                </c:pt>
                <c:pt idx="2">
                  <c:v>1</c:v>
                </c:pt>
                <c:pt idx="3">
                  <c:v>0</c:v>
                </c:pt>
              </c:numCache>
            </c:numRef>
          </c:val>
          <c:extLst>
            <c:ext xmlns:c16="http://schemas.microsoft.com/office/drawing/2014/chart" uri="{C3380CC4-5D6E-409C-BE32-E72D297353CC}">
              <c16:uniqueId val="{00000008-9AF9-43C8-8CA0-163CF21FBEDE}"/>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RAISONS de l'obsolescence d'un composant (VISHAY INDUCTORS) - étude sur 47 PCN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04B-44EE-941D-5506BF021F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04B-44EE-941D-5506BF021F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04B-44EE-941D-5506BF021F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04B-44EE-941D-5506BF021F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04B-44EE-941D-5506BF021F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804B-44EE-941D-5506BF021F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804B-44EE-941D-5506BF021F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804B-44EE-941D-5506BF021F98}"/>
              </c:ext>
            </c:extLst>
          </c:dPt>
          <c:dLbls>
            <c:dLbl>
              <c:idx val="6"/>
              <c:layout>
                <c:manualLayout>
                  <c:x val="-6.6466097102234689E-3"/>
                  <c:y val="5.7774713149736211E-3"/>
                </c:manualLayout>
              </c:layout>
              <c:dLblPos val="bestFi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D-804B-44EE-941D-5506BF021F9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Inductors!$O$3:$O$10</c:f>
              <c:strCache>
                <c:ptCount val="8"/>
                <c:pt idx="0">
                  <c:v>Indisponibilité/Obsolescence des matières premières</c:v>
                </c:pt>
                <c:pt idx="1">
                  <c:v>Nouvelle technologie</c:v>
                </c:pt>
                <c:pt idx="2">
                  <c:v>Fermeture d'un site de production</c:v>
                </c:pt>
                <c:pt idx="3">
                  <c:v>Arrêt de production</c:v>
                </c:pt>
                <c:pt idx="4">
                  <c:v>Obsolescence d'une technologie</c:v>
                </c:pt>
                <c:pt idx="5">
                  <c:v>Standardisation</c:v>
                </c:pt>
                <c:pt idx="6">
                  <c:v>Faible demande</c:v>
                </c:pt>
                <c:pt idx="7">
                  <c:v>Qualité</c:v>
                </c:pt>
              </c:strCache>
            </c:strRef>
          </c:cat>
          <c:val>
            <c:numRef>
              <c:f>Inductors!$P$3:$P$10</c:f>
              <c:numCache>
                <c:formatCode>General</c:formatCode>
                <c:ptCount val="8"/>
                <c:pt idx="0">
                  <c:v>7</c:v>
                </c:pt>
                <c:pt idx="1">
                  <c:v>14</c:v>
                </c:pt>
                <c:pt idx="2">
                  <c:v>0</c:v>
                </c:pt>
                <c:pt idx="3">
                  <c:v>7</c:v>
                </c:pt>
                <c:pt idx="4">
                  <c:v>1</c:v>
                </c:pt>
                <c:pt idx="5">
                  <c:v>2</c:v>
                </c:pt>
                <c:pt idx="6">
                  <c:v>16</c:v>
                </c:pt>
                <c:pt idx="7">
                  <c:v>0</c:v>
                </c:pt>
              </c:numCache>
            </c:numRef>
          </c:val>
          <c:extLst>
            <c:ext xmlns:c16="http://schemas.microsoft.com/office/drawing/2014/chart" uri="{C3380CC4-5D6E-409C-BE32-E72D297353CC}">
              <c16:uniqueId val="{00000010-804B-44EE-941D-5506BF021F98}"/>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RESPONSABLES de l'obsolescence d'un composant (VISHAY INDUCTORS) - étude sur 47 PCN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08F-4E70-8321-96A2A21904E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08F-4E70-8321-96A2A21904E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08F-4E70-8321-96A2A21904E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08F-4E70-8321-96A2A21904E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Inductors!$O$14:$O$17</c:f>
              <c:strCache>
                <c:ptCount val="4"/>
                <c:pt idx="0">
                  <c:v>Entreprise</c:v>
                </c:pt>
                <c:pt idx="1">
                  <c:v>Client</c:v>
                </c:pt>
                <c:pt idx="2">
                  <c:v>Technologie</c:v>
                </c:pt>
                <c:pt idx="3">
                  <c:v>Fournisseur</c:v>
                </c:pt>
              </c:strCache>
            </c:strRef>
          </c:cat>
          <c:val>
            <c:numRef>
              <c:f>Inductors!$P$14:$P$17</c:f>
              <c:numCache>
                <c:formatCode>General</c:formatCode>
                <c:ptCount val="4"/>
                <c:pt idx="0">
                  <c:v>9</c:v>
                </c:pt>
                <c:pt idx="1">
                  <c:v>16</c:v>
                </c:pt>
                <c:pt idx="2">
                  <c:v>15</c:v>
                </c:pt>
                <c:pt idx="3">
                  <c:v>7</c:v>
                </c:pt>
              </c:numCache>
            </c:numRef>
          </c:val>
          <c:extLst>
            <c:ext xmlns:c16="http://schemas.microsoft.com/office/drawing/2014/chart" uri="{C3380CC4-5D6E-409C-BE32-E72D297353CC}">
              <c16:uniqueId val="{00000008-508F-4E70-8321-96A2A21904E6}"/>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RAISONS de l'obsolescence d'un composant (VISHAY </a:t>
            </a:r>
            <a:r>
              <a:rPr lang="en-US" sz="1400" b="0" i="0" u="none" strike="noStrike" baseline="0">
                <a:effectLst/>
              </a:rPr>
              <a:t>MODULES</a:t>
            </a:r>
            <a:r>
              <a:rPr lang="en-US"/>
              <a:t>) - étude sur 24 PCN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75C-4463-9AE2-7A691E474B4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75C-4463-9AE2-7A691E474B4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75C-4463-9AE2-7A691E474B4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75C-4463-9AE2-7A691E474B4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75C-4463-9AE2-7A691E474B4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75C-4463-9AE2-7A691E474B4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75C-4463-9AE2-7A691E474B47}"/>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75C-4463-9AE2-7A691E474B47}"/>
              </c:ext>
            </c:extLst>
          </c:dPt>
          <c:dLbls>
            <c:dLbl>
              <c:idx val="6"/>
              <c:layout>
                <c:manualLayout>
                  <c:x val="-1.989472001279028E-2"/>
                  <c:y val="6.0604708197013963E-3"/>
                </c:manualLayout>
              </c:layou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D-075C-4463-9AE2-7A691E474B4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Modules!$O$3:$O$10</c:f>
              <c:strCache>
                <c:ptCount val="8"/>
                <c:pt idx="0">
                  <c:v>Indisponibilité/Obsolescence des matières premières</c:v>
                </c:pt>
                <c:pt idx="1">
                  <c:v>Nouvelle technologie</c:v>
                </c:pt>
                <c:pt idx="2">
                  <c:v>Fermeture d'un site de production</c:v>
                </c:pt>
                <c:pt idx="3">
                  <c:v>Arrêt de production</c:v>
                </c:pt>
                <c:pt idx="4">
                  <c:v>Obsolescence d'une technologie</c:v>
                </c:pt>
                <c:pt idx="5">
                  <c:v>Standardisation</c:v>
                </c:pt>
                <c:pt idx="6">
                  <c:v>Faible demande</c:v>
                </c:pt>
                <c:pt idx="7">
                  <c:v>Qualité</c:v>
                </c:pt>
              </c:strCache>
            </c:strRef>
          </c:cat>
          <c:val>
            <c:numRef>
              <c:f>Modules!$P$3:$P$10</c:f>
              <c:numCache>
                <c:formatCode>General</c:formatCode>
                <c:ptCount val="8"/>
                <c:pt idx="0">
                  <c:v>3</c:v>
                </c:pt>
                <c:pt idx="1">
                  <c:v>2</c:v>
                </c:pt>
                <c:pt idx="2">
                  <c:v>0</c:v>
                </c:pt>
                <c:pt idx="3">
                  <c:v>8</c:v>
                </c:pt>
                <c:pt idx="4">
                  <c:v>3</c:v>
                </c:pt>
                <c:pt idx="5">
                  <c:v>7</c:v>
                </c:pt>
                <c:pt idx="6">
                  <c:v>1</c:v>
                </c:pt>
                <c:pt idx="7">
                  <c:v>0</c:v>
                </c:pt>
              </c:numCache>
            </c:numRef>
          </c:val>
          <c:extLst>
            <c:ext xmlns:c16="http://schemas.microsoft.com/office/drawing/2014/chart" uri="{C3380CC4-5D6E-409C-BE32-E72D297353CC}">
              <c16:uniqueId val="{00000010-075C-4463-9AE2-7A691E474B47}"/>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RESPONSABLES de l'obsolescence d'un composant (VISHAY MODULES) - étude sur 24 PCN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AD0-41E2-AC18-480D4E982A7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AD0-41E2-AC18-480D4E982A7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AD0-41E2-AC18-480D4E982A7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AD0-41E2-AC18-480D4E982A7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Modules!$O$14:$O$17</c:f>
              <c:strCache>
                <c:ptCount val="4"/>
                <c:pt idx="0">
                  <c:v>Entreprise</c:v>
                </c:pt>
                <c:pt idx="1">
                  <c:v>Client</c:v>
                </c:pt>
                <c:pt idx="2">
                  <c:v>Technologie</c:v>
                </c:pt>
                <c:pt idx="3">
                  <c:v>Fournisseur</c:v>
                </c:pt>
              </c:strCache>
            </c:strRef>
          </c:cat>
          <c:val>
            <c:numRef>
              <c:f>Modules!$P$14:$P$17</c:f>
              <c:numCache>
                <c:formatCode>General</c:formatCode>
                <c:ptCount val="4"/>
                <c:pt idx="0">
                  <c:v>15</c:v>
                </c:pt>
                <c:pt idx="1">
                  <c:v>1</c:v>
                </c:pt>
                <c:pt idx="2">
                  <c:v>5</c:v>
                </c:pt>
                <c:pt idx="3">
                  <c:v>3</c:v>
                </c:pt>
              </c:numCache>
            </c:numRef>
          </c:val>
          <c:extLst>
            <c:ext xmlns:c16="http://schemas.microsoft.com/office/drawing/2014/chart" uri="{C3380CC4-5D6E-409C-BE32-E72D297353CC}">
              <c16:uniqueId val="{00000008-BAD0-41E2-AC18-480D4E982A79}"/>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RAISONS de l'obsolescence d'un composant (VISHAY </a:t>
            </a:r>
            <a:r>
              <a:rPr lang="en-US" sz="1400" b="0" i="0" u="none" strike="noStrike" baseline="0">
                <a:effectLst/>
              </a:rPr>
              <a:t>Multilayer SMD</a:t>
            </a:r>
            <a:r>
              <a:rPr lang="en-US"/>
              <a:t>) - étude sur 6 PCN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46-41B3-BA98-EB0C4E9665A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46-41B3-BA98-EB0C4E9665A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46-41B3-BA98-EB0C4E9665A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46-41B3-BA98-EB0C4E9665A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246-41B3-BA98-EB0C4E9665A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246-41B3-BA98-EB0C4E9665A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246-41B3-BA98-EB0C4E9665A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246-41B3-BA98-EB0C4E9665A9}"/>
              </c:ext>
            </c:extLst>
          </c:dPt>
          <c:dLbls>
            <c:dLbl>
              <c:idx val="0"/>
              <c:delete val="1"/>
              <c:extLst>
                <c:ext xmlns:c15="http://schemas.microsoft.com/office/drawing/2012/chart" uri="{CE6537A1-D6FC-4f65-9D91-7224C49458BB}"/>
                <c:ext xmlns:c16="http://schemas.microsoft.com/office/drawing/2014/chart" uri="{C3380CC4-5D6E-409C-BE32-E72D297353CC}">
                  <c16:uniqueId val="{00000001-2246-41B3-BA98-EB0C4E9665A9}"/>
                </c:ext>
              </c:extLst>
            </c:dLbl>
            <c:dLbl>
              <c:idx val="1"/>
              <c:delete val="1"/>
              <c:extLst>
                <c:ext xmlns:c15="http://schemas.microsoft.com/office/drawing/2012/chart" uri="{CE6537A1-D6FC-4f65-9D91-7224C49458BB}"/>
                <c:ext xmlns:c16="http://schemas.microsoft.com/office/drawing/2014/chart" uri="{C3380CC4-5D6E-409C-BE32-E72D297353CC}">
                  <c16:uniqueId val="{00000003-2246-41B3-BA98-EB0C4E9665A9}"/>
                </c:ext>
              </c:extLst>
            </c:dLbl>
            <c:dLbl>
              <c:idx val="2"/>
              <c:delete val="1"/>
              <c:extLst>
                <c:ext xmlns:c15="http://schemas.microsoft.com/office/drawing/2012/chart" uri="{CE6537A1-D6FC-4f65-9D91-7224C49458BB}"/>
                <c:ext xmlns:c16="http://schemas.microsoft.com/office/drawing/2014/chart" uri="{C3380CC4-5D6E-409C-BE32-E72D297353CC}">
                  <c16:uniqueId val="{00000005-2246-41B3-BA98-EB0C4E9665A9}"/>
                </c:ext>
              </c:extLst>
            </c:dLbl>
            <c:dLbl>
              <c:idx val="3"/>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246-41B3-BA98-EB0C4E9665A9}"/>
                </c:ext>
              </c:extLst>
            </c:dLbl>
            <c:dLbl>
              <c:idx val="4"/>
              <c:delete val="1"/>
              <c:extLst>
                <c:ext xmlns:c15="http://schemas.microsoft.com/office/drawing/2012/chart" uri="{CE6537A1-D6FC-4f65-9D91-7224C49458BB}"/>
                <c:ext xmlns:c16="http://schemas.microsoft.com/office/drawing/2014/chart" uri="{C3380CC4-5D6E-409C-BE32-E72D297353CC}">
                  <c16:uniqueId val="{00000009-2246-41B3-BA98-EB0C4E9665A9}"/>
                </c:ext>
              </c:extLst>
            </c:dLbl>
            <c:dLbl>
              <c:idx val="5"/>
              <c:delete val="1"/>
              <c:extLst>
                <c:ext xmlns:c15="http://schemas.microsoft.com/office/drawing/2012/chart" uri="{CE6537A1-D6FC-4f65-9D91-7224C49458BB}"/>
                <c:ext xmlns:c16="http://schemas.microsoft.com/office/drawing/2014/chart" uri="{C3380CC4-5D6E-409C-BE32-E72D297353CC}">
                  <c16:uniqueId val="{0000000B-2246-41B3-BA98-EB0C4E9665A9}"/>
                </c:ext>
              </c:extLst>
            </c:dLbl>
            <c:dLbl>
              <c:idx val="6"/>
              <c:delete val="1"/>
              <c:extLst>
                <c:ext xmlns:c15="http://schemas.microsoft.com/office/drawing/2012/chart" uri="{CE6537A1-D6FC-4f65-9D91-7224C49458BB}"/>
                <c:ext xmlns:c16="http://schemas.microsoft.com/office/drawing/2014/chart" uri="{C3380CC4-5D6E-409C-BE32-E72D297353CC}">
                  <c16:uniqueId val="{0000000D-2246-41B3-BA98-EB0C4E9665A9}"/>
                </c:ext>
              </c:extLst>
            </c:dLbl>
            <c:dLbl>
              <c:idx val="7"/>
              <c:delete val="1"/>
              <c:extLst>
                <c:ext xmlns:c15="http://schemas.microsoft.com/office/drawing/2012/chart" uri="{CE6537A1-D6FC-4f65-9D91-7224C49458BB}"/>
                <c:ext xmlns:c16="http://schemas.microsoft.com/office/drawing/2014/chart" uri="{C3380CC4-5D6E-409C-BE32-E72D297353CC}">
                  <c16:uniqueId val="{0000000F-2246-41B3-BA98-EB0C4E9665A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'Multilayer smd'!$O$3:$O$10</c:f>
              <c:strCache>
                <c:ptCount val="8"/>
                <c:pt idx="0">
                  <c:v>Indisponibilité/Obsolescence des matières premières</c:v>
                </c:pt>
                <c:pt idx="1">
                  <c:v>Nouvelle technologie</c:v>
                </c:pt>
                <c:pt idx="2">
                  <c:v>Fermeture d'un site de production</c:v>
                </c:pt>
                <c:pt idx="3">
                  <c:v>Arrêt de production</c:v>
                </c:pt>
                <c:pt idx="4">
                  <c:v>Obsolescence d'une technologie</c:v>
                </c:pt>
                <c:pt idx="5">
                  <c:v>Standardisation</c:v>
                </c:pt>
                <c:pt idx="6">
                  <c:v>Faible demande</c:v>
                </c:pt>
                <c:pt idx="7">
                  <c:v>Qualité</c:v>
                </c:pt>
              </c:strCache>
            </c:strRef>
          </c:cat>
          <c:val>
            <c:numRef>
              <c:f>'Multilayer smd'!$P$3:$P$10</c:f>
              <c:numCache>
                <c:formatCode>General</c:formatCode>
                <c:ptCount val="8"/>
                <c:pt idx="0">
                  <c:v>0</c:v>
                </c:pt>
                <c:pt idx="1">
                  <c:v>0</c:v>
                </c:pt>
                <c:pt idx="2">
                  <c:v>0</c:v>
                </c:pt>
                <c:pt idx="3">
                  <c:v>6</c:v>
                </c:pt>
                <c:pt idx="4">
                  <c:v>0</c:v>
                </c:pt>
                <c:pt idx="5">
                  <c:v>0</c:v>
                </c:pt>
                <c:pt idx="6">
                  <c:v>0</c:v>
                </c:pt>
                <c:pt idx="7">
                  <c:v>0</c:v>
                </c:pt>
              </c:numCache>
            </c:numRef>
          </c:val>
          <c:extLst>
            <c:ext xmlns:c16="http://schemas.microsoft.com/office/drawing/2014/chart" uri="{C3380CC4-5D6E-409C-BE32-E72D297353CC}">
              <c16:uniqueId val="{00000010-2246-41B3-BA98-EB0C4E9665A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RESPONSABLES de l'obsolescence d'un composant (VISHAY </a:t>
            </a:r>
            <a:r>
              <a:rPr lang="en-US" sz="1400" b="0" i="0" u="none" strike="noStrike" baseline="0">
                <a:effectLst/>
              </a:rPr>
              <a:t>Multilayer SMD</a:t>
            </a:r>
            <a:r>
              <a:rPr lang="en-US"/>
              <a:t>) - étude sur 6 PCN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42B-4E98-A331-7CA3E741B57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42B-4E98-A331-7CA3E741B57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42B-4E98-A331-7CA3E741B57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42B-4E98-A331-7CA3E741B57E}"/>
              </c:ext>
            </c:extLst>
          </c:dPt>
          <c:dLbls>
            <c:dLbl>
              <c:idx val="1"/>
              <c:delete val="1"/>
              <c:extLst>
                <c:ext xmlns:c15="http://schemas.microsoft.com/office/drawing/2012/chart" uri="{CE6537A1-D6FC-4f65-9D91-7224C49458BB}"/>
                <c:ext xmlns:c16="http://schemas.microsoft.com/office/drawing/2014/chart" uri="{C3380CC4-5D6E-409C-BE32-E72D297353CC}">
                  <c16:uniqueId val="{00000003-142B-4E98-A331-7CA3E741B57E}"/>
                </c:ext>
              </c:extLst>
            </c:dLbl>
            <c:dLbl>
              <c:idx val="2"/>
              <c:delete val="1"/>
              <c:extLst>
                <c:ext xmlns:c15="http://schemas.microsoft.com/office/drawing/2012/chart" uri="{CE6537A1-D6FC-4f65-9D91-7224C49458BB}"/>
                <c:ext xmlns:c16="http://schemas.microsoft.com/office/drawing/2014/chart" uri="{C3380CC4-5D6E-409C-BE32-E72D297353CC}">
                  <c16:uniqueId val="{00000005-142B-4E98-A331-7CA3E741B57E}"/>
                </c:ext>
              </c:extLst>
            </c:dLbl>
            <c:dLbl>
              <c:idx val="3"/>
              <c:delete val="1"/>
              <c:extLst>
                <c:ext xmlns:c15="http://schemas.microsoft.com/office/drawing/2012/chart" uri="{CE6537A1-D6FC-4f65-9D91-7224C49458BB}"/>
                <c:ext xmlns:c16="http://schemas.microsoft.com/office/drawing/2014/chart" uri="{C3380CC4-5D6E-409C-BE32-E72D297353CC}">
                  <c16:uniqueId val="{00000007-142B-4E98-A331-7CA3E741B57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'Multilayer smd'!$O$14:$O$17</c:f>
              <c:strCache>
                <c:ptCount val="4"/>
                <c:pt idx="0">
                  <c:v>Entreprise</c:v>
                </c:pt>
                <c:pt idx="1">
                  <c:v>Client</c:v>
                </c:pt>
                <c:pt idx="2">
                  <c:v>Technologie</c:v>
                </c:pt>
                <c:pt idx="3">
                  <c:v>Fournisseur</c:v>
                </c:pt>
              </c:strCache>
            </c:strRef>
          </c:cat>
          <c:val>
            <c:numRef>
              <c:f>'Multilayer smd'!$P$14:$P$17</c:f>
              <c:numCache>
                <c:formatCode>General</c:formatCode>
                <c:ptCount val="4"/>
                <c:pt idx="0">
                  <c:v>6</c:v>
                </c:pt>
                <c:pt idx="1">
                  <c:v>0</c:v>
                </c:pt>
                <c:pt idx="2">
                  <c:v>0</c:v>
                </c:pt>
                <c:pt idx="3">
                  <c:v>0</c:v>
                </c:pt>
              </c:numCache>
            </c:numRef>
          </c:val>
          <c:extLst>
            <c:ext xmlns:c16="http://schemas.microsoft.com/office/drawing/2014/chart" uri="{C3380CC4-5D6E-409C-BE32-E72D297353CC}">
              <c16:uniqueId val="{00000008-142B-4E98-A331-7CA3E741B57E}"/>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RAISONS de l'obsolescence d'un composant (VISHAY OPTOELECTRONICS) - étude sur 109 PCN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C56-4360-9B36-8ADC6540ED7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C56-4360-9B36-8ADC6540ED7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C56-4360-9B36-8ADC6540ED7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C56-4360-9B36-8ADC6540ED7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C56-4360-9B36-8ADC6540ED7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C56-4360-9B36-8ADC6540ED7E}"/>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C56-4360-9B36-8ADC6540ED7E}"/>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1C56-4360-9B36-8ADC6540ED7E}"/>
              </c:ext>
            </c:extLst>
          </c:dPt>
          <c:dLbls>
            <c:dLbl>
              <c:idx val="6"/>
              <c:layout>
                <c:manualLayout>
                  <c:x val="-2.1903859239817245E-3"/>
                  <c:y val="-3.8326745010738343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D-1C56-4360-9B36-8ADC6540ED7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Optoelectronics!$O$3:$O$10</c:f>
              <c:strCache>
                <c:ptCount val="8"/>
                <c:pt idx="0">
                  <c:v>Indisponibilité/Obsolescence des matières premières</c:v>
                </c:pt>
                <c:pt idx="1">
                  <c:v>Nouvelle technologie</c:v>
                </c:pt>
                <c:pt idx="2">
                  <c:v>Fermeture d'un site de production</c:v>
                </c:pt>
                <c:pt idx="3">
                  <c:v>Arrêt de production</c:v>
                </c:pt>
                <c:pt idx="4">
                  <c:v>Obsolescence d'une technologie</c:v>
                </c:pt>
                <c:pt idx="5">
                  <c:v>Standardisation</c:v>
                </c:pt>
                <c:pt idx="6">
                  <c:v>Faible demande</c:v>
                </c:pt>
                <c:pt idx="7">
                  <c:v>Qualité</c:v>
                </c:pt>
              </c:strCache>
            </c:strRef>
          </c:cat>
          <c:val>
            <c:numRef>
              <c:f>Optoelectronics!$P$3:$P$10</c:f>
              <c:numCache>
                <c:formatCode>General</c:formatCode>
                <c:ptCount val="8"/>
                <c:pt idx="0">
                  <c:v>17</c:v>
                </c:pt>
                <c:pt idx="1">
                  <c:v>0</c:v>
                </c:pt>
                <c:pt idx="2">
                  <c:v>0</c:v>
                </c:pt>
                <c:pt idx="3">
                  <c:v>6</c:v>
                </c:pt>
                <c:pt idx="4">
                  <c:v>8</c:v>
                </c:pt>
                <c:pt idx="5">
                  <c:v>20</c:v>
                </c:pt>
                <c:pt idx="6">
                  <c:v>58</c:v>
                </c:pt>
                <c:pt idx="7">
                  <c:v>0</c:v>
                </c:pt>
              </c:numCache>
            </c:numRef>
          </c:val>
          <c:extLst>
            <c:ext xmlns:c16="http://schemas.microsoft.com/office/drawing/2014/chart" uri="{C3380CC4-5D6E-409C-BE32-E72D297353CC}">
              <c16:uniqueId val="{00000010-1C56-4360-9B36-8ADC6540ED7E}"/>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RESPONSABLES de l'obsolescence d'un composant (VISHAY OPTOELECTRONICS) - étude sur 109 PCN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F46-4DC7-ABC2-773E8755DA6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F46-4DC7-ABC2-773E8755DA6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F46-4DC7-ABC2-773E8755DA6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F46-4DC7-ABC2-773E8755DA6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Optoelectronics!$O$14:$O$17</c:f>
              <c:strCache>
                <c:ptCount val="4"/>
                <c:pt idx="0">
                  <c:v>Entreprise</c:v>
                </c:pt>
                <c:pt idx="1">
                  <c:v>Client</c:v>
                </c:pt>
                <c:pt idx="2">
                  <c:v>Technologie</c:v>
                </c:pt>
                <c:pt idx="3">
                  <c:v>Fournisseur</c:v>
                </c:pt>
              </c:strCache>
            </c:strRef>
          </c:cat>
          <c:val>
            <c:numRef>
              <c:f>Optoelectronics!$P$14:$P$17</c:f>
              <c:numCache>
                <c:formatCode>General</c:formatCode>
                <c:ptCount val="4"/>
                <c:pt idx="0">
                  <c:v>31</c:v>
                </c:pt>
                <c:pt idx="1">
                  <c:v>58</c:v>
                </c:pt>
                <c:pt idx="2">
                  <c:v>3</c:v>
                </c:pt>
                <c:pt idx="3">
                  <c:v>17</c:v>
                </c:pt>
              </c:numCache>
            </c:numRef>
          </c:val>
          <c:extLst>
            <c:ext xmlns:c16="http://schemas.microsoft.com/office/drawing/2014/chart" uri="{C3380CC4-5D6E-409C-BE32-E72D297353CC}">
              <c16:uniqueId val="{00000008-DF46-4DC7-ABC2-773E8755DA6E}"/>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RAISONS de l'obsolescence d'un composant (VISHAY RESISTANCE) - étude sur 82 PCN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BCE-4731-AE84-2562F05C41D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BCE-4731-AE84-2562F05C41D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BCE-4731-AE84-2562F05C41D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BCE-4731-AE84-2562F05C41D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BCE-4731-AE84-2562F05C41D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BCE-4731-AE84-2562F05C41D0}"/>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BCE-4731-AE84-2562F05C41D0}"/>
              </c:ext>
            </c:extLst>
          </c:dPt>
          <c:dLbls>
            <c:dLbl>
              <c:idx val="0"/>
              <c:layout>
                <c:manualLayout>
                  <c:x val="-4.2160746333812999E-3"/>
                  <c:y val="1.6877845436995425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BCE-4731-AE84-2562F05C41D0}"/>
                </c:ext>
              </c:extLst>
            </c:dLbl>
            <c:dLbl>
              <c:idx val="2"/>
              <c:layout>
                <c:manualLayout>
                  <c:x val="-3.2201005675111215E-3"/>
                  <c:y val="-1.9876918494922636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6BCE-4731-AE84-2562F05C41D0}"/>
                </c:ext>
              </c:extLst>
            </c:dLbl>
            <c:dLbl>
              <c:idx val="6"/>
              <c:layout>
                <c:manualLayout>
                  <c:x val="-5.3565942860838496E-4"/>
                  <c:y val="2.9089416997678866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D-6BCE-4731-AE84-2562F05C41D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Résistance!$U$7:$U$13</c:f>
              <c:strCache>
                <c:ptCount val="7"/>
                <c:pt idx="0">
                  <c:v>Indisponibilité/Obsolescence des matières premières</c:v>
                </c:pt>
                <c:pt idx="1">
                  <c:v>Nouvelle technologie</c:v>
                </c:pt>
                <c:pt idx="2">
                  <c:v>Fermeture d'un site de production</c:v>
                </c:pt>
                <c:pt idx="3">
                  <c:v>Arrêt de production</c:v>
                </c:pt>
                <c:pt idx="4">
                  <c:v>Obsolescence d'une technologie</c:v>
                </c:pt>
                <c:pt idx="5">
                  <c:v>Standardisation</c:v>
                </c:pt>
                <c:pt idx="6">
                  <c:v>Faible demande</c:v>
                </c:pt>
              </c:strCache>
            </c:strRef>
          </c:cat>
          <c:val>
            <c:numRef>
              <c:f>Résistance!$V$7:$V$13</c:f>
              <c:numCache>
                <c:formatCode>General</c:formatCode>
                <c:ptCount val="7"/>
                <c:pt idx="0">
                  <c:v>2</c:v>
                </c:pt>
                <c:pt idx="1">
                  <c:v>10</c:v>
                </c:pt>
                <c:pt idx="2">
                  <c:v>0</c:v>
                </c:pt>
                <c:pt idx="3">
                  <c:v>4</c:v>
                </c:pt>
                <c:pt idx="4">
                  <c:v>6</c:v>
                </c:pt>
                <c:pt idx="5">
                  <c:v>6</c:v>
                </c:pt>
                <c:pt idx="6">
                  <c:v>54</c:v>
                </c:pt>
              </c:numCache>
            </c:numRef>
          </c:val>
          <c:extLst>
            <c:ext xmlns:c16="http://schemas.microsoft.com/office/drawing/2014/chart" uri="{C3380CC4-5D6E-409C-BE32-E72D297353CC}">
              <c16:uniqueId val="{0000000E-6BCE-4731-AE84-2562F05C41D0}"/>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RESPONSABLES de l'obsolescence d'un composant (VISHAY RESISTANCE) - étude sur 82 PCN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D58-41EC-A35A-A5F2B190A2B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D58-41EC-A35A-A5F2B190A2B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D58-41EC-A35A-A5F2B190A2B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1AE-42AF-BCB3-AFDDC7EE1DA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Résistance!$U$17:$U$20</c:f>
              <c:strCache>
                <c:ptCount val="4"/>
                <c:pt idx="0">
                  <c:v>Entreprise</c:v>
                </c:pt>
                <c:pt idx="1">
                  <c:v>Client</c:v>
                </c:pt>
                <c:pt idx="2">
                  <c:v>Technologie</c:v>
                </c:pt>
                <c:pt idx="3">
                  <c:v>Fournisseur</c:v>
                </c:pt>
              </c:strCache>
            </c:strRef>
          </c:cat>
          <c:val>
            <c:numRef>
              <c:f>Résistance!$V$17:$V$20</c:f>
              <c:numCache>
                <c:formatCode>General</c:formatCode>
                <c:ptCount val="4"/>
                <c:pt idx="0">
                  <c:v>10</c:v>
                </c:pt>
                <c:pt idx="1">
                  <c:v>54</c:v>
                </c:pt>
                <c:pt idx="2">
                  <c:v>16</c:v>
                </c:pt>
                <c:pt idx="3">
                  <c:v>2</c:v>
                </c:pt>
              </c:numCache>
            </c:numRef>
          </c:val>
          <c:extLst>
            <c:ext xmlns:c16="http://schemas.microsoft.com/office/drawing/2014/chart" uri="{C3380CC4-5D6E-409C-BE32-E72D297353CC}">
              <c16:uniqueId val="{00000006-7D58-41EC-A35A-A5F2B190A2B2}"/>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RAISONS de l'obsolescence d'un composant (VISHAY TRANSISTORS) - étude sur 63 PCN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6E5-4428-A7D6-7FC8DF09BC3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6E5-4428-A7D6-7FC8DF09BC3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6E5-4428-A7D6-7FC8DF09BC3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6E5-4428-A7D6-7FC8DF09BC3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6E5-4428-A7D6-7FC8DF09BC3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6E5-4428-A7D6-7FC8DF09BC3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6E5-4428-A7D6-7FC8DF09BC3C}"/>
              </c:ext>
            </c:extLst>
          </c:dPt>
          <c:dLbls>
            <c:dLbl>
              <c:idx val="0"/>
              <c:layout>
                <c:manualLayout>
                  <c:x val="4.2944785276073622E-2"/>
                  <c:y val="2.408662726948791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6E5-4428-A7D6-7FC8DF09BC3C}"/>
                </c:ext>
              </c:extLst>
            </c:dLbl>
            <c:dLbl>
              <c:idx val="6"/>
              <c:layout>
                <c:manualLayout>
                  <c:x val="2.0449897750511249E-3"/>
                  <c:y val="1.065817396296919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D-F6E5-4428-A7D6-7FC8DF09BC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Transistor!$V$8:$V$14</c:f>
              <c:strCache>
                <c:ptCount val="7"/>
                <c:pt idx="0">
                  <c:v>Indisponibilité/Obsolescence des matières premières</c:v>
                </c:pt>
                <c:pt idx="1">
                  <c:v>Nouvelle technologie</c:v>
                </c:pt>
                <c:pt idx="2">
                  <c:v>Fermeture d'un site de production</c:v>
                </c:pt>
                <c:pt idx="3">
                  <c:v>Arrêt de production</c:v>
                </c:pt>
                <c:pt idx="4">
                  <c:v>Obsolescence d'une technologie</c:v>
                </c:pt>
                <c:pt idx="5">
                  <c:v>Standardisation</c:v>
                </c:pt>
                <c:pt idx="6">
                  <c:v>Faible demande</c:v>
                </c:pt>
              </c:strCache>
            </c:strRef>
          </c:cat>
          <c:val>
            <c:numRef>
              <c:f>Transistor!$W$8:$W$14</c:f>
              <c:numCache>
                <c:formatCode>General</c:formatCode>
                <c:ptCount val="7"/>
                <c:pt idx="0">
                  <c:v>0</c:v>
                </c:pt>
                <c:pt idx="1">
                  <c:v>20</c:v>
                </c:pt>
                <c:pt idx="2">
                  <c:v>24</c:v>
                </c:pt>
                <c:pt idx="3">
                  <c:v>7</c:v>
                </c:pt>
                <c:pt idx="4">
                  <c:v>6</c:v>
                </c:pt>
                <c:pt idx="5">
                  <c:v>6</c:v>
                </c:pt>
                <c:pt idx="6">
                  <c:v>0</c:v>
                </c:pt>
              </c:numCache>
            </c:numRef>
          </c:val>
          <c:extLst>
            <c:ext xmlns:c16="http://schemas.microsoft.com/office/drawing/2014/chart" uri="{C3380CC4-5D6E-409C-BE32-E72D297353CC}">
              <c16:uniqueId val="{0000000E-F6E5-4428-A7D6-7FC8DF09BC3C}"/>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RESPONSABLES de l'obsolescence d'un composant (VISHAY TRANSISTORS) - étude sur 63 PCN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6F1-43AE-9B48-AA98080F383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6F1-43AE-9B48-AA98080F383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6F1-43AE-9B48-AA98080F383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274-452F-9E1D-88701CD8801D}"/>
              </c:ext>
            </c:extLst>
          </c:dPt>
          <c:dLbls>
            <c:dLbl>
              <c:idx val="1"/>
              <c:layout>
                <c:manualLayout>
                  <c:x val="5.8310102541530131E-3"/>
                  <c:y val="-1.002404804111528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B6F1-43AE-9B48-AA98080F3837}"/>
                </c:ext>
              </c:extLst>
            </c:dLbl>
            <c:dLbl>
              <c:idx val="3"/>
              <c:layout>
                <c:manualLayout>
                  <c:x val="-7.5913546780740329E-17"/>
                  <c:y val="1.9647112173805468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D274-452F-9E1D-88701CD8801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Transistor!$V$18:$V$21</c:f>
              <c:strCache>
                <c:ptCount val="4"/>
                <c:pt idx="0">
                  <c:v>Entreprise</c:v>
                </c:pt>
                <c:pt idx="1">
                  <c:v>Client</c:v>
                </c:pt>
                <c:pt idx="2">
                  <c:v>Technologie</c:v>
                </c:pt>
                <c:pt idx="3">
                  <c:v>Fournisseur</c:v>
                </c:pt>
              </c:strCache>
            </c:strRef>
          </c:cat>
          <c:val>
            <c:numRef>
              <c:f>Transistor!$W$18:$W$21</c:f>
              <c:numCache>
                <c:formatCode>General</c:formatCode>
                <c:ptCount val="4"/>
                <c:pt idx="0">
                  <c:v>36</c:v>
                </c:pt>
                <c:pt idx="1">
                  <c:v>0</c:v>
                </c:pt>
                <c:pt idx="2">
                  <c:v>27</c:v>
                </c:pt>
                <c:pt idx="3">
                  <c:v>0</c:v>
                </c:pt>
              </c:numCache>
            </c:numRef>
          </c:val>
          <c:extLst>
            <c:ext xmlns:c16="http://schemas.microsoft.com/office/drawing/2014/chart" uri="{C3380CC4-5D6E-409C-BE32-E72D297353CC}">
              <c16:uniqueId val="{00000006-B6F1-43AE-9B48-AA98080F3837}"/>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latin typeface="+mn-lt"/>
                <a:ea typeface="+mn-ea"/>
                <a:cs typeface="+mn-cs"/>
              </a:rPr>
              <a:t>Diagramme représentant le délais (en mois) entre la publication du PDN et la dernière date pour commander (VISHAY CAPACITORS) - Etude sur 109 PCN</a:t>
            </a:r>
          </a:p>
        </c:rich>
      </c:tx>
      <c:overlay val="0"/>
      <c:spPr>
        <a:noFill/>
        <a:ln>
          <a:noFill/>
        </a:ln>
        <a:effectLst/>
      </c:spPr>
      <c:txPr>
        <a:bodyPr rot="0" spcFirstLastPara="1" vertOverflow="ellipsis" vert="horz" wrap="square" anchor="ctr" anchorCtr="1"/>
        <a:lstStyle/>
        <a:p>
          <a:pPr algn="ctr" rtl="0">
            <a:defRPr lang="en-US" sz="1400" b="0" i="0" u="none" strike="noStrike" kern="1200" spc="0" baseline="0">
              <a:solidFill>
                <a:sysClr val="windowText" lastClr="000000">
                  <a:lumMod val="65000"/>
                  <a:lumOff val="35000"/>
                </a:sysClr>
              </a:solidFill>
              <a:latin typeface="+mn-lt"/>
              <a:ea typeface="+mn-ea"/>
              <a:cs typeface="+mn-cs"/>
            </a:defRPr>
          </a:pPr>
          <a:endParaRPr lang="fr-FR"/>
        </a:p>
      </c:txPr>
    </c:title>
    <c:autoTitleDeleted val="0"/>
    <c:plotArea>
      <c:layout/>
      <c:barChart>
        <c:barDir val="col"/>
        <c:grouping val="clustered"/>
        <c:varyColors val="0"/>
        <c:ser>
          <c:idx val="0"/>
          <c:order val="0"/>
          <c:tx>
            <c:v>Capacitors</c:v>
          </c:tx>
          <c:spPr>
            <a:solidFill>
              <a:schemeClr val="accent1"/>
            </a:solidFill>
            <a:ln>
              <a:noFill/>
            </a:ln>
            <a:effectLst/>
          </c:spPr>
          <c:invertIfNegative val="0"/>
          <c:cat>
            <c:strRef>
              <c:f>Capacitors!$AI$3:$AI$7</c:f>
              <c:strCache>
                <c:ptCount val="5"/>
                <c:pt idx="0">
                  <c:v>1 à 3</c:v>
                </c:pt>
                <c:pt idx="1">
                  <c:v>4 à 6</c:v>
                </c:pt>
                <c:pt idx="2">
                  <c:v>7 à  9</c:v>
                </c:pt>
                <c:pt idx="3">
                  <c:v>10 à 12</c:v>
                </c:pt>
                <c:pt idx="4">
                  <c:v>12 ou +</c:v>
                </c:pt>
              </c:strCache>
            </c:strRef>
          </c:cat>
          <c:val>
            <c:numRef>
              <c:f>Capacitors!$AK$3:$AK$7</c:f>
              <c:numCache>
                <c:formatCode>General</c:formatCode>
                <c:ptCount val="5"/>
                <c:pt idx="0">
                  <c:v>31</c:v>
                </c:pt>
                <c:pt idx="1">
                  <c:v>75</c:v>
                </c:pt>
                <c:pt idx="2">
                  <c:v>1</c:v>
                </c:pt>
                <c:pt idx="3">
                  <c:v>1</c:v>
                </c:pt>
                <c:pt idx="4">
                  <c:v>1</c:v>
                </c:pt>
              </c:numCache>
            </c:numRef>
          </c:val>
          <c:extLst>
            <c:ext xmlns:c16="http://schemas.microsoft.com/office/drawing/2014/chart" uri="{C3380CC4-5D6E-409C-BE32-E72D297353CC}">
              <c16:uniqueId val="{00000000-8E51-4A39-9AD9-583495B2969A}"/>
            </c:ext>
          </c:extLst>
        </c:ser>
        <c:dLbls>
          <c:showLegendKey val="0"/>
          <c:showVal val="0"/>
          <c:showCatName val="0"/>
          <c:showSerName val="0"/>
          <c:showPercent val="0"/>
          <c:showBubbleSize val="0"/>
        </c:dLbls>
        <c:gapWidth val="219"/>
        <c:overlap val="-27"/>
        <c:axId val="205088376"/>
        <c:axId val="330826007"/>
      </c:barChart>
      <c:catAx>
        <c:axId val="205088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0826007"/>
        <c:crosses val="autoZero"/>
        <c:auto val="1"/>
        <c:lblAlgn val="ctr"/>
        <c:lblOffset val="100"/>
        <c:noMultiLvlLbl val="0"/>
      </c:catAx>
      <c:valAx>
        <c:axId val="3308260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5088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latin typeface="+mn-lt"/>
                <a:ea typeface="+mn-ea"/>
                <a:cs typeface="+mn-cs"/>
              </a:rPr>
              <a:t>Diagramme représentant le délais (en mois) entre la publication du PDN et la dernière date pour commander (VISHAY DIODE) - Etude sur 40 PCN</a:t>
            </a:r>
          </a:p>
        </c:rich>
      </c:tx>
      <c:overlay val="0"/>
      <c:spPr>
        <a:noFill/>
        <a:ln>
          <a:noFill/>
        </a:ln>
        <a:effectLst/>
      </c:spPr>
      <c:txPr>
        <a:bodyPr rot="0" spcFirstLastPara="1" vertOverflow="ellipsis" vert="horz" wrap="square" anchor="ctr" anchorCtr="1"/>
        <a:lstStyle/>
        <a:p>
          <a:pPr algn="ctr" rtl="0">
            <a:defRPr lang="en-US" sz="1400" b="0" i="0" u="none" strike="noStrike" kern="1200" spc="0" baseline="0">
              <a:solidFill>
                <a:sysClr val="windowText" lastClr="000000">
                  <a:lumMod val="65000"/>
                  <a:lumOff val="35000"/>
                </a:sysClr>
              </a:solidFill>
              <a:latin typeface="+mn-lt"/>
              <a:ea typeface="+mn-ea"/>
              <a:cs typeface="+mn-cs"/>
            </a:defRPr>
          </a:pPr>
          <a:endParaRPr lang="fr-FR"/>
        </a:p>
      </c:txPr>
    </c:title>
    <c:autoTitleDeleted val="0"/>
    <c:plotArea>
      <c:layout/>
      <c:barChart>
        <c:barDir val="col"/>
        <c:grouping val="clustered"/>
        <c:varyColors val="0"/>
        <c:ser>
          <c:idx val="0"/>
          <c:order val="0"/>
          <c:tx>
            <c:v>VISHAY Diode</c:v>
          </c:tx>
          <c:spPr>
            <a:solidFill>
              <a:schemeClr val="accent1"/>
            </a:solidFill>
            <a:ln>
              <a:noFill/>
            </a:ln>
            <a:effectLst/>
          </c:spPr>
          <c:invertIfNegative val="0"/>
          <c:cat>
            <c:strRef>
              <c:f>'Diode '!$Y$7:$Y$11</c:f>
              <c:strCache>
                <c:ptCount val="5"/>
                <c:pt idx="0">
                  <c:v>1 à 3</c:v>
                </c:pt>
                <c:pt idx="1">
                  <c:v>4 à 6</c:v>
                </c:pt>
                <c:pt idx="2">
                  <c:v>7 à  9</c:v>
                </c:pt>
                <c:pt idx="3">
                  <c:v>10 à 12</c:v>
                </c:pt>
                <c:pt idx="4">
                  <c:v>12 ou +</c:v>
                </c:pt>
              </c:strCache>
            </c:strRef>
          </c:cat>
          <c:val>
            <c:numRef>
              <c:f>'Diode '!$AA$7:$AA$11</c:f>
              <c:numCache>
                <c:formatCode>General</c:formatCode>
                <c:ptCount val="5"/>
                <c:pt idx="0">
                  <c:v>2</c:v>
                </c:pt>
                <c:pt idx="1">
                  <c:v>30</c:v>
                </c:pt>
                <c:pt idx="2">
                  <c:v>4</c:v>
                </c:pt>
                <c:pt idx="3">
                  <c:v>4</c:v>
                </c:pt>
              </c:numCache>
            </c:numRef>
          </c:val>
          <c:extLst>
            <c:ext xmlns:c16="http://schemas.microsoft.com/office/drawing/2014/chart" uri="{C3380CC4-5D6E-409C-BE32-E72D297353CC}">
              <c16:uniqueId val="{00000000-1A3E-4216-9985-30559BA400C4}"/>
            </c:ext>
          </c:extLst>
        </c:ser>
        <c:dLbls>
          <c:showLegendKey val="0"/>
          <c:showVal val="0"/>
          <c:showCatName val="0"/>
          <c:showSerName val="0"/>
          <c:showPercent val="0"/>
          <c:showBubbleSize val="0"/>
        </c:dLbls>
        <c:gapWidth val="219"/>
        <c:overlap val="-27"/>
        <c:axId val="205088376"/>
        <c:axId val="330826007"/>
      </c:barChart>
      <c:catAx>
        <c:axId val="205088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0826007"/>
        <c:crosses val="autoZero"/>
        <c:auto val="1"/>
        <c:lblAlgn val="ctr"/>
        <c:lblOffset val="100"/>
        <c:noMultiLvlLbl val="0"/>
      </c:catAx>
      <c:valAx>
        <c:axId val="3308260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5088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l'estimation de la durée de vie (en années) entre la date de dernière commande et la date de la fiche technique (VISHAY DIODE) - Etude sur 19 PCN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v>VISHAY Diode</c:v>
          </c:tx>
          <c:spPr>
            <a:solidFill>
              <a:schemeClr val="accent1"/>
            </a:solidFill>
            <a:ln>
              <a:noFill/>
            </a:ln>
            <a:effectLst/>
          </c:spPr>
          <c:invertIfNegative val="0"/>
          <c:cat>
            <c:strRef>
              <c:f>'Diode '!$AE$18:$AE$23</c:f>
              <c:strCache>
                <c:ptCount val="6"/>
                <c:pt idx="0">
                  <c:v>0 à 2</c:v>
                </c:pt>
                <c:pt idx="1">
                  <c:v>2 à 4</c:v>
                </c:pt>
                <c:pt idx="2">
                  <c:v>4 à 6</c:v>
                </c:pt>
                <c:pt idx="3">
                  <c:v>6 à 8</c:v>
                </c:pt>
                <c:pt idx="4">
                  <c:v>8 à 10 </c:v>
                </c:pt>
                <c:pt idx="5">
                  <c:v>10 et + (max 12)</c:v>
                </c:pt>
              </c:strCache>
            </c:strRef>
          </c:cat>
          <c:val>
            <c:numRef>
              <c:f>'Diode '!$AG$18:$AG$23</c:f>
              <c:numCache>
                <c:formatCode>General</c:formatCode>
                <c:ptCount val="6"/>
                <c:pt idx="0">
                  <c:v>4</c:v>
                </c:pt>
                <c:pt idx="1">
                  <c:v>4</c:v>
                </c:pt>
                <c:pt idx="2">
                  <c:v>3</c:v>
                </c:pt>
                <c:pt idx="3">
                  <c:v>2</c:v>
                </c:pt>
                <c:pt idx="4">
                  <c:v>0</c:v>
                </c:pt>
                <c:pt idx="5">
                  <c:v>6</c:v>
                </c:pt>
              </c:numCache>
            </c:numRef>
          </c:val>
          <c:extLst>
            <c:ext xmlns:c16="http://schemas.microsoft.com/office/drawing/2014/chart" uri="{C3380CC4-5D6E-409C-BE32-E72D297353CC}">
              <c16:uniqueId val="{00000000-168B-4F69-88FE-F92B7CC22EB6}"/>
            </c:ext>
          </c:extLst>
        </c:ser>
        <c:dLbls>
          <c:showLegendKey val="0"/>
          <c:showVal val="0"/>
          <c:showCatName val="0"/>
          <c:showSerName val="0"/>
          <c:showPercent val="0"/>
          <c:showBubbleSize val="0"/>
        </c:dLbls>
        <c:gapWidth val="219"/>
        <c:overlap val="-27"/>
        <c:axId val="471001687"/>
        <c:axId val="1886216792"/>
      </c:barChart>
      <c:catAx>
        <c:axId val="47100168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86216792"/>
        <c:crosses val="autoZero"/>
        <c:auto val="1"/>
        <c:lblAlgn val="ctr"/>
        <c:lblOffset val="100"/>
        <c:noMultiLvlLbl val="0"/>
      </c:catAx>
      <c:valAx>
        <c:axId val="18862167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7100168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Diagramme représentant le délais (en mois) entre la publication du PDN et la dernière date pour commander (VISHAY ICS) - Etude sur 11 PCN</a:t>
            </a:r>
            <a:endParaRPr lang="fr-FR" sz="1400" baseline="0">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cat>
            <c:strRef>
              <c:f>ICS!$R$3:$R$7</c:f>
              <c:strCache>
                <c:ptCount val="5"/>
                <c:pt idx="0">
                  <c:v>1 à 3</c:v>
                </c:pt>
                <c:pt idx="1">
                  <c:v>4 à 6</c:v>
                </c:pt>
                <c:pt idx="2">
                  <c:v>7 à  9</c:v>
                </c:pt>
                <c:pt idx="3">
                  <c:v>10 à 12</c:v>
                </c:pt>
                <c:pt idx="4">
                  <c:v>12 ou +</c:v>
                </c:pt>
              </c:strCache>
            </c:strRef>
          </c:cat>
          <c:val>
            <c:numRef>
              <c:f>ICS!$T$3:$T$7</c:f>
              <c:numCache>
                <c:formatCode>General</c:formatCode>
                <c:ptCount val="5"/>
                <c:pt idx="0">
                  <c:v>1</c:v>
                </c:pt>
                <c:pt idx="1">
                  <c:v>12</c:v>
                </c:pt>
                <c:pt idx="2">
                  <c:v>0</c:v>
                </c:pt>
                <c:pt idx="3">
                  <c:v>0</c:v>
                </c:pt>
                <c:pt idx="4">
                  <c:v>0</c:v>
                </c:pt>
              </c:numCache>
            </c:numRef>
          </c:val>
          <c:extLst>
            <c:ext xmlns:c16="http://schemas.microsoft.com/office/drawing/2014/chart" uri="{C3380CC4-5D6E-409C-BE32-E72D297353CC}">
              <c16:uniqueId val="{00000000-6F71-429F-BE43-338EAB9F3F52}"/>
            </c:ext>
          </c:extLst>
        </c:ser>
        <c:dLbls>
          <c:showLegendKey val="0"/>
          <c:showVal val="0"/>
          <c:showCatName val="0"/>
          <c:showSerName val="0"/>
          <c:showPercent val="0"/>
          <c:showBubbleSize val="0"/>
        </c:dLbls>
        <c:gapWidth val="219"/>
        <c:overlap val="-27"/>
        <c:axId val="2038007744"/>
        <c:axId val="2038008576"/>
      </c:barChart>
      <c:catAx>
        <c:axId val="2038007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38008576"/>
        <c:crosses val="autoZero"/>
        <c:auto val="1"/>
        <c:lblAlgn val="ctr"/>
        <c:lblOffset val="100"/>
        <c:noMultiLvlLbl val="0"/>
      </c:catAx>
      <c:valAx>
        <c:axId val="2038008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380077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 délais (en mois) entre la publication du PDN et la dernière date pour commander (VISHAY INDUCTORS) - Etude sur 40 PCN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cat>
            <c:strRef>
              <c:f>Inductors!$R$3:$R$7</c:f>
              <c:strCache>
                <c:ptCount val="5"/>
                <c:pt idx="0">
                  <c:v>1 à 3</c:v>
                </c:pt>
                <c:pt idx="1">
                  <c:v>4 à 6</c:v>
                </c:pt>
                <c:pt idx="2">
                  <c:v>7 à  9</c:v>
                </c:pt>
                <c:pt idx="3">
                  <c:v>10 à 12</c:v>
                </c:pt>
                <c:pt idx="4">
                  <c:v>12 ou +</c:v>
                </c:pt>
              </c:strCache>
            </c:strRef>
          </c:cat>
          <c:val>
            <c:numRef>
              <c:f>Inductors!$T$3:$T$7</c:f>
              <c:numCache>
                <c:formatCode>General</c:formatCode>
                <c:ptCount val="5"/>
                <c:pt idx="0">
                  <c:v>14</c:v>
                </c:pt>
                <c:pt idx="1">
                  <c:v>26</c:v>
                </c:pt>
                <c:pt idx="2">
                  <c:v>0</c:v>
                </c:pt>
                <c:pt idx="3">
                  <c:v>0</c:v>
                </c:pt>
                <c:pt idx="4">
                  <c:v>0</c:v>
                </c:pt>
              </c:numCache>
            </c:numRef>
          </c:val>
          <c:extLst>
            <c:ext xmlns:c16="http://schemas.microsoft.com/office/drawing/2014/chart" uri="{C3380CC4-5D6E-409C-BE32-E72D297353CC}">
              <c16:uniqueId val="{00000000-89AE-4A74-83FB-330EBA3261F8}"/>
            </c:ext>
          </c:extLst>
        </c:ser>
        <c:dLbls>
          <c:showLegendKey val="0"/>
          <c:showVal val="0"/>
          <c:showCatName val="0"/>
          <c:showSerName val="0"/>
          <c:showPercent val="0"/>
          <c:showBubbleSize val="0"/>
        </c:dLbls>
        <c:gapWidth val="219"/>
        <c:overlap val="-27"/>
        <c:axId val="1891187384"/>
        <c:axId val="1893839384"/>
      </c:barChart>
      <c:catAx>
        <c:axId val="1891187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93839384"/>
        <c:crosses val="autoZero"/>
        <c:auto val="1"/>
        <c:lblAlgn val="ctr"/>
        <c:lblOffset val="100"/>
        <c:noMultiLvlLbl val="0"/>
      </c:catAx>
      <c:valAx>
        <c:axId val="1893839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91187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Diagramme représentant le délais (en mois) entre la publication du PDN et la dernière date pour commander (VISHAY MODULES) - Etude sur 24 PCN</a:t>
            </a:r>
            <a:endParaRPr lang="fr-FR" sz="11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cat>
            <c:strRef>
              <c:f>Modules!$R$3:$R$7</c:f>
              <c:strCache>
                <c:ptCount val="5"/>
                <c:pt idx="0">
                  <c:v>1 à 3</c:v>
                </c:pt>
                <c:pt idx="1">
                  <c:v>4 à 6</c:v>
                </c:pt>
                <c:pt idx="2">
                  <c:v>7 à  9</c:v>
                </c:pt>
                <c:pt idx="3">
                  <c:v>10 à 12</c:v>
                </c:pt>
                <c:pt idx="4">
                  <c:v>12 ou +</c:v>
                </c:pt>
              </c:strCache>
            </c:strRef>
          </c:cat>
          <c:val>
            <c:numRef>
              <c:f>Modules!$T$3:$T$7</c:f>
              <c:numCache>
                <c:formatCode>General</c:formatCode>
                <c:ptCount val="5"/>
                <c:pt idx="0">
                  <c:v>4</c:v>
                </c:pt>
                <c:pt idx="1">
                  <c:v>18</c:v>
                </c:pt>
                <c:pt idx="2">
                  <c:v>1</c:v>
                </c:pt>
                <c:pt idx="3">
                  <c:v>0</c:v>
                </c:pt>
                <c:pt idx="4">
                  <c:v>0</c:v>
                </c:pt>
              </c:numCache>
            </c:numRef>
          </c:val>
          <c:extLst>
            <c:ext xmlns:c16="http://schemas.microsoft.com/office/drawing/2014/chart" uri="{C3380CC4-5D6E-409C-BE32-E72D297353CC}">
              <c16:uniqueId val="{00000000-CDC5-4D93-B53C-8B30CE227C16}"/>
            </c:ext>
          </c:extLst>
        </c:ser>
        <c:dLbls>
          <c:showLegendKey val="0"/>
          <c:showVal val="0"/>
          <c:showCatName val="0"/>
          <c:showSerName val="0"/>
          <c:showPercent val="0"/>
          <c:showBubbleSize val="0"/>
        </c:dLbls>
        <c:gapWidth val="219"/>
        <c:overlap val="-27"/>
        <c:axId val="2038007744"/>
        <c:axId val="2038008576"/>
      </c:barChart>
      <c:catAx>
        <c:axId val="2038007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38008576"/>
        <c:crosses val="autoZero"/>
        <c:auto val="1"/>
        <c:lblAlgn val="ctr"/>
        <c:lblOffset val="100"/>
        <c:noMultiLvlLbl val="0"/>
      </c:catAx>
      <c:valAx>
        <c:axId val="2038008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380077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Diagramme représentant le délais (en mois) entre la publication du PDN et la dernière date pour commander (VISHAY Multilayer SMD) - Etude sur 6 PCN</a:t>
            </a:r>
            <a:endParaRPr lang="fr-FR" sz="11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cat>
            <c:strRef>
              <c:f>'Multilayer smd'!$R$3:$R$7</c:f>
              <c:strCache>
                <c:ptCount val="5"/>
                <c:pt idx="0">
                  <c:v>1 à 3</c:v>
                </c:pt>
                <c:pt idx="1">
                  <c:v>4 à 6</c:v>
                </c:pt>
                <c:pt idx="2">
                  <c:v>7 à  9</c:v>
                </c:pt>
                <c:pt idx="3">
                  <c:v>10 à 12</c:v>
                </c:pt>
                <c:pt idx="4">
                  <c:v>12 ou +</c:v>
                </c:pt>
              </c:strCache>
            </c:strRef>
          </c:cat>
          <c:val>
            <c:numRef>
              <c:f>'Multilayer smd'!$T$3:$T$7</c:f>
              <c:numCache>
                <c:formatCode>General</c:formatCode>
                <c:ptCount val="5"/>
                <c:pt idx="0">
                  <c:v>0</c:v>
                </c:pt>
                <c:pt idx="1">
                  <c:v>5</c:v>
                </c:pt>
                <c:pt idx="2">
                  <c:v>1</c:v>
                </c:pt>
                <c:pt idx="3">
                  <c:v>0</c:v>
                </c:pt>
                <c:pt idx="4">
                  <c:v>0</c:v>
                </c:pt>
              </c:numCache>
            </c:numRef>
          </c:val>
          <c:extLst>
            <c:ext xmlns:c16="http://schemas.microsoft.com/office/drawing/2014/chart" uri="{C3380CC4-5D6E-409C-BE32-E72D297353CC}">
              <c16:uniqueId val="{00000000-1A1E-42C7-8506-3515E00E5E23}"/>
            </c:ext>
          </c:extLst>
        </c:ser>
        <c:dLbls>
          <c:showLegendKey val="0"/>
          <c:showVal val="0"/>
          <c:showCatName val="0"/>
          <c:showSerName val="0"/>
          <c:showPercent val="0"/>
          <c:showBubbleSize val="0"/>
        </c:dLbls>
        <c:gapWidth val="219"/>
        <c:overlap val="-27"/>
        <c:axId val="2038007744"/>
        <c:axId val="2038008576"/>
      </c:barChart>
      <c:catAx>
        <c:axId val="2038007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38008576"/>
        <c:crosses val="autoZero"/>
        <c:auto val="1"/>
        <c:lblAlgn val="ctr"/>
        <c:lblOffset val="100"/>
        <c:noMultiLvlLbl val="0"/>
      </c:catAx>
      <c:valAx>
        <c:axId val="2038008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380077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 délais (en mois) entre la publication du PDN et la dernière date pour commander (VISHAY OPTOELECTRONICS) - Etude sur 50 PCN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cat>
            <c:strRef>
              <c:f>Optoelectronics!$R$3:$R$7</c:f>
              <c:strCache>
                <c:ptCount val="5"/>
                <c:pt idx="0">
                  <c:v>1 à 3</c:v>
                </c:pt>
                <c:pt idx="1">
                  <c:v>4 à 6</c:v>
                </c:pt>
                <c:pt idx="2">
                  <c:v>7 à  9</c:v>
                </c:pt>
                <c:pt idx="3">
                  <c:v>10 à 12</c:v>
                </c:pt>
                <c:pt idx="4">
                  <c:v>12 ou +</c:v>
                </c:pt>
              </c:strCache>
            </c:strRef>
          </c:cat>
          <c:val>
            <c:numRef>
              <c:f>Optoelectronics!$T$3:$T$7</c:f>
              <c:numCache>
                <c:formatCode>General</c:formatCode>
                <c:ptCount val="5"/>
                <c:pt idx="0">
                  <c:v>21</c:v>
                </c:pt>
                <c:pt idx="1">
                  <c:v>26</c:v>
                </c:pt>
                <c:pt idx="2">
                  <c:v>2</c:v>
                </c:pt>
                <c:pt idx="3">
                  <c:v>1</c:v>
                </c:pt>
                <c:pt idx="4">
                  <c:v>0</c:v>
                </c:pt>
              </c:numCache>
            </c:numRef>
          </c:val>
          <c:extLst>
            <c:ext xmlns:c16="http://schemas.microsoft.com/office/drawing/2014/chart" uri="{C3380CC4-5D6E-409C-BE32-E72D297353CC}">
              <c16:uniqueId val="{00000000-E511-4D7B-A605-19FDA052779F}"/>
            </c:ext>
          </c:extLst>
        </c:ser>
        <c:dLbls>
          <c:showLegendKey val="0"/>
          <c:showVal val="0"/>
          <c:showCatName val="0"/>
          <c:showSerName val="0"/>
          <c:showPercent val="0"/>
          <c:showBubbleSize val="0"/>
        </c:dLbls>
        <c:gapWidth val="219"/>
        <c:overlap val="-27"/>
        <c:axId val="1891187384"/>
        <c:axId val="1893839384"/>
      </c:barChart>
      <c:catAx>
        <c:axId val="1891187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93839384"/>
        <c:crosses val="autoZero"/>
        <c:auto val="1"/>
        <c:lblAlgn val="ctr"/>
        <c:lblOffset val="100"/>
        <c:noMultiLvlLbl val="0"/>
      </c:catAx>
      <c:valAx>
        <c:axId val="1893839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91187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 délais (en mois) entre la publication du PDN et la dernière date pour commander (VISHAY RESISTANCE) - Etude sur 75 PCN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v>VISHAY Résistance</c:v>
          </c:tx>
          <c:spPr>
            <a:solidFill>
              <a:schemeClr val="accent1"/>
            </a:solidFill>
            <a:ln>
              <a:noFill/>
            </a:ln>
            <a:effectLst/>
          </c:spPr>
          <c:invertIfNegative val="0"/>
          <c:cat>
            <c:strRef>
              <c:f>Résistance!$X$7:$X$11</c:f>
              <c:strCache>
                <c:ptCount val="5"/>
                <c:pt idx="0">
                  <c:v>1 à 3</c:v>
                </c:pt>
                <c:pt idx="1">
                  <c:v>4 à 6</c:v>
                </c:pt>
                <c:pt idx="2">
                  <c:v>7 à  9</c:v>
                </c:pt>
                <c:pt idx="3">
                  <c:v>10 à 12</c:v>
                </c:pt>
                <c:pt idx="4">
                  <c:v>12 ou +</c:v>
                </c:pt>
              </c:strCache>
            </c:strRef>
          </c:cat>
          <c:val>
            <c:numRef>
              <c:f>Résistance!$Z$7:$Z$11</c:f>
              <c:numCache>
                <c:formatCode>General</c:formatCode>
                <c:ptCount val="5"/>
                <c:pt idx="0">
                  <c:v>18</c:v>
                </c:pt>
                <c:pt idx="1">
                  <c:v>48</c:v>
                </c:pt>
                <c:pt idx="2">
                  <c:v>6</c:v>
                </c:pt>
                <c:pt idx="3">
                  <c:v>1</c:v>
                </c:pt>
                <c:pt idx="4">
                  <c:v>2</c:v>
                </c:pt>
              </c:numCache>
            </c:numRef>
          </c:val>
          <c:extLst>
            <c:ext xmlns:c16="http://schemas.microsoft.com/office/drawing/2014/chart" uri="{C3380CC4-5D6E-409C-BE32-E72D297353CC}">
              <c16:uniqueId val="{00000000-A74E-4A96-84DA-74BB6D78CB22}"/>
            </c:ext>
          </c:extLst>
        </c:ser>
        <c:dLbls>
          <c:showLegendKey val="0"/>
          <c:showVal val="0"/>
          <c:showCatName val="0"/>
          <c:showSerName val="0"/>
          <c:showPercent val="0"/>
          <c:showBubbleSize val="0"/>
        </c:dLbls>
        <c:gapWidth val="219"/>
        <c:overlap val="-27"/>
        <c:axId val="1558988743"/>
        <c:axId val="117420344"/>
      </c:barChart>
      <c:catAx>
        <c:axId val="15589887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17420344"/>
        <c:crosses val="autoZero"/>
        <c:auto val="1"/>
        <c:lblAlgn val="ctr"/>
        <c:lblOffset val="100"/>
        <c:noMultiLvlLbl val="0"/>
      </c:catAx>
      <c:valAx>
        <c:axId val="1174203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5898874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 délais (en mois) entre la publication du PDN et la dernière date pour commander (VISHAY TRANSISTOR) - Etude sur 59 PCN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v>VISHAY Transistor</c:v>
          </c:tx>
          <c:spPr>
            <a:solidFill>
              <a:schemeClr val="accent1"/>
            </a:solidFill>
            <a:ln>
              <a:noFill/>
            </a:ln>
            <a:effectLst/>
          </c:spPr>
          <c:invertIfNegative val="0"/>
          <c:cat>
            <c:strRef>
              <c:f>Transistor!$Y$8:$Y$12</c:f>
              <c:strCache>
                <c:ptCount val="5"/>
                <c:pt idx="0">
                  <c:v>1 à 3</c:v>
                </c:pt>
                <c:pt idx="1">
                  <c:v>4 à 6</c:v>
                </c:pt>
                <c:pt idx="2">
                  <c:v>7 à  9</c:v>
                </c:pt>
                <c:pt idx="3">
                  <c:v>10 à 12</c:v>
                </c:pt>
                <c:pt idx="4">
                  <c:v>12 ou +</c:v>
                </c:pt>
              </c:strCache>
            </c:strRef>
          </c:cat>
          <c:val>
            <c:numRef>
              <c:f>Transistor!$AA$8:$AA$12</c:f>
              <c:numCache>
                <c:formatCode>General</c:formatCode>
                <c:ptCount val="5"/>
                <c:pt idx="0">
                  <c:v>5</c:v>
                </c:pt>
                <c:pt idx="1">
                  <c:v>37</c:v>
                </c:pt>
                <c:pt idx="2">
                  <c:v>12</c:v>
                </c:pt>
                <c:pt idx="3">
                  <c:v>4</c:v>
                </c:pt>
                <c:pt idx="4">
                  <c:v>1</c:v>
                </c:pt>
              </c:numCache>
            </c:numRef>
          </c:val>
          <c:extLst>
            <c:ext xmlns:c16="http://schemas.microsoft.com/office/drawing/2014/chart" uri="{C3380CC4-5D6E-409C-BE32-E72D297353CC}">
              <c16:uniqueId val="{00000000-9110-4ED8-A76A-D879380EF5C3}"/>
            </c:ext>
          </c:extLst>
        </c:ser>
        <c:dLbls>
          <c:showLegendKey val="0"/>
          <c:showVal val="0"/>
          <c:showCatName val="0"/>
          <c:showSerName val="0"/>
          <c:showPercent val="0"/>
          <c:showBubbleSize val="0"/>
        </c:dLbls>
        <c:gapWidth val="219"/>
        <c:overlap val="-27"/>
        <c:axId val="292198119"/>
        <c:axId val="971259895"/>
      </c:barChart>
      <c:catAx>
        <c:axId val="292198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71259895"/>
        <c:crosses val="autoZero"/>
        <c:auto val="1"/>
        <c:lblAlgn val="ctr"/>
        <c:lblOffset val="100"/>
        <c:noMultiLvlLbl val="0"/>
      </c:catAx>
      <c:valAx>
        <c:axId val="9712598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219811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l'estimation de la durée de vie (en années) entre la date de dernière commande et la date de la fiche technique (VISHAY TRANSISTOR) - Etude sur 34 PCN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v>VISHAY Transistor</c:v>
          </c:tx>
          <c:spPr>
            <a:solidFill>
              <a:schemeClr val="accent1"/>
            </a:solidFill>
            <a:ln>
              <a:noFill/>
            </a:ln>
            <a:effectLst/>
          </c:spPr>
          <c:invertIfNegative val="0"/>
          <c:cat>
            <c:strRef>
              <c:f>Transistor!$AF$19:$AF$24</c:f>
              <c:strCache>
                <c:ptCount val="6"/>
                <c:pt idx="0">
                  <c:v>0 à 2</c:v>
                </c:pt>
                <c:pt idx="1">
                  <c:v>2 à 4</c:v>
                </c:pt>
                <c:pt idx="2">
                  <c:v>4 à 6</c:v>
                </c:pt>
                <c:pt idx="3">
                  <c:v>6 à 8</c:v>
                </c:pt>
                <c:pt idx="4">
                  <c:v>8 à 10 </c:v>
                </c:pt>
                <c:pt idx="5">
                  <c:v>10 et + (max 11)</c:v>
                </c:pt>
              </c:strCache>
            </c:strRef>
          </c:cat>
          <c:val>
            <c:numRef>
              <c:f>Transistor!$AH$19:$AH$24</c:f>
              <c:numCache>
                <c:formatCode>General</c:formatCode>
                <c:ptCount val="6"/>
                <c:pt idx="0">
                  <c:v>5</c:v>
                </c:pt>
                <c:pt idx="1">
                  <c:v>15</c:v>
                </c:pt>
                <c:pt idx="2">
                  <c:v>0</c:v>
                </c:pt>
                <c:pt idx="3">
                  <c:v>8</c:v>
                </c:pt>
                <c:pt idx="4">
                  <c:v>3</c:v>
                </c:pt>
                <c:pt idx="5">
                  <c:v>3</c:v>
                </c:pt>
              </c:numCache>
            </c:numRef>
          </c:val>
          <c:extLst>
            <c:ext xmlns:c16="http://schemas.microsoft.com/office/drawing/2014/chart" uri="{C3380CC4-5D6E-409C-BE32-E72D297353CC}">
              <c16:uniqueId val="{00000000-2E38-4900-8FF2-09B5F7E21233}"/>
            </c:ext>
          </c:extLst>
        </c:ser>
        <c:dLbls>
          <c:showLegendKey val="0"/>
          <c:showVal val="0"/>
          <c:showCatName val="0"/>
          <c:showSerName val="0"/>
          <c:showPercent val="0"/>
          <c:showBubbleSize val="0"/>
        </c:dLbls>
        <c:gapWidth val="219"/>
        <c:overlap val="-27"/>
        <c:axId val="292180647"/>
        <c:axId val="971368759"/>
      </c:barChart>
      <c:catAx>
        <c:axId val="292180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71368759"/>
        <c:crosses val="autoZero"/>
        <c:auto val="1"/>
        <c:lblAlgn val="ctr"/>
        <c:lblOffset val="100"/>
        <c:noMultiLvlLbl val="0"/>
      </c:catAx>
      <c:valAx>
        <c:axId val="9713687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218064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latin typeface="+mn-lt"/>
                <a:ea typeface="+mn-ea"/>
                <a:cs typeface="+mn-cs"/>
              </a:rPr>
              <a:t>Diagramme représentant le délais (en mois) entre la publication du PDN et la dernière date pour commander (VISHAY CONNECTORS) - Etude sur 5 PCN</a:t>
            </a:r>
          </a:p>
        </c:rich>
      </c:tx>
      <c:overlay val="0"/>
      <c:spPr>
        <a:noFill/>
        <a:ln>
          <a:noFill/>
        </a:ln>
        <a:effectLst/>
      </c:spPr>
      <c:txPr>
        <a:bodyPr rot="0" spcFirstLastPara="1" vertOverflow="ellipsis" vert="horz" wrap="square" anchor="ctr" anchorCtr="1"/>
        <a:lstStyle/>
        <a:p>
          <a:pPr algn="ctr" rtl="0">
            <a:defRPr lang="en-US" sz="1400" b="0" i="0" u="none" strike="noStrike" kern="1200" spc="0" baseline="0">
              <a:solidFill>
                <a:sysClr val="windowText" lastClr="000000">
                  <a:lumMod val="65000"/>
                  <a:lumOff val="35000"/>
                </a:sysClr>
              </a:solidFill>
              <a:latin typeface="+mn-lt"/>
              <a:ea typeface="+mn-ea"/>
              <a:cs typeface="+mn-cs"/>
            </a:defRPr>
          </a:pPr>
          <a:endParaRPr lang="fr-FR"/>
        </a:p>
      </c:txPr>
    </c:title>
    <c:autoTitleDeleted val="0"/>
    <c:plotArea>
      <c:layout/>
      <c:barChart>
        <c:barDir val="col"/>
        <c:grouping val="clustered"/>
        <c:varyColors val="0"/>
        <c:ser>
          <c:idx val="0"/>
          <c:order val="0"/>
          <c:tx>
            <c:v>Connectors</c:v>
          </c:tx>
          <c:spPr>
            <a:solidFill>
              <a:schemeClr val="accent1"/>
            </a:solidFill>
            <a:ln>
              <a:noFill/>
            </a:ln>
            <a:effectLst/>
          </c:spPr>
          <c:invertIfNegative val="0"/>
          <c:cat>
            <c:strRef>
              <c:f>Connectors!$U$3:$U$7</c:f>
              <c:strCache>
                <c:ptCount val="5"/>
                <c:pt idx="0">
                  <c:v>1 à 3</c:v>
                </c:pt>
                <c:pt idx="1">
                  <c:v>4 à 6</c:v>
                </c:pt>
                <c:pt idx="2">
                  <c:v>7 à  9</c:v>
                </c:pt>
                <c:pt idx="3">
                  <c:v>10 à 12</c:v>
                </c:pt>
                <c:pt idx="4">
                  <c:v>12 ou +</c:v>
                </c:pt>
              </c:strCache>
            </c:strRef>
          </c:cat>
          <c:val>
            <c:numRef>
              <c:f>Connectors!$W$3:$W$7</c:f>
              <c:numCache>
                <c:formatCode>General</c:formatCode>
                <c:ptCount val="5"/>
                <c:pt idx="0">
                  <c:v>3</c:v>
                </c:pt>
                <c:pt idx="1">
                  <c:v>2</c:v>
                </c:pt>
                <c:pt idx="2">
                  <c:v>0</c:v>
                </c:pt>
                <c:pt idx="3">
                  <c:v>0</c:v>
                </c:pt>
                <c:pt idx="4">
                  <c:v>0</c:v>
                </c:pt>
              </c:numCache>
            </c:numRef>
          </c:val>
          <c:extLst>
            <c:ext xmlns:c16="http://schemas.microsoft.com/office/drawing/2014/chart" uri="{C3380CC4-5D6E-409C-BE32-E72D297353CC}">
              <c16:uniqueId val="{00000000-7EE3-4A82-8624-90DD38A584BB}"/>
            </c:ext>
          </c:extLst>
        </c:ser>
        <c:dLbls>
          <c:showLegendKey val="0"/>
          <c:showVal val="0"/>
          <c:showCatName val="0"/>
          <c:showSerName val="0"/>
          <c:showPercent val="0"/>
          <c:showBubbleSize val="0"/>
        </c:dLbls>
        <c:gapWidth val="219"/>
        <c:overlap val="-27"/>
        <c:axId val="205088376"/>
        <c:axId val="330826007"/>
      </c:barChart>
      <c:catAx>
        <c:axId val="205088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0826007"/>
        <c:crosses val="autoZero"/>
        <c:auto val="1"/>
        <c:lblAlgn val="ctr"/>
        <c:lblOffset val="100"/>
        <c:noMultiLvlLbl val="0"/>
      </c:catAx>
      <c:valAx>
        <c:axId val="3308260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5088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raisons de l'obsolescence d'un composant VISHAY - étude sur 584 PCN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DEF-4E34-8E4A-7C7BEDB255E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DEF-4E34-8E4A-7C7BEDB255E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DEF-4E34-8E4A-7C7BEDB255E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DEF-4E34-8E4A-7C7BEDB255E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DEF-4E34-8E4A-7C7BEDB255E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DEF-4E34-8E4A-7C7BEDB255E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1-14FA-40AD-9059-03BD1C20FA7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DEF-4E34-8E4A-7C7BEDB255E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'VISHAY Composant'!$O$3:$O$10</c:f>
              <c:strCache>
                <c:ptCount val="8"/>
                <c:pt idx="0">
                  <c:v>Indisponibilité/Obsolescence des matières premières</c:v>
                </c:pt>
                <c:pt idx="1">
                  <c:v>Nouvelle technologie</c:v>
                </c:pt>
                <c:pt idx="2">
                  <c:v>Fermeture d'un site de production</c:v>
                </c:pt>
                <c:pt idx="3">
                  <c:v>Arrêt de production</c:v>
                </c:pt>
                <c:pt idx="4">
                  <c:v>Obsolescence d'une technologie</c:v>
                </c:pt>
                <c:pt idx="5">
                  <c:v>Standardisation</c:v>
                </c:pt>
                <c:pt idx="6">
                  <c:v>Faible demande</c:v>
                </c:pt>
                <c:pt idx="7">
                  <c:v>Qualité</c:v>
                </c:pt>
              </c:strCache>
            </c:strRef>
          </c:cat>
          <c:val>
            <c:numRef>
              <c:f>'VISHAY Composant'!$P$3:$P$10</c:f>
              <c:numCache>
                <c:formatCode>General</c:formatCode>
                <c:ptCount val="8"/>
                <c:pt idx="0">
                  <c:v>70</c:v>
                </c:pt>
                <c:pt idx="1">
                  <c:v>18</c:v>
                </c:pt>
                <c:pt idx="2">
                  <c:v>46</c:v>
                </c:pt>
                <c:pt idx="3">
                  <c:v>79</c:v>
                </c:pt>
                <c:pt idx="4">
                  <c:v>29</c:v>
                </c:pt>
                <c:pt idx="5">
                  <c:v>119</c:v>
                </c:pt>
                <c:pt idx="6">
                  <c:v>218</c:v>
                </c:pt>
                <c:pt idx="7">
                  <c:v>5</c:v>
                </c:pt>
              </c:numCache>
            </c:numRef>
          </c:val>
          <c:extLst>
            <c:ext xmlns:c16="http://schemas.microsoft.com/office/drawing/2014/chart" uri="{C3380CC4-5D6E-409C-BE32-E72D297353CC}">
              <c16:uniqueId val="{00000001-1BE2-4A69-8BD9-878B6C99CFC5}"/>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responsables de l'obsolescence d'un composant VISHAY - étude sur 584 PCN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7C2-466F-AB5F-A6F7D8B9BAE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7C2-466F-AB5F-A6F7D8B9BAE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7C2-466F-AB5F-A6F7D8B9BAE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7C2-466F-AB5F-A6F7D8B9BAE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'VISHAY Composant'!$O$14:$O$17</c:f>
              <c:strCache>
                <c:ptCount val="4"/>
                <c:pt idx="0">
                  <c:v>Entreprise</c:v>
                </c:pt>
                <c:pt idx="1">
                  <c:v>Client</c:v>
                </c:pt>
                <c:pt idx="2">
                  <c:v>Technologie</c:v>
                </c:pt>
                <c:pt idx="3">
                  <c:v>Fournisseur</c:v>
                </c:pt>
              </c:strCache>
            </c:strRef>
          </c:cat>
          <c:val>
            <c:numRef>
              <c:f>'VISHAY Composant'!$P$14:$P$17</c:f>
              <c:numCache>
                <c:formatCode>General</c:formatCode>
                <c:ptCount val="4"/>
                <c:pt idx="0">
                  <c:v>257</c:v>
                </c:pt>
                <c:pt idx="1">
                  <c:v>217</c:v>
                </c:pt>
                <c:pt idx="2">
                  <c:v>40</c:v>
                </c:pt>
                <c:pt idx="3">
                  <c:v>70</c:v>
                </c:pt>
              </c:numCache>
            </c:numRef>
          </c:val>
          <c:extLst>
            <c:ext xmlns:c16="http://schemas.microsoft.com/office/drawing/2014/chart" uri="{C3380CC4-5D6E-409C-BE32-E72D297353CC}">
              <c16:uniqueId val="{00000001-E49D-4953-87E5-6AB4B5C758F5}"/>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raisons de l'obsolescence d'un composant (VISHAY CAPACITORS) - étude sur 126 PCN</a:t>
            </a:r>
            <a:endParaRPr lang="fr-FR"/>
          </a:p>
        </c:rich>
      </c:tx>
      <c:layout>
        <c:manualLayout>
          <c:xMode val="edge"/>
          <c:yMode val="edge"/>
          <c:x val="0.1145479641551761"/>
          <c:y val="1.094843613298337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4C5-4C03-B892-FF27284C038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4C5-4C03-B892-FF27284C038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4C5-4C03-B892-FF27284C038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4C5-4C03-B892-FF27284C038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4C5-4C03-B892-FF27284C038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4C5-4C03-B892-FF27284C038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4C5-4C03-B892-FF27284C038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4C5-4C03-B892-FF27284C038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Capacitors!$O$3:$O$10</c:f>
              <c:strCache>
                <c:ptCount val="8"/>
                <c:pt idx="0">
                  <c:v>Indisponibilité/Obsolescence des matières premières</c:v>
                </c:pt>
                <c:pt idx="1">
                  <c:v>Nouvelle technologie</c:v>
                </c:pt>
                <c:pt idx="2">
                  <c:v>Fermeture d'un site de production</c:v>
                </c:pt>
                <c:pt idx="3">
                  <c:v>Arrêt de production</c:v>
                </c:pt>
                <c:pt idx="4">
                  <c:v>Obsolescence d'une technologie</c:v>
                </c:pt>
                <c:pt idx="5">
                  <c:v>Standardisation</c:v>
                </c:pt>
                <c:pt idx="6">
                  <c:v>Faible demande</c:v>
                </c:pt>
                <c:pt idx="7">
                  <c:v>Qualité</c:v>
                </c:pt>
              </c:strCache>
            </c:strRef>
          </c:cat>
          <c:val>
            <c:numRef>
              <c:f>Capacitors!$P$3:$P$10</c:f>
              <c:numCache>
                <c:formatCode>General</c:formatCode>
                <c:ptCount val="8"/>
                <c:pt idx="0">
                  <c:v>13</c:v>
                </c:pt>
                <c:pt idx="1">
                  <c:v>0</c:v>
                </c:pt>
                <c:pt idx="2">
                  <c:v>0</c:v>
                </c:pt>
                <c:pt idx="3">
                  <c:v>25</c:v>
                </c:pt>
                <c:pt idx="4">
                  <c:v>2</c:v>
                </c:pt>
                <c:pt idx="5">
                  <c:v>40</c:v>
                </c:pt>
                <c:pt idx="6">
                  <c:v>44</c:v>
                </c:pt>
                <c:pt idx="7">
                  <c:v>2</c:v>
                </c:pt>
              </c:numCache>
            </c:numRef>
          </c:val>
          <c:extLst>
            <c:ext xmlns:c16="http://schemas.microsoft.com/office/drawing/2014/chart" uri="{C3380CC4-5D6E-409C-BE32-E72D297353CC}">
              <c16:uniqueId val="{00000000-A1E5-449B-8C1B-BF38CD4B35C4}"/>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responsables de l'obsolescence d'un composant (VISHAY Capacitors) - étude sur 126 PCN</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16D-4AF5-910D-717F4AC99E5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16D-4AF5-910D-717F4AC99E5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16D-4AF5-910D-717F4AC99E5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16D-4AF5-910D-717F4AC99E5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Capacitors!$O$14:$O$17</c:f>
              <c:strCache>
                <c:ptCount val="4"/>
                <c:pt idx="0">
                  <c:v>Entreprise</c:v>
                </c:pt>
                <c:pt idx="1">
                  <c:v>Client</c:v>
                </c:pt>
                <c:pt idx="2">
                  <c:v>Technologie</c:v>
                </c:pt>
                <c:pt idx="3">
                  <c:v>Fournisseur</c:v>
                </c:pt>
              </c:strCache>
            </c:strRef>
          </c:cat>
          <c:val>
            <c:numRef>
              <c:f>Capacitors!$P$14:$P$17</c:f>
              <c:numCache>
                <c:formatCode>General</c:formatCode>
                <c:ptCount val="4"/>
                <c:pt idx="0">
                  <c:v>68</c:v>
                </c:pt>
                <c:pt idx="1">
                  <c:v>43</c:v>
                </c:pt>
                <c:pt idx="2">
                  <c:v>2</c:v>
                </c:pt>
                <c:pt idx="3">
                  <c:v>13</c:v>
                </c:pt>
              </c:numCache>
            </c:numRef>
          </c:val>
          <c:extLst>
            <c:ext xmlns:c16="http://schemas.microsoft.com/office/drawing/2014/chart" uri="{C3380CC4-5D6E-409C-BE32-E72D297353CC}">
              <c16:uniqueId val="{00000000-9F03-4E9A-A1B8-14C24471E3B0}"/>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latin typeface="+mn-lt"/>
                <a:ea typeface="+mn-ea"/>
                <a:cs typeface="+mn-cs"/>
              </a:rPr>
              <a:t>Diagramme représentant le délais (en mois) entre la publication du PDN et la dernière date pour commander (VISHAY CAPACITORS) - Etude sur 109 PCN</a:t>
            </a:r>
          </a:p>
        </c:rich>
      </c:tx>
      <c:overlay val="0"/>
      <c:spPr>
        <a:noFill/>
        <a:ln>
          <a:noFill/>
        </a:ln>
        <a:effectLst/>
      </c:spPr>
      <c:txPr>
        <a:bodyPr rot="0" spcFirstLastPara="1" vertOverflow="ellipsis" vert="horz" wrap="square" anchor="ctr" anchorCtr="1"/>
        <a:lstStyle/>
        <a:p>
          <a:pPr algn="ctr" rtl="0">
            <a:defRPr lang="en-US" sz="1400" b="0" i="0" u="none" strike="noStrike" kern="1200" spc="0" baseline="0">
              <a:solidFill>
                <a:sysClr val="windowText" lastClr="000000">
                  <a:lumMod val="65000"/>
                  <a:lumOff val="35000"/>
                </a:sysClr>
              </a:solidFill>
              <a:latin typeface="+mn-lt"/>
              <a:ea typeface="+mn-ea"/>
              <a:cs typeface="+mn-cs"/>
            </a:defRPr>
          </a:pPr>
          <a:endParaRPr lang="fr-FR"/>
        </a:p>
      </c:txPr>
    </c:title>
    <c:autoTitleDeleted val="0"/>
    <c:plotArea>
      <c:layout/>
      <c:barChart>
        <c:barDir val="col"/>
        <c:grouping val="clustered"/>
        <c:varyColors val="0"/>
        <c:ser>
          <c:idx val="0"/>
          <c:order val="0"/>
          <c:tx>
            <c:v>Capacitors</c:v>
          </c:tx>
          <c:spPr>
            <a:solidFill>
              <a:schemeClr val="accent1"/>
            </a:solidFill>
            <a:ln>
              <a:noFill/>
            </a:ln>
            <a:effectLst/>
          </c:spPr>
          <c:invertIfNegative val="0"/>
          <c:cat>
            <c:strRef>
              <c:f>Capacitors!$AI$3:$AI$7</c:f>
              <c:strCache>
                <c:ptCount val="5"/>
                <c:pt idx="0">
                  <c:v>1 à 3</c:v>
                </c:pt>
                <c:pt idx="1">
                  <c:v>4 à 6</c:v>
                </c:pt>
                <c:pt idx="2">
                  <c:v>7 à  9</c:v>
                </c:pt>
                <c:pt idx="3">
                  <c:v>10 à 12</c:v>
                </c:pt>
                <c:pt idx="4">
                  <c:v>12 ou +</c:v>
                </c:pt>
              </c:strCache>
            </c:strRef>
          </c:cat>
          <c:val>
            <c:numRef>
              <c:f>Capacitors!$AK$3:$AK$7</c:f>
              <c:numCache>
                <c:formatCode>General</c:formatCode>
                <c:ptCount val="5"/>
                <c:pt idx="0">
                  <c:v>31</c:v>
                </c:pt>
                <c:pt idx="1">
                  <c:v>75</c:v>
                </c:pt>
                <c:pt idx="2">
                  <c:v>1</c:v>
                </c:pt>
                <c:pt idx="3">
                  <c:v>1</c:v>
                </c:pt>
                <c:pt idx="4">
                  <c:v>1</c:v>
                </c:pt>
              </c:numCache>
            </c:numRef>
          </c:val>
          <c:extLst>
            <c:ext xmlns:c16="http://schemas.microsoft.com/office/drawing/2014/chart" uri="{C3380CC4-5D6E-409C-BE32-E72D297353CC}">
              <c16:uniqueId val="{00000000-EEB8-4777-9A34-388ED0B133ED}"/>
            </c:ext>
          </c:extLst>
        </c:ser>
        <c:dLbls>
          <c:showLegendKey val="0"/>
          <c:showVal val="0"/>
          <c:showCatName val="0"/>
          <c:showSerName val="0"/>
          <c:showPercent val="0"/>
          <c:showBubbleSize val="0"/>
        </c:dLbls>
        <c:gapWidth val="219"/>
        <c:overlap val="-27"/>
        <c:axId val="205088376"/>
        <c:axId val="330826007"/>
      </c:barChart>
      <c:catAx>
        <c:axId val="205088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0826007"/>
        <c:crosses val="autoZero"/>
        <c:auto val="1"/>
        <c:lblAlgn val="ctr"/>
        <c:lblOffset val="100"/>
        <c:noMultiLvlLbl val="0"/>
      </c:catAx>
      <c:valAx>
        <c:axId val="3308260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5088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Diagramme représentant les raisons de l'obsolescence d'un composant (VISHAY Diode) - étude sur 43 PCN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3A3-41DC-9FE0-2A6FEBB399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3A3-41DC-9FE0-2A6FEBB399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3A3-41DC-9FE0-2A6FEBB399A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3A3-41DC-9FE0-2A6FEBB399A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3A3-41DC-9FE0-2A6FEBB399A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E3A3-41DC-9FE0-2A6FEBB399A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E3A3-41DC-9FE0-2A6FEBB399A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'Diode '!$V$7:$V$13</c:f>
              <c:strCache>
                <c:ptCount val="7"/>
                <c:pt idx="0">
                  <c:v>Indisponibilité/Obsolescence des matières premières</c:v>
                </c:pt>
                <c:pt idx="1">
                  <c:v>Nouvelle technologie</c:v>
                </c:pt>
                <c:pt idx="2">
                  <c:v>Fermeture d'un site de production</c:v>
                </c:pt>
                <c:pt idx="3">
                  <c:v>Arrêt de production</c:v>
                </c:pt>
                <c:pt idx="4">
                  <c:v>Obsolescence d'une technologie</c:v>
                </c:pt>
                <c:pt idx="5">
                  <c:v>Standardisation</c:v>
                </c:pt>
                <c:pt idx="6">
                  <c:v>Faible demande</c:v>
                </c:pt>
              </c:strCache>
            </c:strRef>
          </c:cat>
          <c:val>
            <c:numRef>
              <c:f>'Diode '!$W$7:$W$13</c:f>
              <c:numCache>
                <c:formatCode>General</c:formatCode>
                <c:ptCount val="7"/>
                <c:pt idx="0">
                  <c:v>0</c:v>
                </c:pt>
                <c:pt idx="1">
                  <c:v>1</c:v>
                </c:pt>
                <c:pt idx="2">
                  <c:v>0</c:v>
                </c:pt>
                <c:pt idx="3">
                  <c:v>3</c:v>
                </c:pt>
                <c:pt idx="4">
                  <c:v>4</c:v>
                </c:pt>
                <c:pt idx="5">
                  <c:v>20</c:v>
                </c:pt>
                <c:pt idx="6">
                  <c:v>15</c:v>
                </c:pt>
              </c:numCache>
            </c:numRef>
          </c:val>
          <c:extLst>
            <c:ext xmlns:c16="http://schemas.microsoft.com/office/drawing/2014/chart" uri="{C3380CC4-5D6E-409C-BE32-E72D297353CC}">
              <c16:uniqueId val="{00000000-E4E7-47EB-B3E1-B8B1BFF85A36}"/>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latin typeface="+mn-lt"/>
                <a:ea typeface="+mn-ea"/>
                <a:cs typeface="+mn-cs"/>
              </a:rPr>
              <a:t>Diagramme représentant le délais (en mois) entre la publication du PDN et la dernière date pour commander (VISHAY DIODE) - Etude sur 40 PCN</a:t>
            </a:r>
          </a:p>
        </c:rich>
      </c:tx>
      <c:layout/>
      <c:overlay val="0"/>
      <c:spPr>
        <a:noFill/>
        <a:ln>
          <a:noFill/>
        </a:ln>
        <a:effectLst/>
      </c:spPr>
      <c:txPr>
        <a:bodyPr rot="0" spcFirstLastPara="1" vertOverflow="ellipsis" vert="horz" wrap="square" anchor="ctr" anchorCtr="1"/>
        <a:lstStyle/>
        <a:p>
          <a:pPr algn="ctr" rtl="0">
            <a:defRPr lang="en-US" sz="1400" b="0" i="0" u="none" strike="noStrike" kern="1200" spc="0" baseline="0">
              <a:solidFill>
                <a:sysClr val="windowText" lastClr="000000">
                  <a:lumMod val="65000"/>
                  <a:lumOff val="35000"/>
                </a:sysClr>
              </a:solidFill>
              <a:latin typeface="+mn-lt"/>
              <a:ea typeface="+mn-ea"/>
              <a:cs typeface="+mn-cs"/>
            </a:defRPr>
          </a:pPr>
          <a:endParaRPr lang="fr-FR"/>
        </a:p>
      </c:txPr>
    </c:title>
    <c:autoTitleDeleted val="0"/>
    <c:plotArea>
      <c:layout/>
      <c:barChart>
        <c:barDir val="col"/>
        <c:grouping val="clustered"/>
        <c:varyColors val="0"/>
        <c:ser>
          <c:idx val="0"/>
          <c:order val="0"/>
          <c:tx>
            <c:v>VISHAY Diode</c:v>
          </c:tx>
          <c:spPr>
            <a:solidFill>
              <a:schemeClr val="accent1"/>
            </a:solidFill>
            <a:ln>
              <a:noFill/>
            </a:ln>
            <a:effectLst/>
          </c:spPr>
          <c:invertIfNegative val="0"/>
          <c:cat>
            <c:strRef>
              <c:f>'Diode '!$Y$7:$Y$11</c:f>
              <c:strCache>
                <c:ptCount val="5"/>
                <c:pt idx="0">
                  <c:v>1 à 3</c:v>
                </c:pt>
                <c:pt idx="1">
                  <c:v>4 à 6</c:v>
                </c:pt>
                <c:pt idx="2">
                  <c:v>7 à  9</c:v>
                </c:pt>
                <c:pt idx="3">
                  <c:v>10 à 12</c:v>
                </c:pt>
                <c:pt idx="4">
                  <c:v>12 ou +</c:v>
                </c:pt>
              </c:strCache>
            </c:strRef>
          </c:cat>
          <c:val>
            <c:numRef>
              <c:f>'Diode '!$AA$7:$AA$11</c:f>
              <c:numCache>
                <c:formatCode>General</c:formatCode>
                <c:ptCount val="5"/>
                <c:pt idx="0">
                  <c:v>2</c:v>
                </c:pt>
                <c:pt idx="1">
                  <c:v>30</c:v>
                </c:pt>
                <c:pt idx="2">
                  <c:v>4</c:v>
                </c:pt>
                <c:pt idx="3">
                  <c:v>4</c:v>
                </c:pt>
              </c:numCache>
            </c:numRef>
          </c:val>
          <c:extLst>
            <c:ext xmlns:c16="http://schemas.microsoft.com/office/drawing/2014/chart" uri="{C3380CC4-5D6E-409C-BE32-E72D297353CC}">
              <c16:uniqueId val="{00000001-51A0-414C-9D5C-A2F604483C28}"/>
            </c:ext>
          </c:extLst>
        </c:ser>
        <c:dLbls>
          <c:showLegendKey val="0"/>
          <c:showVal val="0"/>
          <c:showCatName val="0"/>
          <c:showSerName val="0"/>
          <c:showPercent val="0"/>
          <c:showBubbleSize val="0"/>
        </c:dLbls>
        <c:gapWidth val="219"/>
        <c:overlap val="-27"/>
        <c:axId val="205088376"/>
        <c:axId val="330826007"/>
      </c:barChart>
      <c:catAx>
        <c:axId val="205088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0826007"/>
        <c:crosses val="autoZero"/>
        <c:auto val="1"/>
        <c:lblAlgn val="ctr"/>
        <c:lblOffset val="100"/>
        <c:noMultiLvlLbl val="0"/>
      </c:catAx>
      <c:valAx>
        <c:axId val="3308260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50883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l'estimation de la durée de vie (en mois) entre la date de dernière commande et la date de la fiche technique (VISHAY DIODE) - Etude sur 14 PCN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v>VISHAY Diode</c:v>
          </c:tx>
          <c:spPr>
            <a:solidFill>
              <a:schemeClr val="accent1"/>
            </a:solidFill>
            <a:ln>
              <a:noFill/>
            </a:ln>
            <a:effectLst/>
          </c:spPr>
          <c:invertIfNegative val="0"/>
          <c:cat>
            <c:strRef>
              <c:f>'Diode '!$AE$7:$AE$13</c:f>
              <c:strCache>
                <c:ptCount val="7"/>
                <c:pt idx="0">
                  <c:v>1 à 20</c:v>
                </c:pt>
                <c:pt idx="1">
                  <c:v>20 à 40</c:v>
                </c:pt>
                <c:pt idx="2">
                  <c:v>40 à 60</c:v>
                </c:pt>
                <c:pt idx="3">
                  <c:v>60 à 80</c:v>
                </c:pt>
                <c:pt idx="4">
                  <c:v>80 à 100</c:v>
                </c:pt>
                <c:pt idx="5">
                  <c:v>100 à 120</c:v>
                </c:pt>
                <c:pt idx="6">
                  <c:v>120 ou +</c:v>
                </c:pt>
              </c:strCache>
            </c:strRef>
          </c:cat>
          <c:val>
            <c:numRef>
              <c:f>'Diode '!$AG$7:$AG$13</c:f>
              <c:numCache>
                <c:formatCode>General</c:formatCode>
                <c:ptCount val="7"/>
                <c:pt idx="0">
                  <c:v>4</c:v>
                </c:pt>
                <c:pt idx="1">
                  <c:v>3</c:v>
                </c:pt>
                <c:pt idx="2">
                  <c:v>4</c:v>
                </c:pt>
                <c:pt idx="3">
                  <c:v>1</c:v>
                </c:pt>
                <c:pt idx="4">
                  <c:v>1</c:v>
                </c:pt>
                <c:pt idx="5">
                  <c:v>1</c:v>
                </c:pt>
                <c:pt idx="6">
                  <c:v>0</c:v>
                </c:pt>
              </c:numCache>
            </c:numRef>
          </c:val>
          <c:extLst>
            <c:ext xmlns:c16="http://schemas.microsoft.com/office/drawing/2014/chart" uri="{C3380CC4-5D6E-409C-BE32-E72D297353CC}">
              <c16:uniqueId val="{00000001-2EED-4EC5-8865-5D9BA8F3CDEB}"/>
            </c:ext>
          </c:extLst>
        </c:ser>
        <c:dLbls>
          <c:showLegendKey val="0"/>
          <c:showVal val="0"/>
          <c:showCatName val="0"/>
          <c:showSerName val="0"/>
          <c:showPercent val="0"/>
          <c:showBubbleSize val="0"/>
        </c:dLbls>
        <c:gapWidth val="219"/>
        <c:overlap val="-27"/>
        <c:axId val="471001687"/>
        <c:axId val="1886216792"/>
      </c:barChart>
      <c:catAx>
        <c:axId val="471001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86216792"/>
        <c:crosses val="autoZero"/>
        <c:auto val="1"/>
        <c:lblAlgn val="ctr"/>
        <c:lblOffset val="100"/>
        <c:noMultiLvlLbl val="0"/>
      </c:catAx>
      <c:valAx>
        <c:axId val="18862167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71001687"/>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latin typeface="+mn-lt"/>
                <a:ea typeface="+mn-ea"/>
                <a:cs typeface="+mn-cs"/>
              </a:rPr>
              <a:t>Diagramme représentant le délais (en années) entre la publication du PDN et la dernière date pour commander (VISHAY DIODE) - Etude sur 40 PCN</a:t>
            </a:r>
          </a:p>
        </c:rich>
      </c:tx>
      <c:layout/>
      <c:overlay val="0"/>
      <c:spPr>
        <a:noFill/>
        <a:ln>
          <a:noFill/>
        </a:ln>
        <a:effectLst/>
      </c:spPr>
      <c:txPr>
        <a:bodyPr rot="0" spcFirstLastPara="1" vertOverflow="ellipsis" vert="horz" wrap="square" anchor="ctr" anchorCtr="1"/>
        <a:lstStyle/>
        <a:p>
          <a:pPr algn="ctr" rtl="0">
            <a:defRPr lang="en-US" sz="1400" b="0" i="0" u="none" strike="noStrike" kern="1200" spc="0" baseline="0">
              <a:solidFill>
                <a:sysClr val="windowText" lastClr="000000">
                  <a:lumMod val="65000"/>
                  <a:lumOff val="35000"/>
                </a:sysClr>
              </a:solidFill>
              <a:latin typeface="+mn-lt"/>
              <a:ea typeface="+mn-ea"/>
              <a:cs typeface="+mn-cs"/>
            </a:defRPr>
          </a:pPr>
          <a:endParaRPr lang="fr-FR"/>
        </a:p>
      </c:txPr>
    </c:title>
    <c:autoTitleDeleted val="0"/>
    <c:plotArea>
      <c:layout/>
      <c:barChart>
        <c:barDir val="col"/>
        <c:grouping val="clustered"/>
        <c:varyColors val="0"/>
        <c:ser>
          <c:idx val="0"/>
          <c:order val="0"/>
          <c:tx>
            <c:v>VISHAY Diode</c:v>
          </c:tx>
          <c:spPr>
            <a:solidFill>
              <a:schemeClr val="accent1"/>
            </a:solidFill>
            <a:ln>
              <a:noFill/>
            </a:ln>
            <a:effectLst/>
          </c:spPr>
          <c:invertIfNegative val="0"/>
          <c:cat>
            <c:strRef>
              <c:f>'Diode '!$Y$16:$Y$20</c:f>
              <c:strCache>
                <c:ptCount val="5"/>
                <c:pt idx="0">
                  <c:v>0 à 0,2</c:v>
                </c:pt>
                <c:pt idx="1">
                  <c:v>0,2 à 0,4</c:v>
                </c:pt>
                <c:pt idx="2">
                  <c:v>0,4 à 0,6</c:v>
                </c:pt>
                <c:pt idx="3">
                  <c:v>0,6 à 0,8</c:v>
                </c:pt>
                <c:pt idx="4">
                  <c:v>0,8 et + (max 1)</c:v>
                </c:pt>
              </c:strCache>
            </c:strRef>
          </c:cat>
          <c:val>
            <c:numRef>
              <c:f>'Diode '!$AA$16:$AA$20</c:f>
              <c:numCache>
                <c:formatCode>General</c:formatCode>
                <c:ptCount val="5"/>
                <c:pt idx="0">
                  <c:v>0</c:v>
                </c:pt>
                <c:pt idx="1">
                  <c:v>3</c:v>
                </c:pt>
                <c:pt idx="2">
                  <c:v>30</c:v>
                </c:pt>
                <c:pt idx="3">
                  <c:v>3</c:v>
                </c:pt>
                <c:pt idx="4">
                  <c:v>4</c:v>
                </c:pt>
              </c:numCache>
            </c:numRef>
          </c:val>
          <c:extLst>
            <c:ext xmlns:c16="http://schemas.microsoft.com/office/drawing/2014/chart" uri="{C3380CC4-5D6E-409C-BE32-E72D297353CC}">
              <c16:uniqueId val="{00000000-E6EF-4FED-8DBC-2944CC9AA9C9}"/>
            </c:ext>
          </c:extLst>
        </c:ser>
        <c:dLbls>
          <c:showLegendKey val="0"/>
          <c:showVal val="0"/>
          <c:showCatName val="0"/>
          <c:showSerName val="0"/>
          <c:showPercent val="0"/>
          <c:showBubbleSize val="0"/>
        </c:dLbls>
        <c:gapWidth val="219"/>
        <c:overlap val="-27"/>
        <c:axId val="205088376"/>
        <c:axId val="330826007"/>
      </c:barChart>
      <c:catAx>
        <c:axId val="205088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0826007"/>
        <c:crosses val="autoZero"/>
        <c:auto val="1"/>
        <c:lblAlgn val="ctr"/>
        <c:lblOffset val="100"/>
        <c:noMultiLvlLbl val="0"/>
      </c:catAx>
      <c:valAx>
        <c:axId val="3308260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50883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l'estimation de la durée de vie (en années) entre la date de dernière commande et la date de la fiche technique (VISHAY DIODE) - Etude sur 19 PCN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v>VISHAY Diode</c:v>
          </c:tx>
          <c:spPr>
            <a:solidFill>
              <a:schemeClr val="accent1"/>
            </a:solidFill>
            <a:ln>
              <a:noFill/>
            </a:ln>
            <a:effectLst/>
          </c:spPr>
          <c:invertIfNegative val="0"/>
          <c:cat>
            <c:strRef>
              <c:f>'Diode '!$AE$18:$AE$23</c:f>
              <c:strCache>
                <c:ptCount val="6"/>
                <c:pt idx="0">
                  <c:v>0 à 2</c:v>
                </c:pt>
                <c:pt idx="1">
                  <c:v>2 à 4</c:v>
                </c:pt>
                <c:pt idx="2">
                  <c:v>4 à 6</c:v>
                </c:pt>
                <c:pt idx="3">
                  <c:v>6 à 8</c:v>
                </c:pt>
                <c:pt idx="4">
                  <c:v>8 à 10 </c:v>
                </c:pt>
                <c:pt idx="5">
                  <c:v>10 et + (max 12)</c:v>
                </c:pt>
              </c:strCache>
            </c:strRef>
          </c:cat>
          <c:val>
            <c:numRef>
              <c:f>'Diode '!$AG$18:$AG$23</c:f>
              <c:numCache>
                <c:formatCode>General</c:formatCode>
                <c:ptCount val="6"/>
                <c:pt idx="0">
                  <c:v>4</c:v>
                </c:pt>
                <c:pt idx="1">
                  <c:v>4</c:v>
                </c:pt>
                <c:pt idx="2">
                  <c:v>3</c:v>
                </c:pt>
                <c:pt idx="3">
                  <c:v>2</c:v>
                </c:pt>
                <c:pt idx="4">
                  <c:v>0</c:v>
                </c:pt>
                <c:pt idx="5">
                  <c:v>6</c:v>
                </c:pt>
              </c:numCache>
            </c:numRef>
          </c:val>
          <c:extLst>
            <c:ext xmlns:c16="http://schemas.microsoft.com/office/drawing/2014/chart" uri="{C3380CC4-5D6E-409C-BE32-E72D297353CC}">
              <c16:uniqueId val="{00000000-7D1A-4145-A956-6B84853528FB}"/>
            </c:ext>
          </c:extLst>
        </c:ser>
        <c:dLbls>
          <c:showLegendKey val="0"/>
          <c:showVal val="0"/>
          <c:showCatName val="0"/>
          <c:showSerName val="0"/>
          <c:showPercent val="0"/>
          <c:showBubbleSize val="0"/>
        </c:dLbls>
        <c:gapWidth val="219"/>
        <c:overlap val="-27"/>
        <c:axId val="471001687"/>
        <c:axId val="1886216792"/>
      </c:barChart>
      <c:catAx>
        <c:axId val="471001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86216792"/>
        <c:crosses val="autoZero"/>
        <c:auto val="1"/>
        <c:lblAlgn val="ctr"/>
        <c:lblOffset val="100"/>
        <c:noMultiLvlLbl val="0"/>
      </c:catAx>
      <c:valAx>
        <c:axId val="18862167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71001687"/>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Diagramme représentant les RESPONSABLES de l'obsolescence d'un composant (VISHAY Diode) - étude sur 43 PCN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48B-4400-B92B-8D2A1776578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48B-4400-B92B-8D2A1776578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48B-4400-B92B-8D2A1776578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952-44C3-9F54-5D1F646D6C5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'Diode '!$V$17:$V$20</c:f>
              <c:strCache>
                <c:ptCount val="4"/>
                <c:pt idx="0">
                  <c:v>Entreprise</c:v>
                </c:pt>
                <c:pt idx="1">
                  <c:v>Client</c:v>
                </c:pt>
                <c:pt idx="2">
                  <c:v>Technologie</c:v>
                </c:pt>
                <c:pt idx="3">
                  <c:v>Fournisseur</c:v>
                </c:pt>
              </c:strCache>
            </c:strRef>
          </c:cat>
          <c:val>
            <c:numRef>
              <c:f>'Diode '!$W$17:$W$20</c:f>
              <c:numCache>
                <c:formatCode>General</c:formatCode>
                <c:ptCount val="4"/>
                <c:pt idx="0">
                  <c:v>23</c:v>
                </c:pt>
                <c:pt idx="1">
                  <c:v>16</c:v>
                </c:pt>
                <c:pt idx="2">
                  <c:v>4</c:v>
                </c:pt>
                <c:pt idx="3">
                  <c:v>0</c:v>
                </c:pt>
              </c:numCache>
            </c:numRef>
          </c:val>
          <c:extLst>
            <c:ext xmlns:c16="http://schemas.microsoft.com/office/drawing/2014/chart" uri="{C3380CC4-5D6E-409C-BE32-E72D297353CC}">
              <c16:uniqueId val="{00000000-E4E7-47EB-B3E1-B8B1BFF85A36}"/>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raisons de l'obsolescence d'un composant (VISHAY CONNECTORS) - étude sur 16 PCN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1A7-4FAE-9DAC-72A3F44F651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1A7-4FAE-9DAC-72A3F44F651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1A7-4FAE-9DAC-72A3F44F651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1A7-4FAE-9DAC-72A3F44F651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1A7-4FAE-9DAC-72A3F44F651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51A7-4FAE-9DAC-72A3F44F651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51A7-4FAE-9DAC-72A3F44F651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51A7-4FAE-9DAC-72A3F44F651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Connectors!$O$3:$O$10</c:f>
              <c:strCache>
                <c:ptCount val="8"/>
                <c:pt idx="0">
                  <c:v>Indisponibilité/Obsolescence des matières premières</c:v>
                </c:pt>
                <c:pt idx="1">
                  <c:v>Nouvelle technologie</c:v>
                </c:pt>
                <c:pt idx="2">
                  <c:v>Fermeture d'un site de production</c:v>
                </c:pt>
                <c:pt idx="3">
                  <c:v>Arrêt de production</c:v>
                </c:pt>
                <c:pt idx="4">
                  <c:v>Obsolescence d'une technologie</c:v>
                </c:pt>
                <c:pt idx="5">
                  <c:v>Standardisation</c:v>
                </c:pt>
                <c:pt idx="6">
                  <c:v>Faible demande</c:v>
                </c:pt>
                <c:pt idx="7">
                  <c:v>Qualité</c:v>
                </c:pt>
              </c:strCache>
            </c:strRef>
          </c:cat>
          <c:val>
            <c:numRef>
              <c:f>Connectors!$P$3:$P$10</c:f>
              <c:numCache>
                <c:formatCode>General</c:formatCode>
                <c:ptCount val="8"/>
                <c:pt idx="0">
                  <c:v>4</c:v>
                </c:pt>
                <c:pt idx="1">
                  <c:v>0</c:v>
                </c:pt>
                <c:pt idx="2">
                  <c:v>0</c:v>
                </c:pt>
                <c:pt idx="3">
                  <c:v>5</c:v>
                </c:pt>
                <c:pt idx="4">
                  <c:v>0</c:v>
                </c:pt>
                <c:pt idx="5">
                  <c:v>1</c:v>
                </c:pt>
                <c:pt idx="6">
                  <c:v>6</c:v>
                </c:pt>
                <c:pt idx="7">
                  <c:v>0</c:v>
                </c:pt>
              </c:numCache>
            </c:numRef>
          </c:val>
          <c:extLst>
            <c:ext xmlns:c16="http://schemas.microsoft.com/office/drawing/2014/chart" uri="{C3380CC4-5D6E-409C-BE32-E72D297353CC}">
              <c16:uniqueId val="{00000001-0829-4393-ABCF-DBE0B749487C}"/>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RESPONSABLES de l'obsolescence d'un composant (VISHAY CONNECTORS) - étude sur 16 PCN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ED1-47EC-9AB5-98B3FE470BC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ED1-47EC-9AB5-98B3FE470BC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ED1-47EC-9AB5-98B3FE470BC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ED1-47EC-9AB5-98B3FE470B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Connectors!$O$14:$O$17</c:f>
              <c:strCache>
                <c:ptCount val="4"/>
                <c:pt idx="0">
                  <c:v>Entreprise</c:v>
                </c:pt>
                <c:pt idx="1">
                  <c:v>Client</c:v>
                </c:pt>
                <c:pt idx="2">
                  <c:v>Technologie</c:v>
                </c:pt>
                <c:pt idx="3">
                  <c:v>Fournisseur</c:v>
                </c:pt>
              </c:strCache>
            </c:strRef>
          </c:cat>
          <c:val>
            <c:numRef>
              <c:f>Connectors!$P$14:$P$17</c:f>
              <c:numCache>
                <c:formatCode>General</c:formatCode>
                <c:ptCount val="4"/>
                <c:pt idx="0">
                  <c:v>6</c:v>
                </c:pt>
                <c:pt idx="1">
                  <c:v>6</c:v>
                </c:pt>
                <c:pt idx="2">
                  <c:v>0</c:v>
                </c:pt>
                <c:pt idx="3">
                  <c:v>4</c:v>
                </c:pt>
              </c:numCache>
            </c:numRef>
          </c:val>
          <c:extLst>
            <c:ext xmlns:c16="http://schemas.microsoft.com/office/drawing/2014/chart" uri="{C3380CC4-5D6E-409C-BE32-E72D297353CC}">
              <c16:uniqueId val="{00000001-4C37-4464-B831-07F023894585}"/>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latin typeface="+mn-lt"/>
                <a:ea typeface="+mn-ea"/>
                <a:cs typeface="+mn-cs"/>
              </a:rPr>
              <a:t>Diagramme représentant le délais (en mois) entre la publication du PDN et la dernière date pour commander (VISHAY CONNECTORS) - Etude sur 5 PCN</a:t>
            </a:r>
          </a:p>
        </c:rich>
      </c:tx>
      <c:overlay val="0"/>
      <c:spPr>
        <a:noFill/>
        <a:ln>
          <a:noFill/>
        </a:ln>
        <a:effectLst/>
      </c:spPr>
      <c:txPr>
        <a:bodyPr rot="0" spcFirstLastPara="1" vertOverflow="ellipsis" vert="horz" wrap="square" anchor="ctr" anchorCtr="1"/>
        <a:lstStyle/>
        <a:p>
          <a:pPr algn="ctr" rtl="0">
            <a:defRPr lang="en-US" sz="1400" b="0" i="0" u="none" strike="noStrike" kern="1200" spc="0" baseline="0">
              <a:solidFill>
                <a:sysClr val="windowText" lastClr="000000">
                  <a:lumMod val="65000"/>
                  <a:lumOff val="35000"/>
                </a:sysClr>
              </a:solidFill>
              <a:latin typeface="+mn-lt"/>
              <a:ea typeface="+mn-ea"/>
              <a:cs typeface="+mn-cs"/>
            </a:defRPr>
          </a:pPr>
          <a:endParaRPr lang="fr-FR"/>
        </a:p>
      </c:txPr>
    </c:title>
    <c:autoTitleDeleted val="0"/>
    <c:plotArea>
      <c:layout/>
      <c:barChart>
        <c:barDir val="col"/>
        <c:grouping val="clustered"/>
        <c:varyColors val="0"/>
        <c:ser>
          <c:idx val="0"/>
          <c:order val="0"/>
          <c:tx>
            <c:v>Connectors</c:v>
          </c:tx>
          <c:spPr>
            <a:solidFill>
              <a:schemeClr val="accent1"/>
            </a:solidFill>
            <a:ln>
              <a:noFill/>
            </a:ln>
            <a:effectLst/>
          </c:spPr>
          <c:invertIfNegative val="0"/>
          <c:cat>
            <c:strRef>
              <c:f>Connectors!$U$3:$U$7</c:f>
              <c:strCache>
                <c:ptCount val="5"/>
                <c:pt idx="0">
                  <c:v>1 à 3</c:v>
                </c:pt>
                <c:pt idx="1">
                  <c:v>4 à 6</c:v>
                </c:pt>
                <c:pt idx="2">
                  <c:v>7 à  9</c:v>
                </c:pt>
                <c:pt idx="3">
                  <c:v>10 à 12</c:v>
                </c:pt>
                <c:pt idx="4">
                  <c:v>12 ou +</c:v>
                </c:pt>
              </c:strCache>
            </c:strRef>
          </c:cat>
          <c:val>
            <c:numRef>
              <c:f>Connectors!$W$3:$W$7</c:f>
              <c:numCache>
                <c:formatCode>General</c:formatCode>
                <c:ptCount val="5"/>
                <c:pt idx="0">
                  <c:v>3</c:v>
                </c:pt>
                <c:pt idx="1">
                  <c:v>2</c:v>
                </c:pt>
                <c:pt idx="2">
                  <c:v>0</c:v>
                </c:pt>
                <c:pt idx="3">
                  <c:v>0</c:v>
                </c:pt>
                <c:pt idx="4">
                  <c:v>0</c:v>
                </c:pt>
              </c:numCache>
            </c:numRef>
          </c:val>
          <c:extLst>
            <c:ext xmlns:c16="http://schemas.microsoft.com/office/drawing/2014/chart" uri="{C3380CC4-5D6E-409C-BE32-E72D297353CC}">
              <c16:uniqueId val="{00000000-0519-407E-AABB-6BCCA500AF63}"/>
            </c:ext>
          </c:extLst>
        </c:ser>
        <c:dLbls>
          <c:showLegendKey val="0"/>
          <c:showVal val="0"/>
          <c:showCatName val="0"/>
          <c:showSerName val="0"/>
          <c:showPercent val="0"/>
          <c:showBubbleSize val="0"/>
        </c:dLbls>
        <c:gapWidth val="219"/>
        <c:overlap val="-27"/>
        <c:axId val="205088376"/>
        <c:axId val="330826007"/>
      </c:barChart>
      <c:catAx>
        <c:axId val="205088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0826007"/>
        <c:crosses val="autoZero"/>
        <c:auto val="1"/>
        <c:lblAlgn val="ctr"/>
        <c:lblOffset val="100"/>
        <c:noMultiLvlLbl val="0"/>
      </c:catAx>
      <c:valAx>
        <c:axId val="3308260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5088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'Estimation durée de vie'!$C$4</c:f>
              <c:strCache>
                <c:ptCount val="1"/>
                <c:pt idx="0">
                  <c:v>Diode</c:v>
                </c:pt>
              </c:strCache>
            </c:strRef>
          </c:tx>
          <c:spPr>
            <a:solidFill>
              <a:schemeClr val="accent1"/>
            </a:solidFill>
            <a:ln>
              <a:noFill/>
            </a:ln>
            <a:effectLst/>
          </c:spPr>
          <c:invertIfNegative val="0"/>
          <c:cat>
            <c:strRef>
              <c:f>'Estimation durée de vie'!$B$5:$B$10</c:f>
              <c:strCache>
                <c:ptCount val="6"/>
                <c:pt idx="0">
                  <c:v>0 to 2</c:v>
                </c:pt>
                <c:pt idx="1">
                  <c:v>2 to 4</c:v>
                </c:pt>
                <c:pt idx="2">
                  <c:v>4 to 6</c:v>
                </c:pt>
                <c:pt idx="3">
                  <c:v>6 to 8</c:v>
                </c:pt>
                <c:pt idx="4">
                  <c:v>8 to 10 </c:v>
                </c:pt>
                <c:pt idx="5">
                  <c:v>10 and + (max 12)</c:v>
                </c:pt>
              </c:strCache>
            </c:strRef>
          </c:cat>
          <c:val>
            <c:numRef>
              <c:f>'Estimation durée de vie'!$C$5:$C$10</c:f>
              <c:numCache>
                <c:formatCode>General</c:formatCode>
                <c:ptCount val="6"/>
                <c:pt idx="0">
                  <c:v>4</c:v>
                </c:pt>
                <c:pt idx="1">
                  <c:v>4</c:v>
                </c:pt>
                <c:pt idx="2">
                  <c:v>3</c:v>
                </c:pt>
                <c:pt idx="3">
                  <c:v>2</c:v>
                </c:pt>
                <c:pt idx="4">
                  <c:v>0</c:v>
                </c:pt>
                <c:pt idx="5">
                  <c:v>6</c:v>
                </c:pt>
              </c:numCache>
            </c:numRef>
          </c:val>
          <c:extLst>
            <c:ext xmlns:c16="http://schemas.microsoft.com/office/drawing/2014/chart" uri="{C3380CC4-5D6E-409C-BE32-E72D297353CC}">
              <c16:uniqueId val="{00000000-09ED-4869-8EE9-6682AE558C48}"/>
            </c:ext>
          </c:extLst>
        </c:ser>
        <c:ser>
          <c:idx val="1"/>
          <c:order val="1"/>
          <c:tx>
            <c:strRef>
              <c:f>'Estimation durée de vie'!$D$4</c:f>
              <c:strCache>
                <c:ptCount val="1"/>
                <c:pt idx="0">
                  <c:v>Transistors</c:v>
                </c:pt>
              </c:strCache>
            </c:strRef>
          </c:tx>
          <c:spPr>
            <a:solidFill>
              <a:schemeClr val="accent2"/>
            </a:solidFill>
            <a:ln>
              <a:noFill/>
            </a:ln>
            <a:effectLst/>
          </c:spPr>
          <c:invertIfNegative val="0"/>
          <c:cat>
            <c:strRef>
              <c:f>'Estimation durée de vie'!$B$5:$B$10</c:f>
              <c:strCache>
                <c:ptCount val="6"/>
                <c:pt idx="0">
                  <c:v>0 to 2</c:v>
                </c:pt>
                <c:pt idx="1">
                  <c:v>2 to 4</c:v>
                </c:pt>
                <c:pt idx="2">
                  <c:v>4 to 6</c:v>
                </c:pt>
                <c:pt idx="3">
                  <c:v>6 to 8</c:v>
                </c:pt>
                <c:pt idx="4">
                  <c:v>8 to 10 </c:v>
                </c:pt>
                <c:pt idx="5">
                  <c:v>10 and + (max 12)</c:v>
                </c:pt>
              </c:strCache>
            </c:strRef>
          </c:cat>
          <c:val>
            <c:numRef>
              <c:f>'Estimation durée de vie'!$D$5:$D$10</c:f>
              <c:numCache>
                <c:formatCode>General</c:formatCode>
                <c:ptCount val="6"/>
                <c:pt idx="0">
                  <c:v>5</c:v>
                </c:pt>
                <c:pt idx="1">
                  <c:v>15</c:v>
                </c:pt>
                <c:pt idx="2">
                  <c:v>0</c:v>
                </c:pt>
                <c:pt idx="3">
                  <c:v>8</c:v>
                </c:pt>
                <c:pt idx="4">
                  <c:v>3</c:v>
                </c:pt>
                <c:pt idx="5">
                  <c:v>3</c:v>
                </c:pt>
              </c:numCache>
            </c:numRef>
          </c:val>
          <c:extLst>
            <c:ext xmlns:c16="http://schemas.microsoft.com/office/drawing/2014/chart" uri="{C3380CC4-5D6E-409C-BE32-E72D297353CC}">
              <c16:uniqueId val="{00000001-09ED-4869-8EE9-6682AE558C48}"/>
            </c:ext>
          </c:extLst>
        </c:ser>
        <c:dLbls>
          <c:showLegendKey val="0"/>
          <c:showVal val="0"/>
          <c:showCatName val="0"/>
          <c:showSerName val="0"/>
          <c:showPercent val="0"/>
          <c:showBubbleSize val="0"/>
        </c:dLbls>
        <c:gapWidth val="219"/>
        <c:overlap val="-27"/>
        <c:axId val="679527103"/>
        <c:axId val="679525023"/>
      </c:barChart>
      <c:catAx>
        <c:axId val="679527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79525023"/>
        <c:crosses val="autoZero"/>
        <c:auto val="1"/>
        <c:lblAlgn val="ctr"/>
        <c:lblOffset val="100"/>
        <c:noMultiLvlLbl val="0"/>
      </c:catAx>
      <c:valAx>
        <c:axId val="679525023"/>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79527103"/>
        <c:crosses val="autoZero"/>
        <c:crossBetween val="between"/>
      </c:valAx>
      <c:spPr>
        <a:noFill/>
        <a:ln>
          <a:noFill/>
        </a:ln>
        <a:effectLst/>
      </c:spPr>
    </c:plotArea>
    <c:legend>
      <c:legendPos val="b"/>
      <c:layout>
        <c:manualLayout>
          <c:xMode val="edge"/>
          <c:yMode val="edge"/>
          <c:x val="0.6115249343832021"/>
          <c:y val="0.144096675415573"/>
          <c:w val="0.24303967504217591"/>
          <c:h val="8.858329716659434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fr-FR">
                <a:solidFill>
                  <a:sysClr val="windowText" lastClr="000000"/>
                </a:solidFill>
              </a:rPr>
              <a:t>% of components</a:t>
            </a:r>
            <a:r>
              <a:rPr lang="fr-FR" baseline="0">
                <a:solidFill>
                  <a:sysClr val="windowText" lastClr="000000"/>
                </a:solidFill>
              </a:rPr>
              <a:t> with a given delay</a:t>
            </a:r>
            <a:endParaRPr lang="fr-FR">
              <a:solidFill>
                <a:sysClr val="windowText" lastClr="000000"/>
              </a:solidFill>
            </a:endParaRPr>
          </a:p>
        </c:rich>
      </c:tx>
      <c:layout>
        <c:manualLayout>
          <c:xMode val="edge"/>
          <c:yMode val="edge"/>
          <c:x val="0.4413091031904296"/>
          <c:y val="7.8853046594982074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fr-FR"/>
        </a:p>
      </c:txPr>
    </c:title>
    <c:autoTitleDeleted val="0"/>
    <c:plotArea>
      <c:layout/>
      <c:barChart>
        <c:barDir val="col"/>
        <c:grouping val="clustered"/>
        <c:varyColors val="0"/>
        <c:ser>
          <c:idx val="0"/>
          <c:order val="0"/>
          <c:tx>
            <c:strRef>
              <c:f>'Délai composants'!$C$16</c:f>
              <c:strCache>
                <c:ptCount val="1"/>
                <c:pt idx="0">
                  <c:v>Capacitors</c:v>
                </c:pt>
              </c:strCache>
            </c:strRef>
          </c:tx>
          <c:spPr>
            <a:solidFill>
              <a:schemeClr val="accent1"/>
            </a:solidFill>
            <a:ln>
              <a:noFill/>
            </a:ln>
            <a:effectLst/>
          </c:spPr>
          <c:invertIfNegative val="0"/>
          <c:cat>
            <c:strRef>
              <c:f>'Délai composants'!$B$17:$B$21</c:f>
              <c:strCache>
                <c:ptCount val="5"/>
                <c:pt idx="0">
                  <c:v>1 to 3m</c:v>
                </c:pt>
                <c:pt idx="1">
                  <c:v>4 to 6m</c:v>
                </c:pt>
                <c:pt idx="2">
                  <c:v>7 to  9m</c:v>
                </c:pt>
                <c:pt idx="3">
                  <c:v>10 to 12m</c:v>
                </c:pt>
                <c:pt idx="4">
                  <c:v>12m or +</c:v>
                </c:pt>
              </c:strCache>
            </c:strRef>
          </c:cat>
          <c:val>
            <c:numRef>
              <c:f>'Délai composants'!$C$17:$C$21</c:f>
              <c:numCache>
                <c:formatCode>0%</c:formatCode>
                <c:ptCount val="5"/>
                <c:pt idx="0">
                  <c:v>0.28440366972477066</c:v>
                </c:pt>
                <c:pt idx="1">
                  <c:v>0.68807339449541283</c:v>
                </c:pt>
                <c:pt idx="2">
                  <c:v>9.1743119266055051E-3</c:v>
                </c:pt>
                <c:pt idx="3">
                  <c:v>9.1743119266055051E-3</c:v>
                </c:pt>
                <c:pt idx="4">
                  <c:v>9.1743119266055051E-3</c:v>
                </c:pt>
              </c:numCache>
            </c:numRef>
          </c:val>
          <c:extLst>
            <c:ext xmlns:c16="http://schemas.microsoft.com/office/drawing/2014/chart" uri="{C3380CC4-5D6E-409C-BE32-E72D297353CC}">
              <c16:uniqueId val="{00000000-0958-4BFC-ADD0-5DAEB3E27DE0}"/>
            </c:ext>
          </c:extLst>
        </c:ser>
        <c:ser>
          <c:idx val="1"/>
          <c:order val="1"/>
          <c:tx>
            <c:strRef>
              <c:f>'Délai composants'!$D$16</c:f>
              <c:strCache>
                <c:ptCount val="1"/>
                <c:pt idx="0">
                  <c:v>Diode</c:v>
                </c:pt>
              </c:strCache>
            </c:strRef>
          </c:tx>
          <c:spPr>
            <a:solidFill>
              <a:schemeClr val="accent2"/>
            </a:solidFill>
            <a:ln>
              <a:noFill/>
            </a:ln>
            <a:effectLst/>
          </c:spPr>
          <c:invertIfNegative val="0"/>
          <c:cat>
            <c:strRef>
              <c:f>'Délai composants'!$B$17:$B$21</c:f>
              <c:strCache>
                <c:ptCount val="5"/>
                <c:pt idx="0">
                  <c:v>1 to 3m</c:v>
                </c:pt>
                <c:pt idx="1">
                  <c:v>4 to 6m</c:v>
                </c:pt>
                <c:pt idx="2">
                  <c:v>7 to  9m</c:v>
                </c:pt>
                <c:pt idx="3">
                  <c:v>10 to 12m</c:v>
                </c:pt>
                <c:pt idx="4">
                  <c:v>12m or +</c:v>
                </c:pt>
              </c:strCache>
            </c:strRef>
          </c:cat>
          <c:val>
            <c:numRef>
              <c:f>'Délai composants'!$D$17:$D$21</c:f>
              <c:numCache>
                <c:formatCode>0%</c:formatCode>
                <c:ptCount val="5"/>
                <c:pt idx="0">
                  <c:v>0.05</c:v>
                </c:pt>
                <c:pt idx="1">
                  <c:v>0.75</c:v>
                </c:pt>
                <c:pt idx="2">
                  <c:v>0.1</c:v>
                </c:pt>
                <c:pt idx="3">
                  <c:v>0.1</c:v>
                </c:pt>
                <c:pt idx="4">
                  <c:v>0</c:v>
                </c:pt>
              </c:numCache>
            </c:numRef>
          </c:val>
          <c:extLst>
            <c:ext xmlns:c16="http://schemas.microsoft.com/office/drawing/2014/chart" uri="{C3380CC4-5D6E-409C-BE32-E72D297353CC}">
              <c16:uniqueId val="{00000001-0958-4BFC-ADD0-5DAEB3E27DE0}"/>
            </c:ext>
          </c:extLst>
        </c:ser>
        <c:ser>
          <c:idx val="2"/>
          <c:order val="2"/>
          <c:tx>
            <c:strRef>
              <c:f>'Délai composants'!$E$16</c:f>
              <c:strCache>
                <c:ptCount val="1"/>
                <c:pt idx="0">
                  <c:v>Inductors</c:v>
                </c:pt>
              </c:strCache>
            </c:strRef>
          </c:tx>
          <c:spPr>
            <a:solidFill>
              <a:schemeClr val="accent3"/>
            </a:solidFill>
            <a:ln>
              <a:noFill/>
            </a:ln>
            <a:effectLst/>
          </c:spPr>
          <c:invertIfNegative val="0"/>
          <c:cat>
            <c:strRef>
              <c:f>'Délai composants'!$B$17:$B$21</c:f>
              <c:strCache>
                <c:ptCount val="5"/>
                <c:pt idx="0">
                  <c:v>1 to 3m</c:v>
                </c:pt>
                <c:pt idx="1">
                  <c:v>4 to 6m</c:v>
                </c:pt>
                <c:pt idx="2">
                  <c:v>7 to  9m</c:v>
                </c:pt>
                <c:pt idx="3">
                  <c:v>10 to 12m</c:v>
                </c:pt>
                <c:pt idx="4">
                  <c:v>12m or +</c:v>
                </c:pt>
              </c:strCache>
            </c:strRef>
          </c:cat>
          <c:val>
            <c:numRef>
              <c:f>'Délai composants'!$E$17:$E$21</c:f>
              <c:numCache>
                <c:formatCode>0%</c:formatCode>
                <c:ptCount val="5"/>
                <c:pt idx="0">
                  <c:v>0.35</c:v>
                </c:pt>
                <c:pt idx="1">
                  <c:v>0.65</c:v>
                </c:pt>
                <c:pt idx="2">
                  <c:v>0</c:v>
                </c:pt>
                <c:pt idx="3">
                  <c:v>0</c:v>
                </c:pt>
                <c:pt idx="4">
                  <c:v>0</c:v>
                </c:pt>
              </c:numCache>
            </c:numRef>
          </c:val>
          <c:extLst>
            <c:ext xmlns:c16="http://schemas.microsoft.com/office/drawing/2014/chart" uri="{C3380CC4-5D6E-409C-BE32-E72D297353CC}">
              <c16:uniqueId val="{00000002-0958-4BFC-ADD0-5DAEB3E27DE0}"/>
            </c:ext>
          </c:extLst>
        </c:ser>
        <c:ser>
          <c:idx val="3"/>
          <c:order val="3"/>
          <c:tx>
            <c:strRef>
              <c:f>'Délai composants'!$F$16</c:f>
              <c:strCache>
                <c:ptCount val="1"/>
                <c:pt idx="0">
                  <c:v>Optoelec.</c:v>
                </c:pt>
              </c:strCache>
            </c:strRef>
          </c:tx>
          <c:spPr>
            <a:solidFill>
              <a:schemeClr val="accent4"/>
            </a:solidFill>
            <a:ln>
              <a:noFill/>
            </a:ln>
            <a:effectLst/>
          </c:spPr>
          <c:invertIfNegative val="0"/>
          <c:cat>
            <c:strRef>
              <c:f>'Délai composants'!$B$17:$B$21</c:f>
              <c:strCache>
                <c:ptCount val="5"/>
                <c:pt idx="0">
                  <c:v>1 to 3m</c:v>
                </c:pt>
                <c:pt idx="1">
                  <c:v>4 to 6m</c:v>
                </c:pt>
                <c:pt idx="2">
                  <c:v>7 to  9m</c:v>
                </c:pt>
                <c:pt idx="3">
                  <c:v>10 to 12m</c:v>
                </c:pt>
                <c:pt idx="4">
                  <c:v>12m or +</c:v>
                </c:pt>
              </c:strCache>
            </c:strRef>
          </c:cat>
          <c:val>
            <c:numRef>
              <c:f>'Délai composants'!$F$17:$F$21</c:f>
              <c:numCache>
                <c:formatCode>0%</c:formatCode>
                <c:ptCount val="5"/>
                <c:pt idx="0">
                  <c:v>0.42</c:v>
                </c:pt>
                <c:pt idx="1">
                  <c:v>0.52</c:v>
                </c:pt>
                <c:pt idx="2">
                  <c:v>0.04</c:v>
                </c:pt>
                <c:pt idx="3">
                  <c:v>0.02</c:v>
                </c:pt>
                <c:pt idx="4">
                  <c:v>0</c:v>
                </c:pt>
              </c:numCache>
            </c:numRef>
          </c:val>
          <c:extLst>
            <c:ext xmlns:c16="http://schemas.microsoft.com/office/drawing/2014/chart" uri="{C3380CC4-5D6E-409C-BE32-E72D297353CC}">
              <c16:uniqueId val="{00000003-0958-4BFC-ADD0-5DAEB3E27DE0}"/>
            </c:ext>
          </c:extLst>
        </c:ser>
        <c:ser>
          <c:idx val="4"/>
          <c:order val="4"/>
          <c:tx>
            <c:strRef>
              <c:f>'Délai composants'!$G$16</c:f>
              <c:strCache>
                <c:ptCount val="1"/>
                <c:pt idx="0">
                  <c:v>Resistors</c:v>
                </c:pt>
              </c:strCache>
            </c:strRef>
          </c:tx>
          <c:spPr>
            <a:solidFill>
              <a:schemeClr val="accent5"/>
            </a:solidFill>
            <a:ln>
              <a:noFill/>
            </a:ln>
            <a:effectLst/>
          </c:spPr>
          <c:invertIfNegative val="0"/>
          <c:val>
            <c:numRef>
              <c:f>'Délai composants'!$G$17:$G$21</c:f>
              <c:numCache>
                <c:formatCode>0%</c:formatCode>
                <c:ptCount val="5"/>
                <c:pt idx="0">
                  <c:v>0.24</c:v>
                </c:pt>
                <c:pt idx="1">
                  <c:v>0.64</c:v>
                </c:pt>
                <c:pt idx="2">
                  <c:v>0.08</c:v>
                </c:pt>
                <c:pt idx="3">
                  <c:v>1.3333333333333334E-2</c:v>
                </c:pt>
                <c:pt idx="4">
                  <c:v>2.6666666666666668E-2</c:v>
                </c:pt>
              </c:numCache>
            </c:numRef>
          </c:val>
          <c:extLst>
            <c:ext xmlns:c16="http://schemas.microsoft.com/office/drawing/2014/chart" uri="{C3380CC4-5D6E-409C-BE32-E72D297353CC}">
              <c16:uniqueId val="{00000004-0958-4BFC-ADD0-5DAEB3E27DE0}"/>
            </c:ext>
          </c:extLst>
        </c:ser>
        <c:ser>
          <c:idx val="5"/>
          <c:order val="5"/>
          <c:tx>
            <c:strRef>
              <c:f>'Délai composants'!$H$16</c:f>
              <c:strCache>
                <c:ptCount val="1"/>
                <c:pt idx="0">
                  <c:v>Transistors</c:v>
                </c:pt>
              </c:strCache>
            </c:strRef>
          </c:tx>
          <c:spPr>
            <a:solidFill>
              <a:schemeClr val="accent6"/>
            </a:solidFill>
            <a:ln>
              <a:noFill/>
            </a:ln>
            <a:effectLst/>
          </c:spPr>
          <c:invertIfNegative val="0"/>
          <c:val>
            <c:numRef>
              <c:f>'Délai composants'!$H$17:$H$21</c:f>
              <c:numCache>
                <c:formatCode>0%</c:formatCode>
                <c:ptCount val="5"/>
                <c:pt idx="0">
                  <c:v>8.4745762711864403E-2</c:v>
                </c:pt>
                <c:pt idx="1">
                  <c:v>0.6271186440677966</c:v>
                </c:pt>
                <c:pt idx="2">
                  <c:v>0.20338983050847459</c:v>
                </c:pt>
                <c:pt idx="3">
                  <c:v>6.7796610169491525E-2</c:v>
                </c:pt>
                <c:pt idx="4">
                  <c:v>1.6949152542372881E-2</c:v>
                </c:pt>
              </c:numCache>
            </c:numRef>
          </c:val>
          <c:extLst>
            <c:ext xmlns:c16="http://schemas.microsoft.com/office/drawing/2014/chart" uri="{C3380CC4-5D6E-409C-BE32-E72D297353CC}">
              <c16:uniqueId val="{00000005-0958-4BFC-ADD0-5DAEB3E27DE0}"/>
            </c:ext>
          </c:extLst>
        </c:ser>
        <c:dLbls>
          <c:showLegendKey val="0"/>
          <c:showVal val="0"/>
          <c:showCatName val="0"/>
          <c:showSerName val="0"/>
          <c:showPercent val="0"/>
          <c:showBubbleSize val="0"/>
        </c:dLbls>
        <c:gapWidth val="219"/>
        <c:overlap val="-27"/>
        <c:axId val="112219040"/>
        <c:axId val="112218208"/>
      </c:barChart>
      <c:catAx>
        <c:axId val="112219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fr-FR"/>
          </a:p>
        </c:txPr>
        <c:crossAx val="112218208"/>
        <c:crosses val="autoZero"/>
        <c:auto val="1"/>
        <c:lblAlgn val="ctr"/>
        <c:lblOffset val="100"/>
        <c:noMultiLvlLbl val="0"/>
      </c:catAx>
      <c:valAx>
        <c:axId val="1122182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fr-FR"/>
          </a:p>
        </c:txPr>
        <c:crossAx val="1122190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percentStacked"/>
        <c:varyColors val="0"/>
        <c:ser>
          <c:idx val="0"/>
          <c:order val="0"/>
          <c:tx>
            <c:strRef>
              <c:f>'Délai composants'!$B$5</c:f>
              <c:strCache>
                <c:ptCount val="1"/>
                <c:pt idx="0">
                  <c:v>1 to 3m</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'Délai composants'!$C$4:$H$4</c:f>
              <c:strCache>
                <c:ptCount val="6"/>
                <c:pt idx="0">
                  <c:v>Capacitors</c:v>
                </c:pt>
                <c:pt idx="1">
                  <c:v>Diode</c:v>
                </c:pt>
                <c:pt idx="2">
                  <c:v>Inductors</c:v>
                </c:pt>
                <c:pt idx="3">
                  <c:v>Optoelec.</c:v>
                </c:pt>
                <c:pt idx="4">
                  <c:v>Resistors</c:v>
                </c:pt>
                <c:pt idx="5">
                  <c:v>Transistors</c:v>
                </c:pt>
              </c:strCache>
            </c:strRef>
          </c:cat>
          <c:val>
            <c:numRef>
              <c:f>'Délai composants'!$C$5:$H$5</c:f>
              <c:numCache>
                <c:formatCode>General</c:formatCode>
                <c:ptCount val="6"/>
                <c:pt idx="0">
                  <c:v>31</c:v>
                </c:pt>
                <c:pt idx="1">
                  <c:v>2</c:v>
                </c:pt>
                <c:pt idx="2">
                  <c:v>14</c:v>
                </c:pt>
                <c:pt idx="3">
                  <c:v>21</c:v>
                </c:pt>
                <c:pt idx="4">
                  <c:v>18</c:v>
                </c:pt>
                <c:pt idx="5">
                  <c:v>5</c:v>
                </c:pt>
              </c:numCache>
            </c:numRef>
          </c:val>
          <c:extLst>
            <c:ext xmlns:c16="http://schemas.microsoft.com/office/drawing/2014/chart" uri="{C3380CC4-5D6E-409C-BE32-E72D297353CC}">
              <c16:uniqueId val="{00000000-690D-4400-8761-2234FEE26AA1}"/>
            </c:ext>
          </c:extLst>
        </c:ser>
        <c:ser>
          <c:idx val="1"/>
          <c:order val="1"/>
          <c:tx>
            <c:strRef>
              <c:f>'Délai composants'!$B$6</c:f>
              <c:strCache>
                <c:ptCount val="1"/>
                <c:pt idx="0">
                  <c:v>4 to 6m</c:v>
                </c:pt>
              </c:strCache>
            </c:strRef>
          </c:tx>
          <c:spPr>
            <a:solidFill>
              <a:schemeClr val="accent2">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'Délai composants'!$C$4:$H$4</c:f>
              <c:strCache>
                <c:ptCount val="6"/>
                <c:pt idx="0">
                  <c:v>Capacitors</c:v>
                </c:pt>
                <c:pt idx="1">
                  <c:v>Diode</c:v>
                </c:pt>
                <c:pt idx="2">
                  <c:v>Inductors</c:v>
                </c:pt>
                <c:pt idx="3">
                  <c:v>Optoelec.</c:v>
                </c:pt>
                <c:pt idx="4">
                  <c:v>Resistors</c:v>
                </c:pt>
                <c:pt idx="5">
                  <c:v>Transistors</c:v>
                </c:pt>
              </c:strCache>
            </c:strRef>
          </c:cat>
          <c:val>
            <c:numRef>
              <c:f>'Délai composants'!$C$6:$H$6</c:f>
              <c:numCache>
                <c:formatCode>General</c:formatCode>
                <c:ptCount val="6"/>
                <c:pt idx="0">
                  <c:v>75</c:v>
                </c:pt>
                <c:pt idx="1">
                  <c:v>30</c:v>
                </c:pt>
                <c:pt idx="2">
                  <c:v>26</c:v>
                </c:pt>
                <c:pt idx="3">
                  <c:v>26</c:v>
                </c:pt>
                <c:pt idx="4">
                  <c:v>48</c:v>
                </c:pt>
                <c:pt idx="5">
                  <c:v>37</c:v>
                </c:pt>
              </c:numCache>
            </c:numRef>
          </c:val>
          <c:extLst>
            <c:ext xmlns:c16="http://schemas.microsoft.com/office/drawing/2014/chart" uri="{C3380CC4-5D6E-409C-BE32-E72D297353CC}">
              <c16:uniqueId val="{00000001-690D-4400-8761-2234FEE26AA1}"/>
            </c:ext>
          </c:extLst>
        </c:ser>
        <c:ser>
          <c:idx val="2"/>
          <c:order val="2"/>
          <c:tx>
            <c:strRef>
              <c:f>'Délai composants'!$B$7</c:f>
              <c:strCache>
                <c:ptCount val="1"/>
                <c:pt idx="0">
                  <c:v>7 to  9m</c:v>
                </c:pt>
              </c:strCache>
            </c:strRef>
          </c:tx>
          <c:spPr>
            <a:solidFill>
              <a:schemeClr val="accent3">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'Délai composants'!$C$4:$H$4</c:f>
              <c:strCache>
                <c:ptCount val="6"/>
                <c:pt idx="0">
                  <c:v>Capacitors</c:v>
                </c:pt>
                <c:pt idx="1">
                  <c:v>Diode</c:v>
                </c:pt>
                <c:pt idx="2">
                  <c:v>Inductors</c:v>
                </c:pt>
                <c:pt idx="3">
                  <c:v>Optoelec.</c:v>
                </c:pt>
                <c:pt idx="4">
                  <c:v>Resistors</c:v>
                </c:pt>
                <c:pt idx="5">
                  <c:v>Transistors</c:v>
                </c:pt>
              </c:strCache>
            </c:strRef>
          </c:cat>
          <c:val>
            <c:numRef>
              <c:f>'Délai composants'!$C$7:$H$7</c:f>
              <c:numCache>
                <c:formatCode>General</c:formatCode>
                <c:ptCount val="6"/>
                <c:pt idx="0">
                  <c:v>1</c:v>
                </c:pt>
                <c:pt idx="1">
                  <c:v>4</c:v>
                </c:pt>
                <c:pt idx="2">
                  <c:v>0</c:v>
                </c:pt>
                <c:pt idx="3">
                  <c:v>2</c:v>
                </c:pt>
                <c:pt idx="4">
                  <c:v>6</c:v>
                </c:pt>
                <c:pt idx="5">
                  <c:v>12</c:v>
                </c:pt>
              </c:numCache>
            </c:numRef>
          </c:val>
          <c:extLst>
            <c:ext xmlns:c16="http://schemas.microsoft.com/office/drawing/2014/chart" uri="{C3380CC4-5D6E-409C-BE32-E72D297353CC}">
              <c16:uniqueId val="{00000002-690D-4400-8761-2234FEE26AA1}"/>
            </c:ext>
          </c:extLst>
        </c:ser>
        <c:ser>
          <c:idx val="3"/>
          <c:order val="3"/>
          <c:tx>
            <c:strRef>
              <c:f>'Délai composants'!$B$8</c:f>
              <c:strCache>
                <c:ptCount val="1"/>
                <c:pt idx="0">
                  <c:v>10 to 12m</c:v>
                </c:pt>
              </c:strCache>
            </c:strRef>
          </c:tx>
          <c:spPr>
            <a:solidFill>
              <a:schemeClr val="accent4">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'Délai composants'!$C$4:$H$4</c:f>
              <c:strCache>
                <c:ptCount val="6"/>
                <c:pt idx="0">
                  <c:v>Capacitors</c:v>
                </c:pt>
                <c:pt idx="1">
                  <c:v>Diode</c:v>
                </c:pt>
                <c:pt idx="2">
                  <c:v>Inductors</c:v>
                </c:pt>
                <c:pt idx="3">
                  <c:v>Optoelec.</c:v>
                </c:pt>
                <c:pt idx="4">
                  <c:v>Resistors</c:v>
                </c:pt>
                <c:pt idx="5">
                  <c:v>Transistors</c:v>
                </c:pt>
              </c:strCache>
            </c:strRef>
          </c:cat>
          <c:val>
            <c:numRef>
              <c:f>'Délai composants'!$C$8:$H$8</c:f>
              <c:numCache>
                <c:formatCode>General</c:formatCode>
                <c:ptCount val="6"/>
                <c:pt idx="0">
                  <c:v>1</c:v>
                </c:pt>
                <c:pt idx="1">
                  <c:v>4</c:v>
                </c:pt>
                <c:pt idx="2">
                  <c:v>0</c:v>
                </c:pt>
                <c:pt idx="3">
                  <c:v>1</c:v>
                </c:pt>
                <c:pt idx="4">
                  <c:v>1</c:v>
                </c:pt>
                <c:pt idx="5">
                  <c:v>4</c:v>
                </c:pt>
              </c:numCache>
            </c:numRef>
          </c:val>
          <c:extLst>
            <c:ext xmlns:c16="http://schemas.microsoft.com/office/drawing/2014/chart" uri="{C3380CC4-5D6E-409C-BE32-E72D297353CC}">
              <c16:uniqueId val="{00000003-690D-4400-8761-2234FEE26AA1}"/>
            </c:ext>
          </c:extLst>
        </c:ser>
        <c:ser>
          <c:idx val="4"/>
          <c:order val="4"/>
          <c:tx>
            <c:strRef>
              <c:f>'Délai composants'!$B$9</c:f>
              <c:strCache>
                <c:ptCount val="1"/>
                <c:pt idx="0">
                  <c:v>12m or +</c:v>
                </c:pt>
              </c:strCache>
            </c:strRef>
          </c:tx>
          <c:spPr>
            <a:solidFill>
              <a:schemeClr val="accent5">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'Délai composants'!$C$4:$H$4</c:f>
              <c:strCache>
                <c:ptCount val="6"/>
                <c:pt idx="0">
                  <c:v>Capacitors</c:v>
                </c:pt>
                <c:pt idx="1">
                  <c:v>Diode</c:v>
                </c:pt>
                <c:pt idx="2">
                  <c:v>Inductors</c:v>
                </c:pt>
                <c:pt idx="3">
                  <c:v>Optoelec.</c:v>
                </c:pt>
                <c:pt idx="4">
                  <c:v>Resistors</c:v>
                </c:pt>
                <c:pt idx="5">
                  <c:v>Transistors</c:v>
                </c:pt>
              </c:strCache>
            </c:strRef>
          </c:cat>
          <c:val>
            <c:numRef>
              <c:f>'Délai composants'!$C$9:$H$9</c:f>
              <c:numCache>
                <c:formatCode>General</c:formatCode>
                <c:ptCount val="6"/>
                <c:pt idx="0">
                  <c:v>1</c:v>
                </c:pt>
                <c:pt idx="1">
                  <c:v>0</c:v>
                </c:pt>
                <c:pt idx="2">
                  <c:v>0</c:v>
                </c:pt>
                <c:pt idx="3">
                  <c:v>0</c:v>
                </c:pt>
                <c:pt idx="4">
                  <c:v>2</c:v>
                </c:pt>
                <c:pt idx="5">
                  <c:v>1</c:v>
                </c:pt>
              </c:numCache>
            </c:numRef>
          </c:val>
          <c:extLst>
            <c:ext xmlns:c16="http://schemas.microsoft.com/office/drawing/2014/chart" uri="{C3380CC4-5D6E-409C-BE32-E72D297353CC}">
              <c16:uniqueId val="{00000004-690D-4400-8761-2234FEE26AA1}"/>
            </c:ext>
          </c:extLst>
        </c:ser>
        <c:dLbls>
          <c:dLblPos val="ctr"/>
          <c:showLegendKey val="0"/>
          <c:showVal val="1"/>
          <c:showCatName val="0"/>
          <c:showSerName val="0"/>
          <c:showPercent val="0"/>
          <c:showBubbleSize val="0"/>
        </c:dLbls>
        <c:gapWidth val="50"/>
        <c:overlap val="100"/>
        <c:axId val="655131584"/>
        <c:axId val="655145312"/>
      </c:barChart>
      <c:catAx>
        <c:axId val="655131584"/>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fr-FR"/>
          </a:p>
        </c:txPr>
        <c:crossAx val="655145312"/>
        <c:crosses val="autoZero"/>
        <c:auto val="1"/>
        <c:lblAlgn val="ctr"/>
        <c:lblOffset val="100"/>
        <c:noMultiLvlLbl val="0"/>
      </c:catAx>
      <c:valAx>
        <c:axId val="655145312"/>
        <c:scaling>
          <c:orientation val="minMax"/>
        </c:scaling>
        <c:delete val="0"/>
        <c:axPos val="l"/>
        <c:majorGridlines>
          <c:spPr>
            <a:ln w="9525" cap="flat" cmpd="sng" algn="ctr">
              <a:gradFill>
                <a:gsLst>
                  <a:gs pos="0">
                    <a:schemeClr val="tx1">
                      <a:lumMod val="5000"/>
                      <a:lumOff val="95000"/>
                    </a:schemeClr>
                  </a:gs>
                  <a:gs pos="100000">
                    <a:schemeClr val="tx1">
                      <a:lumMod val="15000"/>
                      <a:lumOff val="85000"/>
                    </a:schemeClr>
                  </a:gs>
                </a:gsLst>
                <a:lin ang="5400000" scaled="0"/>
              </a:gra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fr-FR"/>
          </a:p>
        </c:txPr>
        <c:crossAx val="6551315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RESPONSABLES de l'obsolescence d'un composant (VISHAY Inductors) - étude sur 47 PCN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332-4B03-8DCB-9B6E01B33E7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332-4B03-8DCB-9B6E01B33E7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332-4B03-8DCB-9B6E01B33E7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332-4B03-8DCB-9B6E01B33E75}"/>
              </c:ext>
            </c:extLst>
          </c:dPt>
          <c:cat>
            <c:strRef>
              <c:f>Inductors!$O$14:$O$17</c:f>
              <c:strCache>
                <c:ptCount val="4"/>
                <c:pt idx="0">
                  <c:v>Entreprise</c:v>
                </c:pt>
                <c:pt idx="1">
                  <c:v>Client</c:v>
                </c:pt>
                <c:pt idx="2">
                  <c:v>Technologie</c:v>
                </c:pt>
                <c:pt idx="3">
                  <c:v>Fournisseur</c:v>
                </c:pt>
              </c:strCache>
            </c:strRef>
          </c:cat>
          <c:val>
            <c:numRef>
              <c:f>Inductors!$P$14:$P$17</c:f>
              <c:numCache>
                <c:formatCode>General</c:formatCode>
                <c:ptCount val="4"/>
                <c:pt idx="0">
                  <c:v>9</c:v>
                </c:pt>
                <c:pt idx="1">
                  <c:v>16</c:v>
                </c:pt>
                <c:pt idx="2">
                  <c:v>15</c:v>
                </c:pt>
                <c:pt idx="3">
                  <c:v>7</c:v>
                </c:pt>
              </c:numCache>
            </c:numRef>
          </c:val>
          <c:extLst>
            <c:ext xmlns:c16="http://schemas.microsoft.com/office/drawing/2014/chart" uri="{C3380CC4-5D6E-409C-BE32-E72D297353CC}">
              <c16:uniqueId val="{00000008-0332-4B03-8DCB-9B6E01B33E75}"/>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raisons de l'obsolescence d'un composant (VISHAY Inductors) - étude sur 47 PCN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2DD-43FB-9E21-B87DF7EC805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2DD-43FB-9E21-B87DF7EC805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2DD-43FB-9E21-B87DF7EC805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2DD-43FB-9E21-B87DF7EC805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2DD-43FB-9E21-B87DF7EC805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2DD-43FB-9E21-B87DF7EC805E}"/>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2DD-43FB-9E21-B87DF7EC805E}"/>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2DD-43FB-9E21-B87DF7EC805E}"/>
              </c:ext>
            </c:extLst>
          </c:dPt>
          <c:cat>
            <c:strRef>
              <c:f>Inductors!$O$3:$O$10</c:f>
              <c:strCache>
                <c:ptCount val="8"/>
                <c:pt idx="0">
                  <c:v>Indisponibilité/Obsolescence des matières premières</c:v>
                </c:pt>
                <c:pt idx="1">
                  <c:v>Nouvelle technologie</c:v>
                </c:pt>
                <c:pt idx="2">
                  <c:v>Fermeture d'un site de production</c:v>
                </c:pt>
                <c:pt idx="3">
                  <c:v>Arrêt de production</c:v>
                </c:pt>
                <c:pt idx="4">
                  <c:v>Obsolescence d'une technologie</c:v>
                </c:pt>
                <c:pt idx="5">
                  <c:v>Standardisation</c:v>
                </c:pt>
                <c:pt idx="6">
                  <c:v>Faible demande</c:v>
                </c:pt>
                <c:pt idx="7">
                  <c:v>Qualité</c:v>
                </c:pt>
              </c:strCache>
            </c:strRef>
          </c:cat>
          <c:val>
            <c:numRef>
              <c:f>Inductors!$P$3:$P$10</c:f>
              <c:numCache>
                <c:formatCode>General</c:formatCode>
                <c:ptCount val="8"/>
                <c:pt idx="0">
                  <c:v>7</c:v>
                </c:pt>
                <c:pt idx="1">
                  <c:v>14</c:v>
                </c:pt>
                <c:pt idx="2">
                  <c:v>0</c:v>
                </c:pt>
                <c:pt idx="3">
                  <c:v>7</c:v>
                </c:pt>
                <c:pt idx="4">
                  <c:v>1</c:v>
                </c:pt>
                <c:pt idx="5">
                  <c:v>2</c:v>
                </c:pt>
                <c:pt idx="6">
                  <c:v>16</c:v>
                </c:pt>
                <c:pt idx="7">
                  <c:v>0</c:v>
                </c:pt>
              </c:numCache>
            </c:numRef>
          </c:val>
          <c:extLst>
            <c:ext xmlns:c16="http://schemas.microsoft.com/office/drawing/2014/chart" uri="{C3380CC4-5D6E-409C-BE32-E72D297353CC}">
              <c16:uniqueId val="{00000010-92DD-43FB-9E21-B87DF7EC805E}"/>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 délais (en mois) entre la publication du PDN et la dernière date pour commander (VISHAY INDUCTORS) - Etude sur 40 PCN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cat>
            <c:strRef>
              <c:f>Inductors!$R$3:$R$7</c:f>
              <c:strCache>
                <c:ptCount val="5"/>
                <c:pt idx="0">
                  <c:v>1 à 3</c:v>
                </c:pt>
                <c:pt idx="1">
                  <c:v>4 à 6</c:v>
                </c:pt>
                <c:pt idx="2">
                  <c:v>7 à  9</c:v>
                </c:pt>
                <c:pt idx="3">
                  <c:v>10 à 12</c:v>
                </c:pt>
                <c:pt idx="4">
                  <c:v>12 ou +</c:v>
                </c:pt>
              </c:strCache>
            </c:strRef>
          </c:cat>
          <c:val>
            <c:numRef>
              <c:f>Inductors!$T$3:$T$7</c:f>
              <c:numCache>
                <c:formatCode>General</c:formatCode>
                <c:ptCount val="5"/>
                <c:pt idx="0">
                  <c:v>14</c:v>
                </c:pt>
                <c:pt idx="1">
                  <c:v>26</c:v>
                </c:pt>
                <c:pt idx="2">
                  <c:v>0</c:v>
                </c:pt>
                <c:pt idx="3">
                  <c:v>0</c:v>
                </c:pt>
                <c:pt idx="4">
                  <c:v>0</c:v>
                </c:pt>
              </c:numCache>
            </c:numRef>
          </c:val>
          <c:extLst>
            <c:ext xmlns:c16="http://schemas.microsoft.com/office/drawing/2014/chart" uri="{C3380CC4-5D6E-409C-BE32-E72D297353CC}">
              <c16:uniqueId val="{00000000-8995-4591-96F7-3D323E9A72FE}"/>
            </c:ext>
          </c:extLst>
        </c:ser>
        <c:dLbls>
          <c:showLegendKey val="0"/>
          <c:showVal val="0"/>
          <c:showCatName val="0"/>
          <c:showSerName val="0"/>
          <c:showPercent val="0"/>
          <c:showBubbleSize val="0"/>
        </c:dLbls>
        <c:gapWidth val="219"/>
        <c:overlap val="-27"/>
        <c:axId val="1891187384"/>
        <c:axId val="1893839384"/>
      </c:barChart>
      <c:catAx>
        <c:axId val="1891187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93839384"/>
        <c:crosses val="autoZero"/>
        <c:auto val="1"/>
        <c:lblAlgn val="ctr"/>
        <c:lblOffset val="100"/>
        <c:noMultiLvlLbl val="0"/>
      </c:catAx>
      <c:valAx>
        <c:axId val="1893839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911873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raisons de l'obsolescence d'un composant (VISHAY </a:t>
            </a:r>
            <a:r>
              <a:rPr lang="en-US" sz="1400" b="0" i="0" u="none" strike="noStrike" baseline="0">
                <a:effectLst/>
              </a:rPr>
              <a:t>ICS</a:t>
            </a:r>
            <a:r>
              <a:rPr lang="en-US"/>
              <a:t>) - étude sur 11 PCN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436-4395-9C4A-95380BB8E0F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436-4395-9C4A-95380BB8E0F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436-4395-9C4A-95380BB8E0F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436-4395-9C4A-95380BB8E0F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436-4395-9C4A-95380BB8E0F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436-4395-9C4A-95380BB8E0F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D436-4395-9C4A-95380BB8E0F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D436-4395-9C4A-95380BB8E0F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ICS!$O$3:$O$10</c:f>
              <c:strCache>
                <c:ptCount val="8"/>
                <c:pt idx="0">
                  <c:v>Indisponibilité/Obsolescence des matières premières</c:v>
                </c:pt>
                <c:pt idx="1">
                  <c:v>Nouvelle technologie</c:v>
                </c:pt>
                <c:pt idx="2">
                  <c:v>Fermeture d'un site de production</c:v>
                </c:pt>
                <c:pt idx="3">
                  <c:v>Arrêt de production</c:v>
                </c:pt>
                <c:pt idx="4">
                  <c:v>Obsolescence d'une technologie</c:v>
                </c:pt>
                <c:pt idx="5">
                  <c:v>Standardisation</c:v>
                </c:pt>
                <c:pt idx="6">
                  <c:v>Faible demande</c:v>
                </c:pt>
                <c:pt idx="7">
                  <c:v>Qualité</c:v>
                </c:pt>
              </c:strCache>
            </c:strRef>
          </c:cat>
          <c:val>
            <c:numRef>
              <c:f>ICS!$P$3:$P$10</c:f>
              <c:numCache>
                <c:formatCode>General</c:formatCode>
                <c:ptCount val="8"/>
                <c:pt idx="0">
                  <c:v>0</c:v>
                </c:pt>
                <c:pt idx="1">
                  <c:v>0</c:v>
                </c:pt>
                <c:pt idx="2">
                  <c:v>8</c:v>
                </c:pt>
                <c:pt idx="3">
                  <c:v>0</c:v>
                </c:pt>
                <c:pt idx="4">
                  <c:v>1</c:v>
                </c:pt>
                <c:pt idx="5">
                  <c:v>2</c:v>
                </c:pt>
                <c:pt idx="6">
                  <c:v>0</c:v>
                </c:pt>
                <c:pt idx="7">
                  <c:v>0</c:v>
                </c:pt>
              </c:numCache>
            </c:numRef>
          </c:val>
          <c:extLst>
            <c:ext xmlns:c16="http://schemas.microsoft.com/office/drawing/2014/chart" uri="{C3380CC4-5D6E-409C-BE32-E72D297353CC}">
              <c16:uniqueId val="{00000010-D436-4395-9C4A-95380BB8E0F6}"/>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RESPONSABLES de l'obsolescence d'un composant (VISHAY ICS) - étude sur 11 PCN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B1B-4FE9-9839-3B0E3128D4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B1B-4FE9-9839-3B0E3128D4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B1B-4FE9-9839-3B0E3128D4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B1B-4FE9-9839-3B0E3128D4E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ICS!$O$14:$O$17</c:f>
              <c:strCache>
                <c:ptCount val="4"/>
                <c:pt idx="0">
                  <c:v>Entreprise</c:v>
                </c:pt>
                <c:pt idx="1">
                  <c:v>Client</c:v>
                </c:pt>
                <c:pt idx="2">
                  <c:v>Technologie</c:v>
                </c:pt>
                <c:pt idx="3">
                  <c:v>Fournisseur</c:v>
                </c:pt>
              </c:strCache>
            </c:strRef>
          </c:cat>
          <c:val>
            <c:numRef>
              <c:f>ICS!$P$14:$P$17</c:f>
              <c:numCache>
                <c:formatCode>General</c:formatCode>
                <c:ptCount val="4"/>
                <c:pt idx="0">
                  <c:v>10</c:v>
                </c:pt>
                <c:pt idx="1">
                  <c:v>0</c:v>
                </c:pt>
                <c:pt idx="2">
                  <c:v>1</c:v>
                </c:pt>
                <c:pt idx="3">
                  <c:v>0</c:v>
                </c:pt>
              </c:numCache>
            </c:numRef>
          </c:val>
          <c:extLst>
            <c:ext xmlns:c16="http://schemas.microsoft.com/office/drawing/2014/chart" uri="{C3380CC4-5D6E-409C-BE32-E72D297353CC}">
              <c16:uniqueId val="{00000008-DB1B-4FE9-9839-3B0E3128D4EB}"/>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Diagramme représentant le délais (en mois) entre la publication du PDN et la dernière date pour commander (VISHAY ICS) - Etude sur 11 PCN</a:t>
            </a:r>
            <a:endParaRPr lang="fr-FR">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cat>
            <c:strRef>
              <c:f>ICS!$R$3:$R$7</c:f>
              <c:strCache>
                <c:ptCount val="5"/>
                <c:pt idx="0">
                  <c:v>1 à 3</c:v>
                </c:pt>
                <c:pt idx="1">
                  <c:v>4 à 6</c:v>
                </c:pt>
                <c:pt idx="2">
                  <c:v>7 à  9</c:v>
                </c:pt>
                <c:pt idx="3">
                  <c:v>10 à 12</c:v>
                </c:pt>
                <c:pt idx="4">
                  <c:v>12 ou +</c:v>
                </c:pt>
              </c:strCache>
            </c:strRef>
          </c:cat>
          <c:val>
            <c:numRef>
              <c:f>ICS!$T$3:$T$7</c:f>
              <c:numCache>
                <c:formatCode>General</c:formatCode>
                <c:ptCount val="5"/>
                <c:pt idx="0">
                  <c:v>1</c:v>
                </c:pt>
                <c:pt idx="1">
                  <c:v>12</c:v>
                </c:pt>
                <c:pt idx="2">
                  <c:v>0</c:v>
                </c:pt>
                <c:pt idx="3">
                  <c:v>0</c:v>
                </c:pt>
                <c:pt idx="4">
                  <c:v>0</c:v>
                </c:pt>
              </c:numCache>
            </c:numRef>
          </c:val>
          <c:extLst>
            <c:ext xmlns:c16="http://schemas.microsoft.com/office/drawing/2014/chart" uri="{C3380CC4-5D6E-409C-BE32-E72D297353CC}">
              <c16:uniqueId val="{00000000-EDB7-4F1C-B995-F4864C94B7C5}"/>
            </c:ext>
          </c:extLst>
        </c:ser>
        <c:dLbls>
          <c:showLegendKey val="0"/>
          <c:showVal val="0"/>
          <c:showCatName val="0"/>
          <c:showSerName val="0"/>
          <c:showPercent val="0"/>
          <c:showBubbleSize val="0"/>
        </c:dLbls>
        <c:gapWidth val="219"/>
        <c:overlap val="-27"/>
        <c:axId val="2038007744"/>
        <c:axId val="2038008576"/>
      </c:barChart>
      <c:catAx>
        <c:axId val="2038007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38008576"/>
        <c:crosses val="autoZero"/>
        <c:auto val="1"/>
        <c:lblAlgn val="ctr"/>
        <c:lblOffset val="100"/>
        <c:noMultiLvlLbl val="0"/>
      </c:catAx>
      <c:valAx>
        <c:axId val="2038008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380077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raisons de l'obsolescence d'un composant (VISHAY </a:t>
            </a:r>
            <a:r>
              <a:rPr lang="en-US" sz="1400" b="0" i="0" u="none" strike="noStrike" baseline="0">
                <a:effectLst/>
              </a:rPr>
              <a:t>MODULES</a:t>
            </a:r>
            <a:r>
              <a:rPr lang="en-US"/>
              <a:t>) - étude sur 24 PCN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E87-4BA9-9A54-1738FD90567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E87-4BA9-9A54-1738FD90567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E87-4BA9-9A54-1738FD90567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E87-4BA9-9A54-1738FD90567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E87-4BA9-9A54-1738FD90567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5E87-4BA9-9A54-1738FD90567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5E87-4BA9-9A54-1738FD90567A}"/>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5E87-4BA9-9A54-1738FD90567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Modules!$O$3:$O$10</c:f>
              <c:strCache>
                <c:ptCount val="8"/>
                <c:pt idx="0">
                  <c:v>Indisponibilité/Obsolescence des matières premières</c:v>
                </c:pt>
                <c:pt idx="1">
                  <c:v>Nouvelle technologie</c:v>
                </c:pt>
                <c:pt idx="2">
                  <c:v>Fermeture d'un site de production</c:v>
                </c:pt>
                <c:pt idx="3">
                  <c:v>Arrêt de production</c:v>
                </c:pt>
                <c:pt idx="4">
                  <c:v>Obsolescence d'une technologie</c:v>
                </c:pt>
                <c:pt idx="5">
                  <c:v>Standardisation</c:v>
                </c:pt>
                <c:pt idx="6">
                  <c:v>Faible demande</c:v>
                </c:pt>
                <c:pt idx="7">
                  <c:v>Qualité</c:v>
                </c:pt>
              </c:strCache>
            </c:strRef>
          </c:cat>
          <c:val>
            <c:numRef>
              <c:f>Modules!$P$3:$P$10</c:f>
              <c:numCache>
                <c:formatCode>General</c:formatCode>
                <c:ptCount val="8"/>
                <c:pt idx="0">
                  <c:v>3</c:v>
                </c:pt>
                <c:pt idx="1">
                  <c:v>2</c:v>
                </c:pt>
                <c:pt idx="2">
                  <c:v>0</c:v>
                </c:pt>
                <c:pt idx="3">
                  <c:v>8</c:v>
                </c:pt>
                <c:pt idx="4">
                  <c:v>3</c:v>
                </c:pt>
                <c:pt idx="5">
                  <c:v>7</c:v>
                </c:pt>
                <c:pt idx="6">
                  <c:v>1</c:v>
                </c:pt>
                <c:pt idx="7">
                  <c:v>0</c:v>
                </c:pt>
              </c:numCache>
            </c:numRef>
          </c:val>
          <c:extLst>
            <c:ext xmlns:c16="http://schemas.microsoft.com/office/drawing/2014/chart" uri="{C3380CC4-5D6E-409C-BE32-E72D297353CC}">
              <c16:uniqueId val="{00000010-5E87-4BA9-9A54-1738FD90567A}"/>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RESPONSABLES de l'obsolescence d'un composant (VISHAY MODULES) - étude sur 24 PCN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267-4C42-ABE9-3637AA3AB8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267-4C42-ABE9-3637AA3AB8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267-4C42-ABE9-3637AA3AB8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267-4C42-ABE9-3637AA3AB89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Modules!$O$14:$O$17</c:f>
              <c:strCache>
                <c:ptCount val="4"/>
                <c:pt idx="0">
                  <c:v>Entreprise</c:v>
                </c:pt>
                <c:pt idx="1">
                  <c:v>Client</c:v>
                </c:pt>
                <c:pt idx="2">
                  <c:v>Technologie</c:v>
                </c:pt>
                <c:pt idx="3">
                  <c:v>Fournisseur</c:v>
                </c:pt>
              </c:strCache>
            </c:strRef>
          </c:cat>
          <c:val>
            <c:numRef>
              <c:f>Modules!$P$14:$P$17</c:f>
              <c:numCache>
                <c:formatCode>General</c:formatCode>
                <c:ptCount val="4"/>
                <c:pt idx="0">
                  <c:v>15</c:v>
                </c:pt>
                <c:pt idx="1">
                  <c:v>1</c:v>
                </c:pt>
                <c:pt idx="2">
                  <c:v>5</c:v>
                </c:pt>
                <c:pt idx="3">
                  <c:v>3</c:v>
                </c:pt>
              </c:numCache>
            </c:numRef>
          </c:val>
          <c:extLst>
            <c:ext xmlns:c16="http://schemas.microsoft.com/office/drawing/2014/chart" uri="{C3380CC4-5D6E-409C-BE32-E72D297353CC}">
              <c16:uniqueId val="{00000008-4267-4C42-ABE9-3637AA3AB899}"/>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Diagramme représentant le délais (en mois) entre la publication du PDN et la dernière date pour commander (VISHAY MODULES) - Etude sur 24 PCN</a:t>
            </a:r>
            <a:endParaRPr lang="fr-FR">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cat>
            <c:strRef>
              <c:f>Modules!$R$3:$R$7</c:f>
              <c:strCache>
                <c:ptCount val="5"/>
                <c:pt idx="0">
                  <c:v>1 à 3</c:v>
                </c:pt>
                <c:pt idx="1">
                  <c:v>4 à 6</c:v>
                </c:pt>
                <c:pt idx="2">
                  <c:v>7 à  9</c:v>
                </c:pt>
                <c:pt idx="3">
                  <c:v>10 à 12</c:v>
                </c:pt>
                <c:pt idx="4">
                  <c:v>12 ou +</c:v>
                </c:pt>
              </c:strCache>
            </c:strRef>
          </c:cat>
          <c:val>
            <c:numRef>
              <c:f>Modules!$T$3:$T$7</c:f>
              <c:numCache>
                <c:formatCode>General</c:formatCode>
                <c:ptCount val="5"/>
                <c:pt idx="0">
                  <c:v>4</c:v>
                </c:pt>
                <c:pt idx="1">
                  <c:v>18</c:v>
                </c:pt>
                <c:pt idx="2">
                  <c:v>1</c:v>
                </c:pt>
                <c:pt idx="3">
                  <c:v>0</c:v>
                </c:pt>
                <c:pt idx="4">
                  <c:v>0</c:v>
                </c:pt>
              </c:numCache>
            </c:numRef>
          </c:val>
          <c:extLst>
            <c:ext xmlns:c16="http://schemas.microsoft.com/office/drawing/2014/chart" uri="{C3380CC4-5D6E-409C-BE32-E72D297353CC}">
              <c16:uniqueId val="{00000000-B89E-46F7-9FF1-22282D485718}"/>
            </c:ext>
          </c:extLst>
        </c:ser>
        <c:dLbls>
          <c:showLegendKey val="0"/>
          <c:showVal val="0"/>
          <c:showCatName val="0"/>
          <c:showSerName val="0"/>
          <c:showPercent val="0"/>
          <c:showBubbleSize val="0"/>
        </c:dLbls>
        <c:gapWidth val="219"/>
        <c:overlap val="-27"/>
        <c:axId val="2038007744"/>
        <c:axId val="2038008576"/>
      </c:barChart>
      <c:catAx>
        <c:axId val="2038007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38008576"/>
        <c:crosses val="autoZero"/>
        <c:auto val="1"/>
        <c:lblAlgn val="ctr"/>
        <c:lblOffset val="100"/>
        <c:noMultiLvlLbl val="0"/>
      </c:catAx>
      <c:valAx>
        <c:axId val="2038008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380077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raisons de l'obsolescence d'un composant (VISHAY </a:t>
            </a:r>
            <a:r>
              <a:rPr lang="en-US" sz="1400" b="0" i="0" u="none" strike="noStrike" baseline="0">
                <a:effectLst/>
              </a:rPr>
              <a:t>Multilayer SMD</a:t>
            </a:r>
            <a:r>
              <a:rPr lang="en-US"/>
              <a:t>) - étude sur 6 PCN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92C-4249-AB4A-F29B92DD1DF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92C-4249-AB4A-F29B92DD1DF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92C-4249-AB4A-F29B92DD1DF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92C-4249-AB4A-F29B92DD1DF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92C-4249-AB4A-F29B92DD1DF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92C-4249-AB4A-F29B92DD1DF3}"/>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D92C-4249-AB4A-F29B92DD1DF3}"/>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D92C-4249-AB4A-F29B92DD1DF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'Multilayer smd'!$O$3:$O$10</c:f>
              <c:strCache>
                <c:ptCount val="8"/>
                <c:pt idx="0">
                  <c:v>Indisponibilité/Obsolescence des matières premières</c:v>
                </c:pt>
                <c:pt idx="1">
                  <c:v>Nouvelle technologie</c:v>
                </c:pt>
                <c:pt idx="2">
                  <c:v>Fermeture d'un site de production</c:v>
                </c:pt>
                <c:pt idx="3">
                  <c:v>Arrêt de production</c:v>
                </c:pt>
                <c:pt idx="4">
                  <c:v>Obsolescence d'une technologie</c:v>
                </c:pt>
                <c:pt idx="5">
                  <c:v>Standardisation</c:v>
                </c:pt>
                <c:pt idx="6">
                  <c:v>Faible demande</c:v>
                </c:pt>
                <c:pt idx="7">
                  <c:v>Qualité</c:v>
                </c:pt>
              </c:strCache>
            </c:strRef>
          </c:cat>
          <c:val>
            <c:numRef>
              <c:f>'Multilayer smd'!$P$3:$P$10</c:f>
              <c:numCache>
                <c:formatCode>General</c:formatCode>
                <c:ptCount val="8"/>
                <c:pt idx="0">
                  <c:v>0</c:v>
                </c:pt>
                <c:pt idx="1">
                  <c:v>0</c:v>
                </c:pt>
                <c:pt idx="2">
                  <c:v>0</c:v>
                </c:pt>
                <c:pt idx="3">
                  <c:v>6</c:v>
                </c:pt>
                <c:pt idx="4">
                  <c:v>0</c:v>
                </c:pt>
                <c:pt idx="5">
                  <c:v>0</c:v>
                </c:pt>
                <c:pt idx="6">
                  <c:v>0</c:v>
                </c:pt>
                <c:pt idx="7">
                  <c:v>0</c:v>
                </c:pt>
              </c:numCache>
            </c:numRef>
          </c:val>
          <c:extLst>
            <c:ext xmlns:c16="http://schemas.microsoft.com/office/drawing/2014/chart" uri="{C3380CC4-5D6E-409C-BE32-E72D297353CC}">
              <c16:uniqueId val="{00000010-D92C-4249-AB4A-F29B92DD1DF3}"/>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RESPONSABLES de l'obsolescence d'un composant (VISHAY </a:t>
            </a:r>
            <a:r>
              <a:rPr lang="en-US" sz="1400" b="0" i="0" u="none" strike="noStrike" baseline="0">
                <a:effectLst/>
              </a:rPr>
              <a:t>Multilayer SMD</a:t>
            </a:r>
            <a:r>
              <a:rPr lang="en-US"/>
              <a:t>) - étude sur 6 PCN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C17-4637-8B38-FD862C9950C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C17-4637-8B38-FD862C9950C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C17-4637-8B38-FD862C9950C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C17-4637-8B38-FD862C9950C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'Multilayer smd'!$O$14:$O$17</c:f>
              <c:strCache>
                <c:ptCount val="4"/>
                <c:pt idx="0">
                  <c:v>Entreprise</c:v>
                </c:pt>
                <c:pt idx="1">
                  <c:v>Client</c:v>
                </c:pt>
                <c:pt idx="2">
                  <c:v>Technologie</c:v>
                </c:pt>
                <c:pt idx="3">
                  <c:v>Fournisseur</c:v>
                </c:pt>
              </c:strCache>
            </c:strRef>
          </c:cat>
          <c:val>
            <c:numRef>
              <c:f>'Multilayer smd'!$P$14:$P$17</c:f>
              <c:numCache>
                <c:formatCode>General</c:formatCode>
                <c:ptCount val="4"/>
                <c:pt idx="0">
                  <c:v>6</c:v>
                </c:pt>
                <c:pt idx="1">
                  <c:v>0</c:v>
                </c:pt>
                <c:pt idx="2">
                  <c:v>0</c:v>
                </c:pt>
                <c:pt idx="3">
                  <c:v>0</c:v>
                </c:pt>
              </c:numCache>
            </c:numRef>
          </c:val>
          <c:extLst>
            <c:ext xmlns:c16="http://schemas.microsoft.com/office/drawing/2014/chart" uri="{C3380CC4-5D6E-409C-BE32-E72D297353CC}">
              <c16:uniqueId val="{00000008-4C17-4637-8B38-FD862C9950C6}"/>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Diagramme représentant le délais (en mois) entre la publication du PDN et la dernière date pour commander (VISHAY Multilayer SMD) - Etude sur 6 PCN</a:t>
            </a:r>
            <a:endParaRPr lang="fr-FR">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cat>
            <c:strRef>
              <c:f>'Multilayer smd'!$R$3:$R$7</c:f>
              <c:strCache>
                <c:ptCount val="5"/>
                <c:pt idx="0">
                  <c:v>1 à 3</c:v>
                </c:pt>
                <c:pt idx="1">
                  <c:v>4 à 6</c:v>
                </c:pt>
                <c:pt idx="2">
                  <c:v>7 à  9</c:v>
                </c:pt>
                <c:pt idx="3">
                  <c:v>10 à 12</c:v>
                </c:pt>
                <c:pt idx="4">
                  <c:v>12 ou +</c:v>
                </c:pt>
              </c:strCache>
            </c:strRef>
          </c:cat>
          <c:val>
            <c:numRef>
              <c:f>'Multilayer smd'!$T$3:$T$7</c:f>
              <c:numCache>
                <c:formatCode>General</c:formatCode>
                <c:ptCount val="5"/>
                <c:pt idx="0">
                  <c:v>0</c:v>
                </c:pt>
                <c:pt idx="1">
                  <c:v>5</c:v>
                </c:pt>
                <c:pt idx="2">
                  <c:v>1</c:v>
                </c:pt>
                <c:pt idx="3">
                  <c:v>0</c:v>
                </c:pt>
                <c:pt idx="4">
                  <c:v>0</c:v>
                </c:pt>
              </c:numCache>
            </c:numRef>
          </c:val>
          <c:extLst>
            <c:ext xmlns:c16="http://schemas.microsoft.com/office/drawing/2014/chart" uri="{C3380CC4-5D6E-409C-BE32-E72D297353CC}">
              <c16:uniqueId val="{00000000-FD71-4E0B-890F-FBB2C12C57DB}"/>
            </c:ext>
          </c:extLst>
        </c:ser>
        <c:dLbls>
          <c:showLegendKey val="0"/>
          <c:showVal val="0"/>
          <c:showCatName val="0"/>
          <c:showSerName val="0"/>
          <c:showPercent val="0"/>
          <c:showBubbleSize val="0"/>
        </c:dLbls>
        <c:gapWidth val="219"/>
        <c:overlap val="-27"/>
        <c:axId val="2038007744"/>
        <c:axId val="2038008576"/>
      </c:barChart>
      <c:catAx>
        <c:axId val="2038007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38008576"/>
        <c:crosses val="autoZero"/>
        <c:auto val="1"/>
        <c:lblAlgn val="ctr"/>
        <c:lblOffset val="100"/>
        <c:noMultiLvlLbl val="0"/>
      </c:catAx>
      <c:valAx>
        <c:axId val="2038008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380077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RESPONSABLES de l'obsolescence d'un composant (VISHAY Optoelectronics) - étude sur 109 PCN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91C-4BCA-89F4-95C10D052AC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91C-4BCA-89F4-95C10D052AC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91C-4BCA-89F4-95C10D052AC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91C-4BCA-89F4-95C10D052ACD}"/>
              </c:ext>
            </c:extLst>
          </c:dPt>
          <c:cat>
            <c:strRef>
              <c:f>Optoelectronics!$O$14:$O$17</c:f>
              <c:strCache>
                <c:ptCount val="4"/>
                <c:pt idx="0">
                  <c:v>Entreprise</c:v>
                </c:pt>
                <c:pt idx="1">
                  <c:v>Client</c:v>
                </c:pt>
                <c:pt idx="2">
                  <c:v>Technologie</c:v>
                </c:pt>
                <c:pt idx="3">
                  <c:v>Fournisseur</c:v>
                </c:pt>
              </c:strCache>
            </c:strRef>
          </c:cat>
          <c:val>
            <c:numRef>
              <c:f>Optoelectronics!$P$14:$P$17</c:f>
              <c:numCache>
                <c:formatCode>General</c:formatCode>
                <c:ptCount val="4"/>
                <c:pt idx="0">
                  <c:v>31</c:v>
                </c:pt>
                <c:pt idx="1">
                  <c:v>58</c:v>
                </c:pt>
                <c:pt idx="2">
                  <c:v>3</c:v>
                </c:pt>
                <c:pt idx="3">
                  <c:v>17</c:v>
                </c:pt>
              </c:numCache>
            </c:numRef>
          </c:val>
          <c:extLst>
            <c:ext xmlns:c16="http://schemas.microsoft.com/office/drawing/2014/chart" uri="{C3380CC4-5D6E-409C-BE32-E72D297353CC}">
              <c16:uniqueId val="{00000001-614E-4C9C-98AF-C171EB9E23C5}"/>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raisons de l'obsolescence d'un composant (VISHAY Optoelectronics) - étude sur 109 PCN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BAA-4784-A110-56A2384109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BAA-4784-A110-56A2384109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BAA-4784-A110-56A2384109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BAA-4784-A110-56A2384109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BAA-4784-A110-56A2384109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BAA-4784-A110-56A2384109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DBAA-4784-A110-56A2384109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DBAA-4784-A110-56A2384109A1}"/>
              </c:ext>
            </c:extLst>
          </c:dPt>
          <c:cat>
            <c:strRef>
              <c:f>Optoelectronics!$O$3:$O$10</c:f>
              <c:strCache>
                <c:ptCount val="8"/>
                <c:pt idx="0">
                  <c:v>Indisponibilité/Obsolescence des matières premières</c:v>
                </c:pt>
                <c:pt idx="1">
                  <c:v>Nouvelle technologie</c:v>
                </c:pt>
                <c:pt idx="2">
                  <c:v>Fermeture d'un site de production</c:v>
                </c:pt>
                <c:pt idx="3">
                  <c:v>Arrêt de production</c:v>
                </c:pt>
                <c:pt idx="4">
                  <c:v>Obsolescence d'une technologie</c:v>
                </c:pt>
                <c:pt idx="5">
                  <c:v>Standardisation</c:v>
                </c:pt>
                <c:pt idx="6">
                  <c:v>Faible demande</c:v>
                </c:pt>
                <c:pt idx="7">
                  <c:v>Qualité</c:v>
                </c:pt>
              </c:strCache>
            </c:strRef>
          </c:cat>
          <c:val>
            <c:numRef>
              <c:f>Optoelectronics!$P$3:$P$10</c:f>
              <c:numCache>
                <c:formatCode>General</c:formatCode>
                <c:ptCount val="8"/>
                <c:pt idx="0">
                  <c:v>17</c:v>
                </c:pt>
                <c:pt idx="1">
                  <c:v>0</c:v>
                </c:pt>
                <c:pt idx="2">
                  <c:v>0</c:v>
                </c:pt>
                <c:pt idx="3">
                  <c:v>6</c:v>
                </c:pt>
                <c:pt idx="4">
                  <c:v>8</c:v>
                </c:pt>
                <c:pt idx="5">
                  <c:v>20</c:v>
                </c:pt>
                <c:pt idx="6">
                  <c:v>58</c:v>
                </c:pt>
                <c:pt idx="7">
                  <c:v>0</c:v>
                </c:pt>
              </c:numCache>
            </c:numRef>
          </c:val>
          <c:extLst>
            <c:ext xmlns:c16="http://schemas.microsoft.com/office/drawing/2014/chart" uri="{C3380CC4-5D6E-409C-BE32-E72D297353CC}">
              <c16:uniqueId val="{00000010-DBAA-4784-A110-56A2384109A1}"/>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 délais (en mois) entre la publication du PDN et la dernière date pour commander (VISHAY OPTOELECTRONICS) - Etude sur 50 PCN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cat>
            <c:strRef>
              <c:f>Optoelectronics!$R$3:$R$7</c:f>
              <c:strCache>
                <c:ptCount val="5"/>
                <c:pt idx="0">
                  <c:v>1 à 3</c:v>
                </c:pt>
                <c:pt idx="1">
                  <c:v>4 à 6</c:v>
                </c:pt>
                <c:pt idx="2">
                  <c:v>7 à  9</c:v>
                </c:pt>
                <c:pt idx="3">
                  <c:v>10 à 12</c:v>
                </c:pt>
                <c:pt idx="4">
                  <c:v>12 ou +</c:v>
                </c:pt>
              </c:strCache>
            </c:strRef>
          </c:cat>
          <c:val>
            <c:numRef>
              <c:f>Optoelectronics!$T$3:$T$7</c:f>
              <c:numCache>
                <c:formatCode>General</c:formatCode>
                <c:ptCount val="5"/>
                <c:pt idx="0">
                  <c:v>21</c:v>
                </c:pt>
                <c:pt idx="1">
                  <c:v>26</c:v>
                </c:pt>
                <c:pt idx="2">
                  <c:v>2</c:v>
                </c:pt>
                <c:pt idx="3">
                  <c:v>1</c:v>
                </c:pt>
                <c:pt idx="4">
                  <c:v>0</c:v>
                </c:pt>
              </c:numCache>
            </c:numRef>
          </c:val>
          <c:extLst>
            <c:ext xmlns:c16="http://schemas.microsoft.com/office/drawing/2014/chart" uri="{C3380CC4-5D6E-409C-BE32-E72D297353CC}">
              <c16:uniqueId val="{00000001-DD50-4EF4-820F-C3491A33411F}"/>
            </c:ext>
          </c:extLst>
        </c:ser>
        <c:dLbls>
          <c:showLegendKey val="0"/>
          <c:showVal val="0"/>
          <c:showCatName val="0"/>
          <c:showSerName val="0"/>
          <c:showPercent val="0"/>
          <c:showBubbleSize val="0"/>
        </c:dLbls>
        <c:gapWidth val="219"/>
        <c:overlap val="-27"/>
        <c:axId val="1891187384"/>
        <c:axId val="1893839384"/>
      </c:barChart>
      <c:catAx>
        <c:axId val="1891187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93839384"/>
        <c:crosses val="autoZero"/>
        <c:auto val="1"/>
        <c:lblAlgn val="ctr"/>
        <c:lblOffset val="100"/>
        <c:noMultiLvlLbl val="0"/>
      </c:catAx>
      <c:valAx>
        <c:axId val="1893839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911873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raisons de l'obsolescence d'un composant (VISHAY Résistance) - étude sur 82 PCN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E03-48D2-A3F4-F717A2EFB3F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E03-48D2-A3F4-F717A2EFB3F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E03-48D2-A3F4-F717A2EFB3F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E03-48D2-A3F4-F717A2EFB3F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E03-48D2-A3F4-F717A2EFB3F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8E03-48D2-A3F4-F717A2EFB3F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8E03-48D2-A3F4-F717A2EFB3F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Résistance!$U$7:$U$13</c:f>
              <c:strCache>
                <c:ptCount val="7"/>
                <c:pt idx="0">
                  <c:v>Indisponibilité/Obsolescence des matières premières</c:v>
                </c:pt>
                <c:pt idx="1">
                  <c:v>Nouvelle technologie</c:v>
                </c:pt>
                <c:pt idx="2">
                  <c:v>Fermeture d'un site de production</c:v>
                </c:pt>
                <c:pt idx="3">
                  <c:v>Arrêt de production</c:v>
                </c:pt>
                <c:pt idx="4">
                  <c:v>Obsolescence d'une technologie</c:v>
                </c:pt>
                <c:pt idx="5">
                  <c:v>Standardisation</c:v>
                </c:pt>
                <c:pt idx="6">
                  <c:v>Faible demande</c:v>
                </c:pt>
              </c:strCache>
            </c:strRef>
          </c:cat>
          <c:val>
            <c:numRef>
              <c:f>Résistance!$V$7:$V$13</c:f>
              <c:numCache>
                <c:formatCode>General</c:formatCode>
                <c:ptCount val="7"/>
                <c:pt idx="0">
                  <c:v>2</c:v>
                </c:pt>
                <c:pt idx="1">
                  <c:v>10</c:v>
                </c:pt>
                <c:pt idx="2">
                  <c:v>0</c:v>
                </c:pt>
                <c:pt idx="3">
                  <c:v>4</c:v>
                </c:pt>
                <c:pt idx="4">
                  <c:v>6</c:v>
                </c:pt>
                <c:pt idx="5">
                  <c:v>6</c:v>
                </c:pt>
                <c:pt idx="6">
                  <c:v>54</c:v>
                </c:pt>
              </c:numCache>
            </c:numRef>
          </c:val>
          <c:extLst>
            <c:ext xmlns:c16="http://schemas.microsoft.com/office/drawing/2014/chart" uri="{C3380CC4-5D6E-409C-BE32-E72D297353CC}">
              <c16:uniqueId val="{00000000-DADF-400F-810C-81EF17C4B699}"/>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 délais (en mois) entre la publication du PDN et la dernière date pour commander (VISHAY RESISTANCE) - Etude sur 75 PCN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v>VISHAY Résistance</c:v>
          </c:tx>
          <c:spPr>
            <a:solidFill>
              <a:schemeClr val="accent1"/>
            </a:solidFill>
            <a:ln>
              <a:noFill/>
            </a:ln>
            <a:effectLst/>
          </c:spPr>
          <c:invertIfNegative val="0"/>
          <c:cat>
            <c:strRef>
              <c:f>Résistance!$X$7:$X$11</c:f>
              <c:strCache>
                <c:ptCount val="5"/>
                <c:pt idx="0">
                  <c:v>1 à 3</c:v>
                </c:pt>
                <c:pt idx="1">
                  <c:v>4 à 6</c:v>
                </c:pt>
                <c:pt idx="2">
                  <c:v>7 à  9</c:v>
                </c:pt>
                <c:pt idx="3">
                  <c:v>10 à 12</c:v>
                </c:pt>
                <c:pt idx="4">
                  <c:v>12 ou +</c:v>
                </c:pt>
              </c:strCache>
            </c:strRef>
          </c:cat>
          <c:val>
            <c:numRef>
              <c:f>Résistance!$Z$7:$Z$11</c:f>
              <c:numCache>
                <c:formatCode>General</c:formatCode>
                <c:ptCount val="5"/>
                <c:pt idx="0">
                  <c:v>18</c:v>
                </c:pt>
                <c:pt idx="1">
                  <c:v>48</c:v>
                </c:pt>
                <c:pt idx="2">
                  <c:v>6</c:v>
                </c:pt>
                <c:pt idx="3">
                  <c:v>1</c:v>
                </c:pt>
                <c:pt idx="4">
                  <c:v>2</c:v>
                </c:pt>
              </c:numCache>
            </c:numRef>
          </c:val>
          <c:extLst>
            <c:ext xmlns:c16="http://schemas.microsoft.com/office/drawing/2014/chart" uri="{C3380CC4-5D6E-409C-BE32-E72D297353CC}">
              <c16:uniqueId val="{00000001-B9C7-46EA-AE4D-561A303E6FB2}"/>
            </c:ext>
          </c:extLst>
        </c:ser>
        <c:dLbls>
          <c:showLegendKey val="0"/>
          <c:showVal val="0"/>
          <c:showCatName val="0"/>
          <c:showSerName val="0"/>
          <c:showPercent val="0"/>
          <c:showBubbleSize val="0"/>
        </c:dLbls>
        <c:gapWidth val="219"/>
        <c:overlap val="-27"/>
        <c:axId val="1558988743"/>
        <c:axId val="117420344"/>
      </c:barChart>
      <c:catAx>
        <c:axId val="15589887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17420344"/>
        <c:crosses val="autoZero"/>
        <c:auto val="1"/>
        <c:lblAlgn val="ctr"/>
        <c:lblOffset val="100"/>
        <c:noMultiLvlLbl val="0"/>
      </c:catAx>
      <c:valAx>
        <c:axId val="1174203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58988743"/>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 délais (en années) entre la publication du PDN et la dernière date pour commander (VISHAY RESISTANCE) - Etude sur 75 PCN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v>VISHAY Résistance</c:v>
          </c:tx>
          <c:spPr>
            <a:solidFill>
              <a:schemeClr val="accent1"/>
            </a:solidFill>
            <a:ln>
              <a:noFill/>
            </a:ln>
            <a:effectLst/>
          </c:spPr>
          <c:invertIfNegative val="0"/>
          <c:cat>
            <c:strRef>
              <c:f>Résistance!$X$17:$X$24</c:f>
              <c:strCache>
                <c:ptCount val="8"/>
                <c:pt idx="0">
                  <c:v>0 à 0,2</c:v>
                </c:pt>
                <c:pt idx="1">
                  <c:v>0,2 à 0,4</c:v>
                </c:pt>
                <c:pt idx="2">
                  <c:v>0,4 à 0,6</c:v>
                </c:pt>
                <c:pt idx="3">
                  <c:v>0,6 à 0,8</c:v>
                </c:pt>
                <c:pt idx="4">
                  <c:v>0,8 à 1,0</c:v>
                </c:pt>
                <c:pt idx="5">
                  <c:v>1,0 à 1,2</c:v>
                </c:pt>
                <c:pt idx="6">
                  <c:v>1,2 à 1,4</c:v>
                </c:pt>
                <c:pt idx="7">
                  <c:v>1,4 ou + (1,5 max)</c:v>
                </c:pt>
              </c:strCache>
            </c:strRef>
          </c:cat>
          <c:val>
            <c:numRef>
              <c:f>Résistance!$Z$17:$Z$24</c:f>
              <c:numCache>
                <c:formatCode>General</c:formatCode>
                <c:ptCount val="8"/>
                <c:pt idx="0">
                  <c:v>14</c:v>
                </c:pt>
                <c:pt idx="1">
                  <c:v>9</c:v>
                </c:pt>
                <c:pt idx="2">
                  <c:v>49</c:v>
                </c:pt>
                <c:pt idx="3">
                  <c:v>0</c:v>
                </c:pt>
                <c:pt idx="4">
                  <c:v>0</c:v>
                </c:pt>
                <c:pt idx="5">
                  <c:v>2</c:v>
                </c:pt>
                <c:pt idx="6">
                  <c:v>0</c:v>
                </c:pt>
                <c:pt idx="7">
                  <c:v>1</c:v>
                </c:pt>
              </c:numCache>
            </c:numRef>
          </c:val>
          <c:extLst>
            <c:ext xmlns:c16="http://schemas.microsoft.com/office/drawing/2014/chart" uri="{C3380CC4-5D6E-409C-BE32-E72D297353CC}">
              <c16:uniqueId val="{00000000-8755-4876-926A-46A98E431616}"/>
            </c:ext>
          </c:extLst>
        </c:ser>
        <c:dLbls>
          <c:showLegendKey val="0"/>
          <c:showVal val="0"/>
          <c:showCatName val="0"/>
          <c:showSerName val="0"/>
          <c:showPercent val="0"/>
          <c:showBubbleSize val="0"/>
        </c:dLbls>
        <c:gapWidth val="219"/>
        <c:overlap val="-27"/>
        <c:axId val="1558988743"/>
        <c:axId val="117420344"/>
      </c:barChart>
      <c:catAx>
        <c:axId val="15589887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17420344"/>
        <c:crosses val="autoZero"/>
        <c:auto val="1"/>
        <c:lblAlgn val="ctr"/>
        <c:lblOffset val="100"/>
        <c:noMultiLvlLbl val="0"/>
      </c:catAx>
      <c:valAx>
        <c:axId val="1174203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58988743"/>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RESPONSABLES de l'obsolescence d'un composant (VISHAY Résistance) - étude sur 82 PCN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004-4B00-8134-CAD70A0B194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004-4B00-8134-CAD70A0B194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004-4B00-8134-CAD70A0B194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1CE-4CC9-9307-DB612074925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Résistance!$U$17:$U$20</c:f>
              <c:strCache>
                <c:ptCount val="4"/>
                <c:pt idx="0">
                  <c:v>Entreprise</c:v>
                </c:pt>
                <c:pt idx="1">
                  <c:v>Client</c:v>
                </c:pt>
                <c:pt idx="2">
                  <c:v>Technologie</c:v>
                </c:pt>
                <c:pt idx="3">
                  <c:v>Fournisseur</c:v>
                </c:pt>
              </c:strCache>
            </c:strRef>
          </c:cat>
          <c:val>
            <c:numRef>
              <c:f>Résistance!$V$17:$V$20</c:f>
              <c:numCache>
                <c:formatCode>General</c:formatCode>
                <c:ptCount val="4"/>
                <c:pt idx="0">
                  <c:v>10</c:v>
                </c:pt>
                <c:pt idx="1">
                  <c:v>54</c:v>
                </c:pt>
                <c:pt idx="2">
                  <c:v>16</c:v>
                </c:pt>
                <c:pt idx="3">
                  <c:v>2</c:v>
                </c:pt>
              </c:numCache>
            </c:numRef>
          </c:val>
          <c:extLst>
            <c:ext xmlns:c16="http://schemas.microsoft.com/office/drawing/2014/chart" uri="{C3380CC4-5D6E-409C-BE32-E72D297353CC}">
              <c16:uniqueId val="{00000000-DADF-400F-810C-81EF17C4B699}"/>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raisons de l'obsolescence d'un composant (VISHAY Transistor) - étude sur 63 PCN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0B-4275-A3BF-06AC54C3353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0B-4275-A3BF-06AC54C3353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0B-4275-A3BF-06AC54C3353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0B-4275-A3BF-06AC54C3353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20B-4275-A3BF-06AC54C3353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20B-4275-A3BF-06AC54C33530}"/>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20B-4275-A3BF-06AC54C3353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Transistor!$V$8:$V$14</c:f>
              <c:strCache>
                <c:ptCount val="7"/>
                <c:pt idx="0">
                  <c:v>Indisponibilité/Obsolescence des matières premières</c:v>
                </c:pt>
                <c:pt idx="1">
                  <c:v>Nouvelle technologie</c:v>
                </c:pt>
                <c:pt idx="2">
                  <c:v>Fermeture d'un site de production</c:v>
                </c:pt>
                <c:pt idx="3">
                  <c:v>Arrêt de production</c:v>
                </c:pt>
                <c:pt idx="4">
                  <c:v>Obsolescence d'une technologie</c:v>
                </c:pt>
                <c:pt idx="5">
                  <c:v>Standardisation</c:v>
                </c:pt>
                <c:pt idx="6">
                  <c:v>Faible demande</c:v>
                </c:pt>
              </c:strCache>
            </c:strRef>
          </c:cat>
          <c:val>
            <c:numRef>
              <c:f>Transistor!$W$8:$W$14</c:f>
              <c:numCache>
                <c:formatCode>General</c:formatCode>
                <c:ptCount val="7"/>
                <c:pt idx="0">
                  <c:v>0</c:v>
                </c:pt>
                <c:pt idx="1">
                  <c:v>20</c:v>
                </c:pt>
                <c:pt idx="2">
                  <c:v>24</c:v>
                </c:pt>
                <c:pt idx="3">
                  <c:v>7</c:v>
                </c:pt>
                <c:pt idx="4">
                  <c:v>6</c:v>
                </c:pt>
                <c:pt idx="5">
                  <c:v>6</c:v>
                </c:pt>
                <c:pt idx="6">
                  <c:v>0</c:v>
                </c:pt>
              </c:numCache>
            </c:numRef>
          </c:val>
          <c:extLst>
            <c:ext xmlns:c16="http://schemas.microsoft.com/office/drawing/2014/chart" uri="{C3380CC4-5D6E-409C-BE32-E72D297353CC}">
              <c16:uniqueId val="{00000000-AB4B-4BA3-8395-03B1B01505C3}"/>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 délais (en mois) entre la publication du PDN et la dernière date pour commander (VISHAY TRANSISTOR) - Etude sur 59 PCN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v>VISHAY Transistor</c:v>
          </c:tx>
          <c:spPr>
            <a:solidFill>
              <a:schemeClr val="accent1"/>
            </a:solidFill>
            <a:ln>
              <a:noFill/>
            </a:ln>
            <a:effectLst/>
          </c:spPr>
          <c:invertIfNegative val="0"/>
          <c:cat>
            <c:strRef>
              <c:f>Transistor!$Y$8:$Y$12</c:f>
              <c:strCache>
                <c:ptCount val="5"/>
                <c:pt idx="0">
                  <c:v>1 à 3</c:v>
                </c:pt>
                <c:pt idx="1">
                  <c:v>4 à 6</c:v>
                </c:pt>
                <c:pt idx="2">
                  <c:v>7 à  9</c:v>
                </c:pt>
                <c:pt idx="3">
                  <c:v>10 à 12</c:v>
                </c:pt>
                <c:pt idx="4">
                  <c:v>12 ou +</c:v>
                </c:pt>
              </c:strCache>
            </c:strRef>
          </c:cat>
          <c:val>
            <c:numRef>
              <c:f>Transistor!$AA$8:$AA$12</c:f>
              <c:numCache>
                <c:formatCode>General</c:formatCode>
                <c:ptCount val="5"/>
                <c:pt idx="0">
                  <c:v>5</c:v>
                </c:pt>
                <c:pt idx="1">
                  <c:v>37</c:v>
                </c:pt>
                <c:pt idx="2">
                  <c:v>12</c:v>
                </c:pt>
                <c:pt idx="3">
                  <c:v>4</c:v>
                </c:pt>
                <c:pt idx="4">
                  <c:v>1</c:v>
                </c:pt>
              </c:numCache>
            </c:numRef>
          </c:val>
          <c:extLst>
            <c:ext xmlns:c16="http://schemas.microsoft.com/office/drawing/2014/chart" uri="{C3380CC4-5D6E-409C-BE32-E72D297353CC}">
              <c16:uniqueId val="{00000001-4AB3-4FE8-8CBB-CD4EF3F6D536}"/>
            </c:ext>
          </c:extLst>
        </c:ser>
        <c:dLbls>
          <c:showLegendKey val="0"/>
          <c:showVal val="0"/>
          <c:showCatName val="0"/>
          <c:showSerName val="0"/>
          <c:showPercent val="0"/>
          <c:showBubbleSize val="0"/>
        </c:dLbls>
        <c:gapWidth val="219"/>
        <c:overlap val="-27"/>
        <c:axId val="292198119"/>
        <c:axId val="971259895"/>
      </c:barChart>
      <c:catAx>
        <c:axId val="292198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71259895"/>
        <c:crosses val="autoZero"/>
        <c:auto val="1"/>
        <c:lblAlgn val="ctr"/>
        <c:lblOffset val="100"/>
        <c:noMultiLvlLbl val="0"/>
      </c:catAx>
      <c:valAx>
        <c:axId val="9712598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21981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l'estimation de la durée de vie (en mois) entre la date de dernière commande et la date de la fiche technique (VISHAY TRANSISTOR) - Etude sur 31 PCN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v>VISHAY Transistor</c:v>
          </c:tx>
          <c:spPr>
            <a:solidFill>
              <a:schemeClr val="accent1"/>
            </a:solidFill>
            <a:ln>
              <a:noFill/>
            </a:ln>
            <a:effectLst/>
          </c:spPr>
          <c:invertIfNegative val="0"/>
          <c:cat>
            <c:strRef>
              <c:f>Transistor!$AF$8:$AF$14</c:f>
              <c:strCache>
                <c:ptCount val="7"/>
                <c:pt idx="0">
                  <c:v>1 à 20</c:v>
                </c:pt>
                <c:pt idx="1">
                  <c:v>20 à 40</c:v>
                </c:pt>
                <c:pt idx="2">
                  <c:v>40 à 60</c:v>
                </c:pt>
                <c:pt idx="3">
                  <c:v>60 à 80</c:v>
                </c:pt>
                <c:pt idx="4">
                  <c:v>80 à 100</c:v>
                </c:pt>
                <c:pt idx="5">
                  <c:v>100 à 120</c:v>
                </c:pt>
                <c:pt idx="6">
                  <c:v>120 ou +</c:v>
                </c:pt>
              </c:strCache>
            </c:strRef>
          </c:cat>
          <c:val>
            <c:numRef>
              <c:f>Transistor!$AH$8:$AH$14</c:f>
              <c:numCache>
                <c:formatCode>General</c:formatCode>
                <c:ptCount val="7"/>
                <c:pt idx="0">
                  <c:v>3</c:v>
                </c:pt>
                <c:pt idx="1">
                  <c:v>11</c:v>
                </c:pt>
                <c:pt idx="2">
                  <c:v>6</c:v>
                </c:pt>
                <c:pt idx="3">
                  <c:v>2</c:v>
                </c:pt>
                <c:pt idx="4">
                  <c:v>6</c:v>
                </c:pt>
                <c:pt idx="5">
                  <c:v>3</c:v>
                </c:pt>
                <c:pt idx="6">
                  <c:v>0</c:v>
                </c:pt>
              </c:numCache>
            </c:numRef>
          </c:val>
          <c:extLst>
            <c:ext xmlns:c16="http://schemas.microsoft.com/office/drawing/2014/chart" uri="{C3380CC4-5D6E-409C-BE32-E72D297353CC}">
              <c16:uniqueId val="{00000001-88E0-4447-A278-886B3E327F1C}"/>
            </c:ext>
          </c:extLst>
        </c:ser>
        <c:dLbls>
          <c:showLegendKey val="0"/>
          <c:showVal val="0"/>
          <c:showCatName val="0"/>
          <c:showSerName val="0"/>
          <c:showPercent val="0"/>
          <c:showBubbleSize val="0"/>
        </c:dLbls>
        <c:gapWidth val="219"/>
        <c:overlap val="-27"/>
        <c:axId val="292180647"/>
        <c:axId val="971368759"/>
      </c:barChart>
      <c:catAx>
        <c:axId val="292180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71368759"/>
        <c:crosses val="autoZero"/>
        <c:auto val="1"/>
        <c:lblAlgn val="ctr"/>
        <c:lblOffset val="100"/>
        <c:noMultiLvlLbl val="0"/>
      </c:catAx>
      <c:valAx>
        <c:axId val="9713687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21806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l'estimation de la durée de vie (en années) entre la date de dernière commande et la date de la fiche technique (VISHAY TRANSISTOR) - Etude sur 34 PCN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v>VISHAY Transistor</c:v>
          </c:tx>
          <c:spPr>
            <a:solidFill>
              <a:schemeClr val="accent1"/>
            </a:solidFill>
            <a:ln>
              <a:noFill/>
            </a:ln>
            <a:effectLst/>
          </c:spPr>
          <c:invertIfNegative val="0"/>
          <c:cat>
            <c:strRef>
              <c:f>Transistor!$AF$19:$AF$24</c:f>
              <c:strCache>
                <c:ptCount val="6"/>
                <c:pt idx="0">
                  <c:v>0 à 2</c:v>
                </c:pt>
                <c:pt idx="1">
                  <c:v>2 à 4</c:v>
                </c:pt>
                <c:pt idx="2">
                  <c:v>4 à 6</c:v>
                </c:pt>
                <c:pt idx="3">
                  <c:v>6 à 8</c:v>
                </c:pt>
                <c:pt idx="4">
                  <c:v>8 à 10 </c:v>
                </c:pt>
                <c:pt idx="5">
                  <c:v>10 et + (max 11)</c:v>
                </c:pt>
              </c:strCache>
            </c:strRef>
          </c:cat>
          <c:val>
            <c:numRef>
              <c:f>Transistor!$AH$19:$AH$24</c:f>
              <c:numCache>
                <c:formatCode>General</c:formatCode>
                <c:ptCount val="6"/>
                <c:pt idx="0">
                  <c:v>5</c:v>
                </c:pt>
                <c:pt idx="1">
                  <c:v>15</c:v>
                </c:pt>
                <c:pt idx="2">
                  <c:v>0</c:v>
                </c:pt>
                <c:pt idx="3">
                  <c:v>8</c:v>
                </c:pt>
                <c:pt idx="4">
                  <c:v>3</c:v>
                </c:pt>
                <c:pt idx="5">
                  <c:v>3</c:v>
                </c:pt>
              </c:numCache>
            </c:numRef>
          </c:val>
          <c:extLst>
            <c:ext xmlns:c16="http://schemas.microsoft.com/office/drawing/2014/chart" uri="{C3380CC4-5D6E-409C-BE32-E72D297353CC}">
              <c16:uniqueId val="{00000000-A381-4458-A895-546068629616}"/>
            </c:ext>
          </c:extLst>
        </c:ser>
        <c:dLbls>
          <c:showLegendKey val="0"/>
          <c:showVal val="0"/>
          <c:showCatName val="0"/>
          <c:showSerName val="0"/>
          <c:showPercent val="0"/>
          <c:showBubbleSize val="0"/>
        </c:dLbls>
        <c:gapWidth val="219"/>
        <c:overlap val="-27"/>
        <c:axId val="292180647"/>
        <c:axId val="971368759"/>
      </c:barChart>
      <c:catAx>
        <c:axId val="292180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71368759"/>
        <c:crosses val="autoZero"/>
        <c:auto val="1"/>
        <c:lblAlgn val="ctr"/>
        <c:lblOffset val="100"/>
        <c:noMultiLvlLbl val="0"/>
      </c:catAx>
      <c:valAx>
        <c:axId val="9713687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21806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 délais (en années) entre la publication du PDN et la dernière date pour commander (VISHAY TRANSISTOR) - Etude sur 59 PCN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v>VISHAY Transistor</c:v>
          </c:tx>
          <c:spPr>
            <a:solidFill>
              <a:schemeClr val="accent1"/>
            </a:solidFill>
            <a:ln>
              <a:noFill/>
            </a:ln>
            <a:effectLst/>
          </c:spPr>
          <c:invertIfNegative val="0"/>
          <c:cat>
            <c:strRef>
              <c:f>Transistor!$Y$17:$Y$24</c:f>
              <c:strCache>
                <c:ptCount val="8"/>
                <c:pt idx="0">
                  <c:v>0 à 0,2</c:v>
                </c:pt>
                <c:pt idx="1">
                  <c:v>0,2 à 0,4</c:v>
                </c:pt>
                <c:pt idx="2">
                  <c:v>0,4 à 0,6</c:v>
                </c:pt>
                <c:pt idx="3">
                  <c:v>0,6 à 0,8</c:v>
                </c:pt>
                <c:pt idx="4">
                  <c:v>0,8 à 1,0</c:v>
                </c:pt>
                <c:pt idx="5">
                  <c:v>1,0 à 1,2</c:v>
                </c:pt>
                <c:pt idx="6">
                  <c:v>1,2 à 1,4</c:v>
                </c:pt>
                <c:pt idx="7">
                  <c:v>1,4 ou + (1,5 max)</c:v>
                </c:pt>
              </c:strCache>
            </c:strRef>
          </c:cat>
          <c:val>
            <c:numRef>
              <c:f>Transistor!$AA$17:$AA$24</c:f>
              <c:numCache>
                <c:formatCode>General</c:formatCode>
                <c:ptCount val="8"/>
                <c:pt idx="0">
                  <c:v>3</c:v>
                </c:pt>
                <c:pt idx="1">
                  <c:v>4</c:v>
                </c:pt>
                <c:pt idx="2">
                  <c:v>39</c:v>
                </c:pt>
                <c:pt idx="3">
                  <c:v>8</c:v>
                </c:pt>
                <c:pt idx="4">
                  <c:v>2</c:v>
                </c:pt>
                <c:pt idx="5">
                  <c:v>2</c:v>
                </c:pt>
                <c:pt idx="6">
                  <c:v>0</c:v>
                </c:pt>
                <c:pt idx="7">
                  <c:v>1</c:v>
                </c:pt>
              </c:numCache>
            </c:numRef>
          </c:val>
          <c:extLst>
            <c:ext xmlns:c16="http://schemas.microsoft.com/office/drawing/2014/chart" uri="{C3380CC4-5D6E-409C-BE32-E72D297353CC}">
              <c16:uniqueId val="{00000000-A879-45B7-8439-2F59E92343DA}"/>
            </c:ext>
          </c:extLst>
        </c:ser>
        <c:dLbls>
          <c:showLegendKey val="0"/>
          <c:showVal val="0"/>
          <c:showCatName val="0"/>
          <c:showSerName val="0"/>
          <c:showPercent val="0"/>
          <c:showBubbleSize val="0"/>
        </c:dLbls>
        <c:gapWidth val="219"/>
        <c:overlap val="-27"/>
        <c:axId val="292198119"/>
        <c:axId val="971259895"/>
      </c:barChart>
      <c:catAx>
        <c:axId val="292198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71259895"/>
        <c:crosses val="autoZero"/>
        <c:auto val="1"/>
        <c:lblAlgn val="ctr"/>
        <c:lblOffset val="100"/>
        <c:noMultiLvlLbl val="0"/>
      </c:catAx>
      <c:valAx>
        <c:axId val="9712598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21981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Diagramme représentant les RESPONSABLES de l'obsolescence d'un composant (VISHAY Transistor) - étude sur 63 PCN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05C-4B43-8C71-4B7449A628B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05C-4B43-8C71-4B7449A628B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05C-4B43-8C71-4B7449A628B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FFD-4037-861A-F274132B089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Transistor!$V$18:$V$21</c:f>
              <c:strCache>
                <c:ptCount val="4"/>
                <c:pt idx="0">
                  <c:v>Entreprise</c:v>
                </c:pt>
                <c:pt idx="1">
                  <c:v>Client</c:v>
                </c:pt>
                <c:pt idx="2">
                  <c:v>Technologie</c:v>
                </c:pt>
                <c:pt idx="3">
                  <c:v>Fournisseur</c:v>
                </c:pt>
              </c:strCache>
            </c:strRef>
          </c:cat>
          <c:val>
            <c:numRef>
              <c:f>Transistor!$W$18:$W$21</c:f>
              <c:numCache>
                <c:formatCode>General</c:formatCode>
                <c:ptCount val="4"/>
                <c:pt idx="0">
                  <c:v>36</c:v>
                </c:pt>
                <c:pt idx="1">
                  <c:v>0</c:v>
                </c:pt>
                <c:pt idx="2">
                  <c:v>27</c:v>
                </c:pt>
                <c:pt idx="3">
                  <c:v>0</c:v>
                </c:pt>
              </c:numCache>
            </c:numRef>
          </c:val>
          <c:extLst>
            <c:ext xmlns:c16="http://schemas.microsoft.com/office/drawing/2014/chart" uri="{C3380CC4-5D6E-409C-BE32-E72D297353CC}">
              <c16:uniqueId val="{0000000E-405C-4B43-8C71-4B7449A628BD}"/>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title pos="t" align="ctr" overlay="0">
      <cx:tx>
        <cx:rich>
          <a:bodyPr spcFirstLastPara="1" vertOverflow="ellipsis" wrap="square" lIns="0" tIns="0" rIns="0" bIns="0" anchor="ctr" anchorCtr="1"/>
          <a:lstStyle/>
          <a:p>
            <a:pPr algn="ctr">
              <a:defRPr/>
            </a:pPr>
            <a:r>
              <a:rPr lang="fr-FR"/>
              <a:t>Main Causes of supply interruption</a:t>
            </a:r>
          </a:p>
        </cx:rich>
      </cx:tx>
    </cx:title>
    <cx:plotArea>
      <cx:plotAreaRegion>
        <cx:series layoutId="treemap" uniqueId="{21BCD216-6E72-4FE6-9E00-1C19342A2B5B}">
          <cx:dataLabels pos="ctr">
            <cx:visibility seriesName="0" categoryName="1" value="0"/>
          </cx:dataLabels>
          <cx:dataId val="0"/>
          <cx:layoutPr>
            <cx:parentLabelLayout val="overlapping"/>
          </cx:layoutPr>
        </cx:series>
      </cx:plotAreaRegion>
    </cx:plotArea>
  </cx:chart>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30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fillRef idx="0">
      <cs:styleClr val="auto"/>
    </cs:fillRef>
    <cs:effectRef idx="0"/>
    <cs:fontRef idx="minor">
      <a:schemeClr val="tx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7.xml><?xml version="1.0" encoding="utf-8"?>
<cs:chartStyle xmlns:cs="http://schemas.microsoft.com/office/drawing/2012/chartStyle" xmlns:a="http://schemas.openxmlformats.org/drawingml/2006/main" id="416">
  <cs:axisTitle>
    <cs:lnRef idx="0"/>
    <cs:fillRef idx="0"/>
    <cs:effectRef idx="0"/>
    <cs:fontRef idx="minor">
      <a:schemeClr val="tx1">
        <a:lumMod val="65000"/>
        <a:lumOff val="35000"/>
      </a:schemeClr>
    </cs:fontRef>
    <cs:spPr>
      <a:solidFill>
        <a:schemeClr val="bg1">
          <a:lumMod val="65000"/>
        </a:schemeClr>
      </a:solidFill>
      <a:ln>
        <a:solidFill>
          <a:schemeClr val="bg1"/>
        </a:solidFill>
      </a:ln>
    </cs:spPr>
    <cs:defRPr sz="900"/>
  </cs:axisTitle>
  <cs:categoryAxis>
    <cs:lnRef idx="0"/>
    <cs:fillRef idx="0"/>
    <cs:effectRef idx="0"/>
    <cs:fontRef idx="minor">
      <a:schemeClr val="tx1">
        <a:lumMod val="65000"/>
        <a:lumOff val="35000"/>
      </a:schemeClr>
    </cs:fontRef>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bg1"/>
    </cs:fontRef>
    <cs:defRPr sz="1000" b="1" i="0" u="none" strike="noStrike" kern="1200" spc="0" baseline="0"/>
    <cs:bodyPr lIns="38100" tIns="19050" rIns="38100" bIns="19050">
      <a:spAutoFit/>
    </cs:bodyPr>
  </cs:dataLabel>
  <cs:dataLabelCallout>
    <cs:lnRef idx="0">
      <cs:styleClr val="auto"/>
    </cs:lnRef>
    <cs:fillRef idx="0"/>
    <cs:effectRef idx="0"/>
    <cs:fontRef idx="minor">
      <a:schemeClr val="tx1">
        <a:lumMod val="65000"/>
        <a:lumOff val="35000"/>
      </a:schemeClr>
    </cs:fontRef>
    <cs:spPr>
      <a:solidFill>
        <a:schemeClr val="lt1"/>
      </a:solidFill>
      <a:ln>
        <a:solidFill>
          <a:schemeClr val="ph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ln>
        <a:solidFill>
          <a:schemeClr val="bg1"/>
        </a:solidFill>
      </a:ln>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65000"/>
        <a:lumOff val="35000"/>
      </a:schemeClr>
    </cs:fontRef>
    <cs:defRPr sz="900"/>
  </cs:dataTable>
  <cs:downBar>
    <cs:lnRef idx="0"/>
    <cs:fillRef idx="0"/>
    <cs:effectRef idx="0"/>
    <cs:fontRef idx="minor">
      <a:schemeClr val="tx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lumOff val="10000"/>
          </a:schemeClr>
        </a:solidFill>
        <a:round/>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tx1"/>
    </cs:fontRef>
    <cs:spPr>
      <a:solidFill>
        <a:schemeClr val="lt1"/>
      </a:solidFill>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8" Type="http://schemas.openxmlformats.org/officeDocument/2006/relationships/chart" Target="../charts/chart8.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6.xml"/><Relationship Id="rId1" Type="http://schemas.openxmlformats.org/officeDocument/2006/relationships/chart" Target="../charts/chart35.xml"/></Relationships>
</file>

<file path=xl/drawings/_rels/drawing3.xml.rels><?xml version="1.0" encoding="UTF-8" standalone="yes"?>
<Relationships xmlns="http://schemas.openxmlformats.org/package/2006/relationships"><Relationship Id="rId3" Type="http://schemas.openxmlformats.org/officeDocument/2006/relationships/chart" Target="../charts/chart39.xml"/><Relationship Id="rId2" Type="http://schemas.openxmlformats.org/officeDocument/2006/relationships/chart" Target="../charts/chart38.xml"/><Relationship Id="rId1" Type="http://schemas.openxmlformats.org/officeDocument/2006/relationships/chart" Target="../charts/chart3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42.xml"/><Relationship Id="rId2" Type="http://schemas.openxmlformats.org/officeDocument/2006/relationships/chart" Target="../charts/chart41.xml"/><Relationship Id="rId1" Type="http://schemas.openxmlformats.org/officeDocument/2006/relationships/chart" Target="../charts/chart40.xml"/><Relationship Id="rId6" Type="http://schemas.openxmlformats.org/officeDocument/2006/relationships/chart" Target="../charts/chart45.xml"/><Relationship Id="rId5" Type="http://schemas.openxmlformats.org/officeDocument/2006/relationships/chart" Target="../charts/chart44.xml"/><Relationship Id="rId4" Type="http://schemas.openxmlformats.org/officeDocument/2006/relationships/chart" Target="../charts/chart4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chart" Target="../charts/chart4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7.xml.rels><?xml version="1.0" encoding="UTF-8" standalone="yes"?>
<Relationships xmlns="http://schemas.openxmlformats.org/package/2006/relationships"><Relationship Id="rId2" Type="http://schemas.openxmlformats.org/officeDocument/2006/relationships/chart" Target="../charts/chart51.xml"/><Relationship Id="rId1" Type="http://schemas.openxmlformats.org/officeDocument/2006/relationships/chart" Target="../charts/chart50.xml"/></Relationships>
</file>

<file path=xl/drawings/_rels/drawing8.xml.rels><?xml version="1.0" encoding="UTF-8" standalone="yes"?>
<Relationships xmlns="http://schemas.openxmlformats.org/package/2006/relationships"><Relationship Id="rId3" Type="http://schemas.openxmlformats.org/officeDocument/2006/relationships/chart" Target="../charts/chart54.xml"/><Relationship Id="rId2" Type="http://schemas.openxmlformats.org/officeDocument/2006/relationships/chart" Target="../charts/chart53.xml"/><Relationship Id="rId1" Type="http://schemas.openxmlformats.org/officeDocument/2006/relationships/chart" Target="../charts/chart52.xml"/></Relationships>
</file>

<file path=xl/drawings/_rels/drawing9.xml.rels><?xml version="1.0" encoding="UTF-8" standalone="yes"?>
<Relationships xmlns="http://schemas.openxmlformats.org/package/2006/relationships"><Relationship Id="rId3" Type="http://schemas.openxmlformats.org/officeDocument/2006/relationships/chart" Target="../charts/chart57.xml"/><Relationship Id="rId2" Type="http://schemas.openxmlformats.org/officeDocument/2006/relationships/chart" Target="../charts/chart56.xml"/><Relationship Id="rId1" Type="http://schemas.openxmlformats.org/officeDocument/2006/relationships/chart" Target="../charts/chart55.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60.xml"/><Relationship Id="rId2" Type="http://schemas.openxmlformats.org/officeDocument/2006/relationships/chart" Target="../charts/chart59.xml"/><Relationship Id="rId1" Type="http://schemas.openxmlformats.org/officeDocument/2006/relationships/chart" Target="../charts/chart58.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63.xml"/><Relationship Id="rId2" Type="http://schemas.openxmlformats.org/officeDocument/2006/relationships/chart" Target="../charts/chart62.xml"/><Relationship Id="rId1" Type="http://schemas.openxmlformats.org/officeDocument/2006/relationships/chart" Target="../charts/chart61.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66.xml"/><Relationship Id="rId2" Type="http://schemas.openxmlformats.org/officeDocument/2006/relationships/chart" Target="../charts/chart65.xml"/><Relationship Id="rId1" Type="http://schemas.openxmlformats.org/officeDocument/2006/relationships/chart" Target="../charts/chart64.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69.xml"/><Relationship Id="rId2" Type="http://schemas.openxmlformats.org/officeDocument/2006/relationships/chart" Target="../charts/chart68.xml"/><Relationship Id="rId1" Type="http://schemas.openxmlformats.org/officeDocument/2006/relationships/chart" Target="../charts/chart67.xml"/><Relationship Id="rId4" Type="http://schemas.openxmlformats.org/officeDocument/2006/relationships/chart" Target="../charts/chart70.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73.xml"/><Relationship Id="rId2" Type="http://schemas.openxmlformats.org/officeDocument/2006/relationships/chart" Target="../charts/chart72.xml"/><Relationship Id="rId1" Type="http://schemas.openxmlformats.org/officeDocument/2006/relationships/chart" Target="../charts/chart71.xml"/><Relationship Id="rId6" Type="http://schemas.openxmlformats.org/officeDocument/2006/relationships/chart" Target="../charts/chart76.xml"/><Relationship Id="rId5" Type="http://schemas.openxmlformats.org/officeDocument/2006/relationships/chart" Target="../charts/chart75.xml"/><Relationship Id="rId4" Type="http://schemas.openxmlformats.org/officeDocument/2006/relationships/chart" Target="../charts/chart74.xml"/></Relationships>
</file>

<file path=xl/drawings/_rels/drawing15.xml.rels><?xml version="1.0" encoding="UTF-8" standalone="yes"?>
<Relationships xmlns="http://schemas.openxmlformats.org/package/2006/relationships"><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0</xdr:col>
      <xdr:colOff>304800</xdr:colOff>
      <xdr:row>1</xdr:row>
      <xdr:rowOff>76200</xdr:rowOff>
    </xdr:from>
    <xdr:to>
      <xdr:col>8</xdr:col>
      <xdr:colOff>351971</xdr:colOff>
      <xdr:row>21</xdr:row>
      <xdr:rowOff>174625</xdr:rowOff>
    </xdr:to>
    <xdr:graphicFrame macro="">
      <xdr:nvGraphicFramePr>
        <xdr:cNvPr id="2" name="Graphique 2">
          <a:extLst>
            <a:ext uri="{FF2B5EF4-FFF2-40B4-BE49-F238E27FC236}">
              <a16:creationId xmlns:a16="http://schemas.microsoft.com/office/drawing/2014/main" id="{EE96AC5F-D1A7-4131-854B-DE3979A500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308430</xdr:colOff>
      <xdr:row>23</xdr:row>
      <xdr:rowOff>179612</xdr:rowOff>
    </xdr:from>
    <xdr:to>
      <xdr:col>8</xdr:col>
      <xdr:colOff>308430</xdr:colOff>
      <xdr:row>44</xdr:row>
      <xdr:rowOff>12699</xdr:rowOff>
    </xdr:to>
    <xdr:graphicFrame macro="">
      <xdr:nvGraphicFramePr>
        <xdr:cNvPr id="3" name="Graphique 2">
          <a:extLst>
            <a:ext uri="{FF2B5EF4-FFF2-40B4-BE49-F238E27FC236}">
              <a16:creationId xmlns:a16="http://schemas.microsoft.com/office/drawing/2014/main" id="{2F251D47-618C-44A6-BE8D-DC7612630AD9}"/>
            </a:ext>
            <a:ext uri="{147F2762-F138-4A5C-976F-8EAC2B608ADB}">
              <a16:predDERef xmlns:a16="http://schemas.microsoft.com/office/drawing/2014/main" pred="{DEBE1B8E-AE46-4EB6-A74F-03031745B4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368300</xdr:colOff>
      <xdr:row>1</xdr:row>
      <xdr:rowOff>88900</xdr:rowOff>
    </xdr:from>
    <xdr:to>
      <xdr:col>17</xdr:col>
      <xdr:colOff>393700</xdr:colOff>
      <xdr:row>22</xdr:row>
      <xdr:rowOff>12700</xdr:rowOff>
    </xdr:to>
    <xdr:graphicFrame macro="">
      <xdr:nvGraphicFramePr>
        <xdr:cNvPr id="4" name="Graphique 1">
          <a:extLst>
            <a:ext uri="{FF2B5EF4-FFF2-40B4-BE49-F238E27FC236}">
              <a16:creationId xmlns:a16="http://schemas.microsoft.com/office/drawing/2014/main" id="{BD080FD7-29D2-48A3-A011-A1FA25C36E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342900</xdr:colOff>
      <xdr:row>24</xdr:row>
      <xdr:rowOff>12700</xdr:rowOff>
    </xdr:from>
    <xdr:to>
      <xdr:col>17</xdr:col>
      <xdr:colOff>381000</xdr:colOff>
      <xdr:row>44</xdr:row>
      <xdr:rowOff>0</xdr:rowOff>
    </xdr:to>
    <xdr:graphicFrame macro="">
      <xdr:nvGraphicFramePr>
        <xdr:cNvPr id="6" name="Graphique 5">
          <a:extLst>
            <a:ext uri="{FF2B5EF4-FFF2-40B4-BE49-F238E27FC236}">
              <a16:creationId xmlns:a16="http://schemas.microsoft.com/office/drawing/2014/main" id="{1B871B83-1844-4E6C-9933-4C1C306F1603}"/>
            </a:ext>
            <a:ext uri="{147F2762-F138-4A5C-976F-8EAC2B608ADB}">
              <a16:predDERef xmlns:a16="http://schemas.microsoft.com/office/drawing/2014/main" pred="{5317BB0A-14F4-4911-A6E0-E3A8A07CF9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254000</xdr:colOff>
      <xdr:row>1</xdr:row>
      <xdr:rowOff>88900</xdr:rowOff>
    </xdr:from>
    <xdr:to>
      <xdr:col>26</xdr:col>
      <xdr:colOff>431800</xdr:colOff>
      <xdr:row>22</xdr:row>
      <xdr:rowOff>25400</xdr:rowOff>
    </xdr:to>
    <xdr:graphicFrame macro="">
      <xdr:nvGraphicFramePr>
        <xdr:cNvPr id="7" name="Graphique 6">
          <a:extLst>
            <a:ext uri="{FF2B5EF4-FFF2-40B4-BE49-F238E27FC236}">
              <a16:creationId xmlns:a16="http://schemas.microsoft.com/office/drawing/2014/main" id="{DA4FC75C-2D97-4A26-8A72-FF980A1C4C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304800</xdr:colOff>
      <xdr:row>24</xdr:row>
      <xdr:rowOff>12700</xdr:rowOff>
    </xdr:from>
    <xdr:to>
      <xdr:col>26</xdr:col>
      <xdr:colOff>444500</xdr:colOff>
      <xdr:row>43</xdr:row>
      <xdr:rowOff>177800</xdr:rowOff>
    </xdr:to>
    <xdr:graphicFrame macro="">
      <xdr:nvGraphicFramePr>
        <xdr:cNvPr id="8" name="Graphique 7">
          <a:extLst>
            <a:ext uri="{FF2B5EF4-FFF2-40B4-BE49-F238E27FC236}">
              <a16:creationId xmlns:a16="http://schemas.microsoft.com/office/drawing/2014/main" id="{68DA7A90-789D-4ECF-BB04-E9CABBFE279E}"/>
            </a:ext>
            <a:ext uri="{147F2762-F138-4A5C-976F-8EAC2B608ADB}">
              <a16:predDERef xmlns:a16="http://schemas.microsoft.com/office/drawing/2014/main" pred="{4D841742-D62D-4D92-9847-89682F4A3C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279400</xdr:colOff>
      <xdr:row>1</xdr:row>
      <xdr:rowOff>114300</xdr:rowOff>
    </xdr:from>
    <xdr:to>
      <xdr:col>35</xdr:col>
      <xdr:colOff>355600</xdr:colOff>
      <xdr:row>22</xdr:row>
      <xdr:rowOff>12700</xdr:rowOff>
    </xdr:to>
    <xdr:graphicFrame macro="">
      <xdr:nvGraphicFramePr>
        <xdr:cNvPr id="10" name="Graphique 8">
          <a:extLst>
            <a:ext uri="{FF2B5EF4-FFF2-40B4-BE49-F238E27FC236}">
              <a16:creationId xmlns:a16="http://schemas.microsoft.com/office/drawing/2014/main" id="{13A6EED9-0CCE-4C5E-97BA-52FBA88F06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301624</xdr:colOff>
      <xdr:row>23</xdr:row>
      <xdr:rowOff>180975</xdr:rowOff>
    </xdr:from>
    <xdr:to>
      <xdr:col>35</xdr:col>
      <xdr:colOff>368299</xdr:colOff>
      <xdr:row>43</xdr:row>
      <xdr:rowOff>177800</xdr:rowOff>
    </xdr:to>
    <xdr:graphicFrame macro="">
      <xdr:nvGraphicFramePr>
        <xdr:cNvPr id="11" name="Graphique 8">
          <a:extLst>
            <a:ext uri="{FF2B5EF4-FFF2-40B4-BE49-F238E27FC236}">
              <a16:creationId xmlns:a16="http://schemas.microsoft.com/office/drawing/2014/main" id="{778E8A74-C8B7-44C6-9CAC-32349B92F476}"/>
            </a:ext>
            <a:ext uri="{147F2762-F138-4A5C-976F-8EAC2B608ADB}">
              <a16:predDERef xmlns:a16="http://schemas.microsoft.com/office/drawing/2014/main" pred="{BA0F9931-F2CE-4251-BB4D-33B68FAD4C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36</xdr:col>
      <xdr:colOff>355601</xdr:colOff>
      <xdr:row>1</xdr:row>
      <xdr:rowOff>139701</xdr:rowOff>
    </xdr:from>
    <xdr:to>
      <xdr:col>44</xdr:col>
      <xdr:colOff>406401</xdr:colOff>
      <xdr:row>22</xdr:row>
      <xdr:rowOff>12701</xdr:rowOff>
    </xdr:to>
    <xdr:graphicFrame macro="">
      <xdr:nvGraphicFramePr>
        <xdr:cNvPr id="12" name="Graphique 11">
          <a:extLst>
            <a:ext uri="{FF2B5EF4-FFF2-40B4-BE49-F238E27FC236}">
              <a16:creationId xmlns:a16="http://schemas.microsoft.com/office/drawing/2014/main" id="{005B2F21-7EE5-457E-8CE0-7C6230EBBB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36</xdr:col>
      <xdr:colOff>368300</xdr:colOff>
      <xdr:row>24</xdr:row>
      <xdr:rowOff>0</xdr:rowOff>
    </xdr:from>
    <xdr:to>
      <xdr:col>44</xdr:col>
      <xdr:colOff>381000</xdr:colOff>
      <xdr:row>43</xdr:row>
      <xdr:rowOff>177800</xdr:rowOff>
    </xdr:to>
    <xdr:graphicFrame macro="">
      <xdr:nvGraphicFramePr>
        <xdr:cNvPr id="13" name="Graphique 12">
          <a:extLst>
            <a:ext uri="{FF2B5EF4-FFF2-40B4-BE49-F238E27FC236}">
              <a16:creationId xmlns:a16="http://schemas.microsoft.com/office/drawing/2014/main" id="{E6389E8E-9F72-49F1-A4E1-66CA6DF84AFB}"/>
            </a:ext>
            <a:ext uri="{147F2762-F138-4A5C-976F-8EAC2B608ADB}">
              <a16:predDERef xmlns:a16="http://schemas.microsoft.com/office/drawing/2014/main" pred="{4D841742-D62D-4D92-9847-89682F4A3C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45</xdr:col>
      <xdr:colOff>266701</xdr:colOff>
      <xdr:row>1</xdr:row>
      <xdr:rowOff>127000</xdr:rowOff>
    </xdr:from>
    <xdr:to>
      <xdr:col>53</xdr:col>
      <xdr:colOff>444501</xdr:colOff>
      <xdr:row>22</xdr:row>
      <xdr:rowOff>0</xdr:rowOff>
    </xdr:to>
    <xdr:graphicFrame macro="">
      <xdr:nvGraphicFramePr>
        <xdr:cNvPr id="14" name="Graphique 13">
          <a:extLst>
            <a:ext uri="{FF2B5EF4-FFF2-40B4-BE49-F238E27FC236}">
              <a16:creationId xmlns:a16="http://schemas.microsoft.com/office/drawing/2014/main" id="{04BE4C3E-B55C-437A-ADE1-C4D12789935D}"/>
            </a:ext>
            <a:ext uri="{147F2762-F138-4A5C-976F-8EAC2B608ADB}">
              <a16:predDERef xmlns:a16="http://schemas.microsoft.com/office/drawing/2014/main" pred="{0ABC553D-F91B-48A1-81FF-93FF1F70E6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45</xdr:col>
      <xdr:colOff>279401</xdr:colOff>
      <xdr:row>24</xdr:row>
      <xdr:rowOff>15874</xdr:rowOff>
    </xdr:from>
    <xdr:to>
      <xdr:col>53</xdr:col>
      <xdr:colOff>406401</xdr:colOff>
      <xdr:row>44</xdr:row>
      <xdr:rowOff>12699</xdr:rowOff>
    </xdr:to>
    <xdr:graphicFrame macro="">
      <xdr:nvGraphicFramePr>
        <xdr:cNvPr id="29" name="Graphique 14">
          <a:extLst>
            <a:ext uri="{FF2B5EF4-FFF2-40B4-BE49-F238E27FC236}">
              <a16:creationId xmlns:a16="http://schemas.microsoft.com/office/drawing/2014/main" id="{6A9FF6A2-9F2E-4BE6-A38F-062B84073337}"/>
            </a:ext>
            <a:ext uri="{147F2762-F138-4A5C-976F-8EAC2B608ADB}">
              <a16:predDERef xmlns:a16="http://schemas.microsoft.com/office/drawing/2014/main" pred="{DCA06E54-0BD6-4403-B70B-92F1165229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54</xdr:col>
      <xdr:colOff>234950</xdr:colOff>
      <xdr:row>1</xdr:row>
      <xdr:rowOff>126999</xdr:rowOff>
    </xdr:from>
    <xdr:to>
      <xdr:col>62</xdr:col>
      <xdr:colOff>393700</xdr:colOff>
      <xdr:row>22</xdr:row>
      <xdr:rowOff>12700</xdr:rowOff>
    </xdr:to>
    <xdr:graphicFrame macro="">
      <xdr:nvGraphicFramePr>
        <xdr:cNvPr id="16" name="Graphique 15">
          <a:extLst>
            <a:ext uri="{FF2B5EF4-FFF2-40B4-BE49-F238E27FC236}">
              <a16:creationId xmlns:a16="http://schemas.microsoft.com/office/drawing/2014/main" id="{D1C463B3-7B68-4F2A-915C-8D17198AB3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54</xdr:col>
      <xdr:colOff>250824</xdr:colOff>
      <xdr:row>24</xdr:row>
      <xdr:rowOff>12701</xdr:rowOff>
    </xdr:from>
    <xdr:to>
      <xdr:col>62</xdr:col>
      <xdr:colOff>431799</xdr:colOff>
      <xdr:row>43</xdr:row>
      <xdr:rowOff>165101</xdr:rowOff>
    </xdr:to>
    <xdr:graphicFrame macro="">
      <xdr:nvGraphicFramePr>
        <xdr:cNvPr id="17" name="Graphique 16">
          <a:extLst>
            <a:ext uri="{FF2B5EF4-FFF2-40B4-BE49-F238E27FC236}">
              <a16:creationId xmlns:a16="http://schemas.microsoft.com/office/drawing/2014/main" id="{98F4BD9B-451A-433D-B4CE-26AC54C2AA04}"/>
            </a:ext>
            <a:ext uri="{147F2762-F138-4A5C-976F-8EAC2B608ADB}">
              <a16:predDERef xmlns:a16="http://schemas.microsoft.com/office/drawing/2014/main" pred="{4D841742-D62D-4D92-9847-89682F4A3C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63</xdr:col>
      <xdr:colOff>320675</xdr:colOff>
      <xdr:row>1</xdr:row>
      <xdr:rowOff>142875</xdr:rowOff>
    </xdr:from>
    <xdr:to>
      <xdr:col>71</xdr:col>
      <xdr:colOff>393700</xdr:colOff>
      <xdr:row>22</xdr:row>
      <xdr:rowOff>12700</xdr:rowOff>
    </xdr:to>
    <xdr:graphicFrame macro="">
      <xdr:nvGraphicFramePr>
        <xdr:cNvPr id="18" name="Graphique 17">
          <a:extLst>
            <a:ext uri="{FF2B5EF4-FFF2-40B4-BE49-F238E27FC236}">
              <a16:creationId xmlns:a16="http://schemas.microsoft.com/office/drawing/2014/main" id="{C73E737B-A733-4840-8E3D-65FAF62815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63</xdr:col>
      <xdr:colOff>355600</xdr:colOff>
      <xdr:row>24</xdr:row>
      <xdr:rowOff>0</xdr:rowOff>
    </xdr:from>
    <xdr:to>
      <xdr:col>71</xdr:col>
      <xdr:colOff>406400</xdr:colOff>
      <xdr:row>44</xdr:row>
      <xdr:rowOff>12700</xdr:rowOff>
    </xdr:to>
    <xdr:graphicFrame macro="">
      <xdr:nvGraphicFramePr>
        <xdr:cNvPr id="28" name="Graphique 18">
          <a:extLst>
            <a:ext uri="{FF2B5EF4-FFF2-40B4-BE49-F238E27FC236}">
              <a16:creationId xmlns:a16="http://schemas.microsoft.com/office/drawing/2014/main" id="{A6E81439-361C-4286-B20D-78527C97C11A}"/>
            </a:ext>
            <a:ext uri="{147F2762-F138-4A5C-976F-8EAC2B608ADB}">
              <a16:predDERef xmlns:a16="http://schemas.microsoft.com/office/drawing/2014/main" pred="{4D841742-D62D-4D92-9847-89682F4A3C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72</xdr:col>
      <xdr:colOff>317501</xdr:colOff>
      <xdr:row>1</xdr:row>
      <xdr:rowOff>127000</xdr:rowOff>
    </xdr:from>
    <xdr:to>
      <xdr:col>80</xdr:col>
      <xdr:colOff>393701</xdr:colOff>
      <xdr:row>22</xdr:row>
      <xdr:rowOff>-1</xdr:rowOff>
    </xdr:to>
    <xdr:graphicFrame macro="">
      <xdr:nvGraphicFramePr>
        <xdr:cNvPr id="20" name="Graphique 19">
          <a:extLst>
            <a:ext uri="{FF2B5EF4-FFF2-40B4-BE49-F238E27FC236}">
              <a16:creationId xmlns:a16="http://schemas.microsoft.com/office/drawing/2014/main" id="{8E483511-2F64-4E3A-8095-1B1402169F5C}"/>
            </a:ext>
            <a:ext uri="{147F2762-F138-4A5C-976F-8EAC2B608ADB}">
              <a16:predDERef xmlns:a16="http://schemas.microsoft.com/office/drawing/2014/main" pred="{0ABC553D-F91B-48A1-81FF-93FF1F70E6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72</xdr:col>
      <xdr:colOff>330201</xdr:colOff>
      <xdr:row>23</xdr:row>
      <xdr:rowOff>180974</xdr:rowOff>
    </xdr:from>
    <xdr:to>
      <xdr:col>80</xdr:col>
      <xdr:colOff>457200</xdr:colOff>
      <xdr:row>43</xdr:row>
      <xdr:rowOff>165099</xdr:rowOff>
    </xdr:to>
    <xdr:graphicFrame macro="">
      <xdr:nvGraphicFramePr>
        <xdr:cNvPr id="27" name="Graphique 20">
          <a:extLst>
            <a:ext uri="{FF2B5EF4-FFF2-40B4-BE49-F238E27FC236}">
              <a16:creationId xmlns:a16="http://schemas.microsoft.com/office/drawing/2014/main" id="{855FE289-BD9C-4ED6-984D-059F278AAD87}"/>
            </a:ext>
            <a:ext uri="{147F2762-F138-4A5C-976F-8EAC2B608ADB}">
              <a16:predDERef xmlns:a16="http://schemas.microsoft.com/office/drawing/2014/main" pred="{DCA06E54-0BD6-4403-B70B-92F1165229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81</xdr:col>
      <xdr:colOff>254000</xdr:colOff>
      <xdr:row>1</xdr:row>
      <xdr:rowOff>127001</xdr:rowOff>
    </xdr:from>
    <xdr:to>
      <xdr:col>89</xdr:col>
      <xdr:colOff>342900</xdr:colOff>
      <xdr:row>22</xdr:row>
      <xdr:rowOff>1</xdr:rowOff>
    </xdr:to>
    <xdr:graphicFrame macro="">
      <xdr:nvGraphicFramePr>
        <xdr:cNvPr id="22" name="Graphique 3">
          <a:extLst>
            <a:ext uri="{FF2B5EF4-FFF2-40B4-BE49-F238E27FC236}">
              <a16:creationId xmlns:a16="http://schemas.microsoft.com/office/drawing/2014/main" id="{E9D3AACB-5280-4EE1-8DA3-E98FD30F65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81</xdr:col>
      <xdr:colOff>266700</xdr:colOff>
      <xdr:row>24</xdr:row>
      <xdr:rowOff>1</xdr:rowOff>
    </xdr:from>
    <xdr:to>
      <xdr:col>89</xdr:col>
      <xdr:colOff>381000</xdr:colOff>
      <xdr:row>44</xdr:row>
      <xdr:rowOff>38101</xdr:rowOff>
    </xdr:to>
    <xdr:graphicFrame macro="">
      <xdr:nvGraphicFramePr>
        <xdr:cNvPr id="23" name="Graphique 3">
          <a:extLst>
            <a:ext uri="{FF2B5EF4-FFF2-40B4-BE49-F238E27FC236}">
              <a16:creationId xmlns:a16="http://schemas.microsoft.com/office/drawing/2014/main" id="{46832B92-FD08-430B-9177-73C6A3E6F248}"/>
            </a:ext>
            <a:ext uri="{147F2762-F138-4A5C-976F-8EAC2B608ADB}">
              <a16:predDERef xmlns:a16="http://schemas.microsoft.com/office/drawing/2014/main" pred="{5653FA6D-3570-4FB9-9704-83A300F9C9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90</xdr:col>
      <xdr:colOff>266700</xdr:colOff>
      <xdr:row>1</xdr:row>
      <xdr:rowOff>139701</xdr:rowOff>
    </xdr:from>
    <xdr:to>
      <xdr:col>98</xdr:col>
      <xdr:colOff>381000</xdr:colOff>
      <xdr:row>22</xdr:row>
      <xdr:rowOff>88901</xdr:rowOff>
    </xdr:to>
    <xdr:graphicFrame macro="">
      <xdr:nvGraphicFramePr>
        <xdr:cNvPr id="24" name="Graphique 15">
          <a:extLst>
            <a:ext uri="{FF2B5EF4-FFF2-40B4-BE49-F238E27FC236}">
              <a16:creationId xmlns:a16="http://schemas.microsoft.com/office/drawing/2014/main" id="{5F910155-0238-4856-84DE-2F9708C01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90</xdr:col>
      <xdr:colOff>317500</xdr:colOff>
      <xdr:row>24</xdr:row>
      <xdr:rowOff>12701</xdr:rowOff>
    </xdr:from>
    <xdr:to>
      <xdr:col>98</xdr:col>
      <xdr:colOff>355600</xdr:colOff>
      <xdr:row>44</xdr:row>
      <xdr:rowOff>1</xdr:rowOff>
    </xdr:to>
    <xdr:graphicFrame macro="">
      <xdr:nvGraphicFramePr>
        <xdr:cNvPr id="9" name="Graphique 15">
          <a:extLst>
            <a:ext uri="{FF2B5EF4-FFF2-40B4-BE49-F238E27FC236}">
              <a16:creationId xmlns:a16="http://schemas.microsoft.com/office/drawing/2014/main" id="{EA8A6196-EFBE-49BF-9CD8-78887F0B4577}"/>
            </a:ext>
            <a:ext uri="{147F2762-F138-4A5C-976F-8EAC2B608ADB}">
              <a16:predDERef xmlns:a16="http://schemas.microsoft.com/office/drawing/2014/main" pred="{C3D4AEF6-277B-4504-BE01-4D8476101D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9</xdr:col>
      <xdr:colOff>365125</xdr:colOff>
      <xdr:row>45</xdr:row>
      <xdr:rowOff>174625</xdr:rowOff>
    </xdr:from>
    <xdr:to>
      <xdr:col>17</xdr:col>
      <xdr:colOff>444500</xdr:colOff>
      <xdr:row>74</xdr:row>
      <xdr:rowOff>182245</xdr:rowOff>
    </xdr:to>
    <xdr:graphicFrame macro="">
      <xdr:nvGraphicFramePr>
        <xdr:cNvPr id="25" name="Graphique 4">
          <a:extLst>
            <a:ext uri="{FF2B5EF4-FFF2-40B4-BE49-F238E27FC236}">
              <a16:creationId xmlns:a16="http://schemas.microsoft.com/office/drawing/2014/main" id="{E6EBB5F3-EC30-4A71-A861-E00C5C8FA8B7}"/>
            </a:ext>
            <a:ext uri="{147F2762-F138-4A5C-976F-8EAC2B608ADB}">
              <a16:predDERef xmlns:a16="http://schemas.microsoft.com/office/drawing/2014/main" pred="{1562E01E-4E15-434A-9F9F-982C0755A6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27</xdr:col>
      <xdr:colOff>365125</xdr:colOff>
      <xdr:row>46</xdr:row>
      <xdr:rowOff>-1</xdr:rowOff>
    </xdr:from>
    <xdr:to>
      <xdr:col>35</xdr:col>
      <xdr:colOff>333375</xdr:colOff>
      <xdr:row>75</xdr:row>
      <xdr:rowOff>15874</xdr:rowOff>
    </xdr:to>
    <xdr:graphicFrame macro="">
      <xdr:nvGraphicFramePr>
        <xdr:cNvPr id="30" name="Graphique 2">
          <a:extLst>
            <a:ext uri="{FF2B5EF4-FFF2-40B4-BE49-F238E27FC236}">
              <a16:creationId xmlns:a16="http://schemas.microsoft.com/office/drawing/2014/main" id="{46A7B460-8A79-4CE2-A392-BC82D142E941}"/>
            </a:ext>
            <a:ext uri="{147F2762-F138-4A5C-976F-8EAC2B608ADB}">
              <a16:predDERef xmlns:a16="http://schemas.microsoft.com/office/drawing/2014/main" pred="{ABE39303-1EA5-48DA-860E-56ABEC4770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27</xdr:col>
      <xdr:colOff>412749</xdr:colOff>
      <xdr:row>77</xdr:row>
      <xdr:rowOff>-1</xdr:rowOff>
    </xdr:from>
    <xdr:to>
      <xdr:col>35</xdr:col>
      <xdr:colOff>333374</xdr:colOff>
      <xdr:row>101</xdr:row>
      <xdr:rowOff>158750</xdr:rowOff>
    </xdr:to>
    <xdr:graphicFrame macro="">
      <xdr:nvGraphicFramePr>
        <xdr:cNvPr id="31" name="Graphique 30">
          <a:extLst>
            <a:ext uri="{FF2B5EF4-FFF2-40B4-BE49-F238E27FC236}">
              <a16:creationId xmlns:a16="http://schemas.microsoft.com/office/drawing/2014/main" id="{896CD373-70D3-490B-96E8-C1A6FCB4C1DA}"/>
            </a:ext>
            <a:ext uri="{147F2762-F138-4A5C-976F-8EAC2B608ADB}">
              <a16:predDERef xmlns:a16="http://schemas.microsoft.com/office/drawing/2014/main" pred="{8AC71D21-5879-4FC3-80C6-C269842B3D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36</xdr:col>
      <xdr:colOff>428625</xdr:colOff>
      <xdr:row>46</xdr:row>
      <xdr:rowOff>0</xdr:rowOff>
    </xdr:from>
    <xdr:to>
      <xdr:col>44</xdr:col>
      <xdr:colOff>476250</xdr:colOff>
      <xdr:row>75</xdr:row>
      <xdr:rowOff>48260</xdr:rowOff>
    </xdr:to>
    <xdr:graphicFrame macro="">
      <xdr:nvGraphicFramePr>
        <xdr:cNvPr id="32" name="Graphique 31">
          <a:extLst>
            <a:ext uri="{FF2B5EF4-FFF2-40B4-BE49-F238E27FC236}">
              <a16:creationId xmlns:a16="http://schemas.microsoft.com/office/drawing/2014/main" id="{704E46B4-CB80-4408-9174-2203D9DDE4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45</xdr:col>
      <xdr:colOff>333376</xdr:colOff>
      <xdr:row>46</xdr:row>
      <xdr:rowOff>0</xdr:rowOff>
    </xdr:from>
    <xdr:to>
      <xdr:col>53</xdr:col>
      <xdr:colOff>428626</xdr:colOff>
      <xdr:row>75</xdr:row>
      <xdr:rowOff>0</xdr:rowOff>
    </xdr:to>
    <xdr:graphicFrame macro="">
      <xdr:nvGraphicFramePr>
        <xdr:cNvPr id="33" name="Graphique 32">
          <a:extLst>
            <a:ext uri="{FF2B5EF4-FFF2-40B4-BE49-F238E27FC236}">
              <a16:creationId xmlns:a16="http://schemas.microsoft.com/office/drawing/2014/main" id="{C7DAACE4-B650-475E-936A-751E322EC3F4}"/>
            </a:ext>
            <a:ext uri="{147F2762-F138-4A5C-976F-8EAC2B608ADB}">
              <a16:predDERef xmlns:a16="http://schemas.microsoft.com/office/drawing/2014/main" pred="{46689AEC-6CDD-49FD-A052-5E7A87EAE3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54</xdr:col>
      <xdr:colOff>317501</xdr:colOff>
      <xdr:row>46</xdr:row>
      <xdr:rowOff>0</xdr:rowOff>
    </xdr:from>
    <xdr:to>
      <xdr:col>62</xdr:col>
      <xdr:colOff>444501</xdr:colOff>
      <xdr:row>75</xdr:row>
      <xdr:rowOff>48260</xdr:rowOff>
    </xdr:to>
    <xdr:graphicFrame macro="">
      <xdr:nvGraphicFramePr>
        <xdr:cNvPr id="34" name="Graphique 33">
          <a:extLst>
            <a:ext uri="{FF2B5EF4-FFF2-40B4-BE49-F238E27FC236}">
              <a16:creationId xmlns:a16="http://schemas.microsoft.com/office/drawing/2014/main" id="{877DA6B3-E855-45E4-93BD-3A948D11FB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63</xdr:col>
      <xdr:colOff>396875</xdr:colOff>
      <xdr:row>46</xdr:row>
      <xdr:rowOff>0</xdr:rowOff>
    </xdr:from>
    <xdr:to>
      <xdr:col>71</xdr:col>
      <xdr:colOff>428625</xdr:colOff>
      <xdr:row>75</xdr:row>
      <xdr:rowOff>48260</xdr:rowOff>
    </xdr:to>
    <xdr:graphicFrame macro="">
      <xdr:nvGraphicFramePr>
        <xdr:cNvPr id="35" name="Graphique 34">
          <a:extLst>
            <a:ext uri="{FF2B5EF4-FFF2-40B4-BE49-F238E27FC236}">
              <a16:creationId xmlns:a16="http://schemas.microsoft.com/office/drawing/2014/main" id="{7BE057D0-939B-487C-A2CD-DB09BF5D2A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412750</xdr:colOff>
      <xdr:row>46</xdr:row>
      <xdr:rowOff>15875</xdr:rowOff>
    </xdr:from>
    <xdr:to>
      <xdr:col>80</xdr:col>
      <xdr:colOff>381000</xdr:colOff>
      <xdr:row>75</xdr:row>
      <xdr:rowOff>15875</xdr:rowOff>
    </xdr:to>
    <xdr:graphicFrame macro="">
      <xdr:nvGraphicFramePr>
        <xdr:cNvPr id="36" name="Graphique 35">
          <a:extLst>
            <a:ext uri="{FF2B5EF4-FFF2-40B4-BE49-F238E27FC236}">
              <a16:creationId xmlns:a16="http://schemas.microsoft.com/office/drawing/2014/main" id="{84D39E7A-7FD3-40A8-8A12-6B5D53CD16DC}"/>
            </a:ext>
            <a:ext uri="{147F2762-F138-4A5C-976F-8EAC2B608ADB}">
              <a16:predDERef xmlns:a16="http://schemas.microsoft.com/office/drawing/2014/main" pred="{46689AEC-6CDD-49FD-A052-5E7A87EAE3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81</xdr:col>
      <xdr:colOff>365124</xdr:colOff>
      <xdr:row>46</xdr:row>
      <xdr:rowOff>15874</xdr:rowOff>
    </xdr:from>
    <xdr:to>
      <xdr:col>89</xdr:col>
      <xdr:colOff>380999</xdr:colOff>
      <xdr:row>75</xdr:row>
      <xdr:rowOff>-1</xdr:rowOff>
    </xdr:to>
    <xdr:graphicFrame macro="">
      <xdr:nvGraphicFramePr>
        <xdr:cNvPr id="37" name="Graphique 36">
          <a:extLst>
            <a:ext uri="{FF2B5EF4-FFF2-40B4-BE49-F238E27FC236}">
              <a16:creationId xmlns:a16="http://schemas.microsoft.com/office/drawing/2014/main" id="{F10D4961-5774-4362-B00A-F663AE4E4123}"/>
            </a:ext>
            <a:ext uri="{147F2762-F138-4A5C-976F-8EAC2B608ADB}">
              <a16:predDERef xmlns:a16="http://schemas.microsoft.com/office/drawing/2014/main" pred="{1570A973-452B-4484-B085-CAD40FC896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90</xdr:col>
      <xdr:colOff>333375</xdr:colOff>
      <xdr:row>46</xdr:row>
      <xdr:rowOff>-1</xdr:rowOff>
    </xdr:from>
    <xdr:to>
      <xdr:col>98</xdr:col>
      <xdr:colOff>365125</xdr:colOff>
      <xdr:row>74</xdr:row>
      <xdr:rowOff>174624</xdr:rowOff>
    </xdr:to>
    <xdr:graphicFrame macro="">
      <xdr:nvGraphicFramePr>
        <xdr:cNvPr id="38" name="Graphique 37">
          <a:extLst>
            <a:ext uri="{FF2B5EF4-FFF2-40B4-BE49-F238E27FC236}">
              <a16:creationId xmlns:a16="http://schemas.microsoft.com/office/drawing/2014/main" id="{A127ABA5-6135-423C-B544-922025FAA066}"/>
            </a:ext>
            <a:ext uri="{147F2762-F138-4A5C-976F-8EAC2B608ADB}">
              <a16:predDERef xmlns:a16="http://schemas.microsoft.com/office/drawing/2014/main" pred="{BB822557-E7CB-4F9B-8346-6A8C0D04B3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90</xdr:col>
      <xdr:colOff>365125</xdr:colOff>
      <xdr:row>77</xdr:row>
      <xdr:rowOff>15874</xdr:rowOff>
    </xdr:from>
    <xdr:to>
      <xdr:col>98</xdr:col>
      <xdr:colOff>365125</xdr:colOff>
      <xdr:row>105</xdr:row>
      <xdr:rowOff>47625</xdr:rowOff>
    </xdr:to>
    <xdr:graphicFrame macro="">
      <xdr:nvGraphicFramePr>
        <xdr:cNvPr id="39" name="Graphique 4">
          <a:extLst>
            <a:ext uri="{FF2B5EF4-FFF2-40B4-BE49-F238E27FC236}">
              <a16:creationId xmlns:a16="http://schemas.microsoft.com/office/drawing/2014/main" id="{7A278C38-D4BA-48F2-A62C-0BE96E805D96}"/>
            </a:ext>
            <a:ext uri="{147F2762-F138-4A5C-976F-8EAC2B608ADB}">
              <a16:predDERef xmlns:a16="http://schemas.microsoft.com/office/drawing/2014/main" pred="{86268F21-C5CF-4E1E-8B81-093D529A41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18</xdr:col>
      <xdr:colOff>396875</xdr:colOff>
      <xdr:row>46</xdr:row>
      <xdr:rowOff>15875</xdr:rowOff>
    </xdr:from>
    <xdr:to>
      <xdr:col>26</xdr:col>
      <xdr:colOff>428625</xdr:colOff>
      <xdr:row>75</xdr:row>
      <xdr:rowOff>23495</xdr:rowOff>
    </xdr:to>
    <xdr:graphicFrame macro="">
      <xdr:nvGraphicFramePr>
        <xdr:cNvPr id="41" name="Graphique 4">
          <a:extLst>
            <a:ext uri="{FF2B5EF4-FFF2-40B4-BE49-F238E27FC236}">
              <a16:creationId xmlns:a16="http://schemas.microsoft.com/office/drawing/2014/main" id="{9BB68EAC-3570-4384-B274-AF701091AED0}"/>
            </a:ext>
            <a:ext uri="{147F2762-F138-4A5C-976F-8EAC2B608ADB}">
              <a16:predDERef xmlns:a16="http://schemas.microsoft.com/office/drawing/2014/main" pred="{1562E01E-4E15-434A-9F9F-982C0755A6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16</xdr:col>
      <xdr:colOff>3238500</xdr:colOff>
      <xdr:row>4</xdr:row>
      <xdr:rowOff>95250</xdr:rowOff>
    </xdr:from>
    <xdr:to>
      <xdr:col>18</xdr:col>
      <xdr:colOff>1209675</xdr:colOff>
      <xdr:row>19</xdr:row>
      <xdr:rowOff>66675</xdr:rowOff>
    </xdr:to>
    <xdr:graphicFrame macro="">
      <xdr:nvGraphicFramePr>
        <xdr:cNvPr id="20" name="Graphique 2">
          <a:extLst>
            <a:ext uri="{FF2B5EF4-FFF2-40B4-BE49-F238E27FC236}">
              <a16:creationId xmlns:a16="http://schemas.microsoft.com/office/drawing/2014/main" id="{DEBE1B8E-AE46-4EB6-A74F-03031745B4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3295650</xdr:colOff>
      <xdr:row>20</xdr:row>
      <xdr:rowOff>57150</xdr:rowOff>
    </xdr:from>
    <xdr:to>
      <xdr:col>18</xdr:col>
      <xdr:colOff>1095375</xdr:colOff>
      <xdr:row>34</xdr:row>
      <xdr:rowOff>104775</xdr:rowOff>
    </xdr:to>
    <xdr:graphicFrame macro="">
      <xdr:nvGraphicFramePr>
        <xdr:cNvPr id="4" name="Graphique 3">
          <a:extLst>
            <a:ext uri="{FF2B5EF4-FFF2-40B4-BE49-F238E27FC236}">
              <a16:creationId xmlns:a16="http://schemas.microsoft.com/office/drawing/2014/main" id="{D85682F4-D928-41FD-BA61-88633824AA2E}"/>
            </a:ext>
            <a:ext uri="{147F2762-F138-4A5C-976F-8EAC2B608ADB}">
              <a16:predDERef xmlns:a16="http://schemas.microsoft.com/office/drawing/2014/main" pred="{DEBE1B8E-AE46-4EB6-A74F-03031745B4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17</xdr:col>
      <xdr:colOff>350520</xdr:colOff>
      <xdr:row>0</xdr:row>
      <xdr:rowOff>213360</xdr:rowOff>
    </xdr:from>
    <xdr:to>
      <xdr:col>33</xdr:col>
      <xdr:colOff>213360</xdr:colOff>
      <xdr:row>21</xdr:row>
      <xdr:rowOff>76200</xdr:rowOff>
    </xdr:to>
    <xdr:graphicFrame macro="">
      <xdr:nvGraphicFramePr>
        <xdr:cNvPr id="26" name="Graphique 1">
          <a:extLst>
            <a:ext uri="{FF2B5EF4-FFF2-40B4-BE49-F238E27FC236}">
              <a16:creationId xmlns:a16="http://schemas.microsoft.com/office/drawing/2014/main" id="{5317BB0A-14F4-4911-A6E0-E3A8A07CF9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320040</xdr:colOff>
      <xdr:row>23</xdr:row>
      <xdr:rowOff>30480</xdr:rowOff>
    </xdr:from>
    <xdr:to>
      <xdr:col>28</xdr:col>
      <xdr:colOff>198120</xdr:colOff>
      <xdr:row>33</xdr:row>
      <xdr:rowOff>228600</xdr:rowOff>
    </xdr:to>
    <xdr:graphicFrame macro="">
      <xdr:nvGraphicFramePr>
        <xdr:cNvPr id="3" name="Graphique 2">
          <a:extLst>
            <a:ext uri="{FF2B5EF4-FFF2-40B4-BE49-F238E27FC236}">
              <a16:creationId xmlns:a16="http://schemas.microsoft.com/office/drawing/2014/main" id="{1562E01E-4E15-434A-9F9F-982C0755A63E}"/>
            </a:ext>
            <a:ext uri="{147F2762-F138-4A5C-976F-8EAC2B608ADB}">
              <a16:predDERef xmlns:a16="http://schemas.microsoft.com/office/drawing/2014/main" pred="{5317BB0A-14F4-4911-A6E0-E3A8A07CF9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149860</xdr:colOff>
      <xdr:row>9</xdr:row>
      <xdr:rowOff>227330</xdr:rowOff>
    </xdr:from>
    <xdr:to>
      <xdr:col>39</xdr:col>
      <xdr:colOff>436880</xdr:colOff>
      <xdr:row>27</xdr:row>
      <xdr:rowOff>44450</xdr:rowOff>
    </xdr:to>
    <xdr:graphicFrame macro="">
      <xdr:nvGraphicFramePr>
        <xdr:cNvPr id="30" name="Graphique 4">
          <a:extLst>
            <a:ext uri="{FF2B5EF4-FFF2-40B4-BE49-F238E27FC236}">
              <a16:creationId xmlns:a16="http://schemas.microsoft.com/office/drawing/2014/main" id="{BDE2DFC0-75C1-40E7-977A-8355DB6CB9AC}"/>
            </a:ext>
            <a:ext uri="{147F2762-F138-4A5C-976F-8EAC2B608ADB}">
              <a16:predDERef xmlns:a16="http://schemas.microsoft.com/office/drawing/2014/main" pred="{1562E01E-4E15-434A-9F9F-982C0755A6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20</xdr:col>
      <xdr:colOff>127000</xdr:colOff>
      <xdr:row>27</xdr:row>
      <xdr:rowOff>12700</xdr:rowOff>
    </xdr:from>
    <xdr:to>
      <xdr:col>24</xdr:col>
      <xdr:colOff>298450</xdr:colOff>
      <xdr:row>49</xdr:row>
      <xdr:rowOff>165100</xdr:rowOff>
    </xdr:to>
    <xdr:graphicFrame macro="">
      <xdr:nvGraphicFramePr>
        <xdr:cNvPr id="2" name="Graphique 8">
          <a:extLst>
            <a:ext uri="{FF2B5EF4-FFF2-40B4-BE49-F238E27FC236}">
              <a16:creationId xmlns:a16="http://schemas.microsoft.com/office/drawing/2014/main" id="{ABE39303-1EA5-48DA-860E-56ABEC4770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920750</xdr:colOff>
      <xdr:row>27</xdr:row>
      <xdr:rowOff>60325</xdr:rowOff>
    </xdr:from>
    <xdr:to>
      <xdr:col>27</xdr:col>
      <xdr:colOff>577850</xdr:colOff>
      <xdr:row>41</xdr:row>
      <xdr:rowOff>136525</xdr:rowOff>
    </xdr:to>
    <xdr:graphicFrame macro="">
      <xdr:nvGraphicFramePr>
        <xdr:cNvPr id="6" name="Graphique 2">
          <a:extLst>
            <a:ext uri="{FF2B5EF4-FFF2-40B4-BE49-F238E27FC236}">
              <a16:creationId xmlns:a16="http://schemas.microsoft.com/office/drawing/2014/main" id="{594BE237-F0EE-4127-BC61-9D2912DF752A}"/>
            </a:ext>
            <a:ext uri="{147F2762-F138-4A5C-976F-8EAC2B608ADB}">
              <a16:predDERef xmlns:a16="http://schemas.microsoft.com/office/drawing/2014/main" pred="{ABE39303-1EA5-48DA-860E-56ABEC4770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29</xdr:col>
      <xdr:colOff>577850</xdr:colOff>
      <xdr:row>27</xdr:row>
      <xdr:rowOff>44450</xdr:rowOff>
    </xdr:from>
    <xdr:to>
      <xdr:col>35</xdr:col>
      <xdr:colOff>577850</xdr:colOff>
      <xdr:row>41</xdr:row>
      <xdr:rowOff>120650</xdr:rowOff>
    </xdr:to>
    <xdr:graphicFrame macro="">
      <xdr:nvGraphicFramePr>
        <xdr:cNvPr id="4" name="Graphique 3">
          <a:extLst>
            <a:ext uri="{FF2B5EF4-FFF2-40B4-BE49-F238E27FC236}">
              <a16:creationId xmlns:a16="http://schemas.microsoft.com/office/drawing/2014/main" id="{52475B39-F11E-4430-A85B-E2136617F934}"/>
            </a:ext>
            <a:ext uri="{147F2762-F138-4A5C-976F-8EAC2B608ADB}">
              <a16:predDERef xmlns:a16="http://schemas.microsoft.com/office/drawing/2014/main" pred="{594BE237-F0EE-4127-BC61-9D2912DF75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901700</xdr:colOff>
      <xdr:row>42</xdr:row>
      <xdr:rowOff>101600</xdr:rowOff>
    </xdr:from>
    <xdr:to>
      <xdr:col>27</xdr:col>
      <xdr:colOff>558800</xdr:colOff>
      <xdr:row>56</xdr:row>
      <xdr:rowOff>177800</xdr:rowOff>
    </xdr:to>
    <xdr:graphicFrame macro="">
      <xdr:nvGraphicFramePr>
        <xdr:cNvPr id="14" name="Graphique 4">
          <a:extLst>
            <a:ext uri="{FF2B5EF4-FFF2-40B4-BE49-F238E27FC236}">
              <a16:creationId xmlns:a16="http://schemas.microsoft.com/office/drawing/2014/main" id="{8AC71D21-5879-4FC3-80C6-C269842B3D7C}"/>
            </a:ext>
            <a:ext uri="{147F2762-F138-4A5C-976F-8EAC2B608ADB}">
              <a16:predDERef xmlns:a16="http://schemas.microsoft.com/office/drawing/2014/main" pred="{52475B39-F11E-4430-A85B-E2136617F9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609600</xdr:colOff>
      <xdr:row>42</xdr:row>
      <xdr:rowOff>50800</xdr:rowOff>
    </xdr:from>
    <xdr:to>
      <xdr:col>35</xdr:col>
      <xdr:colOff>609600</xdr:colOff>
      <xdr:row>56</xdr:row>
      <xdr:rowOff>127000</xdr:rowOff>
    </xdr:to>
    <xdr:graphicFrame macro="">
      <xdr:nvGraphicFramePr>
        <xdr:cNvPr id="15" name="Graphique 14">
          <a:extLst>
            <a:ext uri="{FF2B5EF4-FFF2-40B4-BE49-F238E27FC236}">
              <a16:creationId xmlns:a16="http://schemas.microsoft.com/office/drawing/2014/main" id="{BA0F9931-F2CE-4251-BB4D-33B68FAD4C8D}"/>
            </a:ext>
            <a:ext uri="{147F2762-F138-4A5C-976F-8EAC2B608ADB}">
              <a16:predDERef xmlns:a16="http://schemas.microsoft.com/office/drawing/2014/main" pred="{8AC71D21-5879-4FC3-80C6-C269842B3D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0</xdr:colOff>
      <xdr:row>51</xdr:row>
      <xdr:rowOff>0</xdr:rowOff>
    </xdr:from>
    <xdr:to>
      <xdr:col>24</xdr:col>
      <xdr:colOff>171450</xdr:colOff>
      <xdr:row>73</xdr:row>
      <xdr:rowOff>152400</xdr:rowOff>
    </xdr:to>
    <xdr:graphicFrame macro="">
      <xdr:nvGraphicFramePr>
        <xdr:cNvPr id="23" name="Graphique 8">
          <a:extLst>
            <a:ext uri="{FF2B5EF4-FFF2-40B4-BE49-F238E27FC236}">
              <a16:creationId xmlns:a16="http://schemas.microsoft.com/office/drawing/2014/main" id="{0C8065E0-A205-4B6B-98C6-BA1B4ED476F8}"/>
            </a:ext>
            <a:ext uri="{147F2762-F138-4A5C-976F-8EAC2B608ADB}">
              <a16:predDERef xmlns:a16="http://schemas.microsoft.com/office/drawing/2014/main" pred="{BA0F9931-F2CE-4251-BB4D-33B68FAD4C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1371600</xdr:colOff>
      <xdr:row>2</xdr:row>
      <xdr:rowOff>76200</xdr:rowOff>
    </xdr:from>
    <xdr:to>
      <xdr:col>19</xdr:col>
      <xdr:colOff>1295400</xdr:colOff>
      <xdr:row>20</xdr:row>
      <xdr:rowOff>0</xdr:rowOff>
    </xdr:to>
    <xdr:graphicFrame macro="">
      <xdr:nvGraphicFramePr>
        <xdr:cNvPr id="2" name="Graphique 1">
          <a:extLst>
            <a:ext uri="{FF2B5EF4-FFF2-40B4-BE49-F238E27FC236}">
              <a16:creationId xmlns:a16="http://schemas.microsoft.com/office/drawing/2014/main" id="{4D841742-D62D-4D92-9847-89682F4A3C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1371600</xdr:colOff>
      <xdr:row>20</xdr:row>
      <xdr:rowOff>228600</xdr:rowOff>
    </xdr:from>
    <xdr:to>
      <xdr:col>18</xdr:col>
      <xdr:colOff>952500</xdr:colOff>
      <xdr:row>31</xdr:row>
      <xdr:rowOff>142875</xdr:rowOff>
    </xdr:to>
    <xdr:graphicFrame macro="">
      <xdr:nvGraphicFramePr>
        <xdr:cNvPr id="3" name="Graphique 2">
          <a:extLst>
            <a:ext uri="{FF2B5EF4-FFF2-40B4-BE49-F238E27FC236}">
              <a16:creationId xmlns:a16="http://schemas.microsoft.com/office/drawing/2014/main" id="{E571C602-0153-467D-8A15-44F2FEC9C328}"/>
            </a:ext>
            <a:ext uri="{147F2762-F138-4A5C-976F-8EAC2B608ADB}">
              <a16:predDERef xmlns:a16="http://schemas.microsoft.com/office/drawing/2014/main" pred="{4D841742-D62D-4D92-9847-89682F4A3C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2527300</xdr:colOff>
      <xdr:row>12</xdr:row>
      <xdr:rowOff>165100</xdr:rowOff>
    </xdr:from>
    <xdr:to>
      <xdr:col>22</xdr:col>
      <xdr:colOff>2268220</xdr:colOff>
      <xdr:row>34</xdr:row>
      <xdr:rowOff>109220</xdr:rowOff>
    </xdr:to>
    <xdr:graphicFrame macro="">
      <xdr:nvGraphicFramePr>
        <xdr:cNvPr id="4" name="Graphique 4">
          <a:extLst>
            <a:ext uri="{FF2B5EF4-FFF2-40B4-BE49-F238E27FC236}">
              <a16:creationId xmlns:a16="http://schemas.microsoft.com/office/drawing/2014/main" id="{C36DA416-FF02-4556-A292-E01743ACA3A2}"/>
            </a:ext>
            <a:ext uri="{147F2762-F138-4A5C-976F-8EAC2B608ADB}">
              <a16:predDERef xmlns:a16="http://schemas.microsoft.com/office/drawing/2014/main" pred="{1562E01E-4E15-434A-9F9F-982C0755A6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6</xdr:col>
      <xdr:colOff>171449</xdr:colOff>
      <xdr:row>11</xdr:row>
      <xdr:rowOff>0</xdr:rowOff>
    </xdr:from>
    <xdr:to>
      <xdr:col>12</xdr:col>
      <xdr:colOff>704850</xdr:colOff>
      <xdr:row>23</xdr:row>
      <xdr:rowOff>133350</xdr:rowOff>
    </xdr:to>
    <xdr:graphicFrame macro="">
      <xdr:nvGraphicFramePr>
        <xdr:cNvPr id="2" name="Graphique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19113</xdr:colOff>
      <xdr:row>21</xdr:row>
      <xdr:rowOff>25295</xdr:rowOff>
    </xdr:from>
    <xdr:to>
      <xdr:col>8</xdr:col>
      <xdr:colOff>19114</xdr:colOff>
      <xdr:row>30</xdr:row>
      <xdr:rowOff>82445</xdr:rowOff>
    </xdr:to>
    <xdr:graphicFrame macro="">
      <xdr:nvGraphicFramePr>
        <xdr:cNvPr id="2" name="Graphique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238125</xdr:colOff>
      <xdr:row>14</xdr:row>
      <xdr:rowOff>638175</xdr:rowOff>
    </xdr:from>
    <xdr:to>
      <xdr:col>15</xdr:col>
      <xdr:colOff>238125</xdr:colOff>
      <xdr:row>17</xdr:row>
      <xdr:rowOff>95250</xdr:rowOff>
    </xdr:to>
    <xdr:graphicFrame macro="">
      <xdr:nvGraphicFramePr>
        <xdr:cNvPr id="4" name="Graphique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114300</xdr:colOff>
      <xdr:row>37</xdr:row>
      <xdr:rowOff>209550</xdr:rowOff>
    </xdr:from>
    <xdr:to>
      <xdr:col>16</xdr:col>
      <xdr:colOff>2724150</xdr:colOff>
      <xdr:row>53</xdr:row>
      <xdr:rowOff>9525</xdr:rowOff>
    </xdr:to>
    <xdr:graphicFrame macro="">
      <xdr:nvGraphicFramePr>
        <xdr:cNvPr id="2" name="Graphique 1">
          <a:extLst>
            <a:ext uri="{FF2B5EF4-FFF2-40B4-BE49-F238E27FC236}">
              <a16:creationId xmlns:a16="http://schemas.microsoft.com/office/drawing/2014/main" id="{9C5414C1-D36C-4A08-8B82-AB2FACF4C0B0}"/>
            </a:ext>
            <a:ext uri="{147F2762-F138-4A5C-976F-8EAC2B608ADB}">
              <a16:predDERef xmlns:a16="http://schemas.microsoft.com/office/drawing/2014/main" pred="{DCA06E54-0BD6-4403-B70B-92F1165229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0</xdr:colOff>
      <xdr:row>19</xdr:row>
      <xdr:rowOff>0</xdr:rowOff>
    </xdr:from>
    <xdr:to>
      <xdr:col>16</xdr:col>
      <xdr:colOff>3371850</xdr:colOff>
      <xdr:row>35</xdr:row>
      <xdr:rowOff>142875</xdr:rowOff>
    </xdr:to>
    <xdr:graphicFrame macro="">
      <xdr:nvGraphicFramePr>
        <xdr:cNvPr id="3" name="Graphique 2">
          <a:extLst>
            <a:ext uri="{FF2B5EF4-FFF2-40B4-BE49-F238E27FC236}">
              <a16:creationId xmlns:a16="http://schemas.microsoft.com/office/drawing/2014/main" id="{5C364E41-800F-48D8-AF61-269ADB04D967}"/>
            </a:ext>
            <a:ext uri="{147F2762-F138-4A5C-976F-8EAC2B608ADB}">
              <a16:predDERef xmlns:a16="http://schemas.microsoft.com/office/drawing/2014/main" pred="{0ABC553D-F91B-48A1-81FF-93FF1F70E6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176492</xdr:colOff>
      <xdr:row>10</xdr:row>
      <xdr:rowOff>186018</xdr:rowOff>
    </xdr:from>
    <xdr:to>
      <xdr:col>20</xdr:col>
      <xdr:colOff>2496670</xdr:colOff>
      <xdr:row>24</xdr:row>
      <xdr:rowOff>233643</xdr:rowOff>
    </xdr:to>
    <xdr:graphicFrame macro="">
      <xdr:nvGraphicFramePr>
        <xdr:cNvPr id="4" name="Graphique 3">
          <a:extLst>
            <a:ext uri="{FF2B5EF4-FFF2-40B4-BE49-F238E27FC236}">
              <a16:creationId xmlns:a16="http://schemas.microsoft.com/office/drawing/2014/main" id="{173ED2D7-BB2D-4E27-BBD0-7BCA81933DE1}"/>
            </a:ext>
            <a:ext uri="{147F2762-F138-4A5C-976F-8EAC2B608ADB}">
              <a16:predDERef xmlns:a16="http://schemas.microsoft.com/office/drawing/2014/main" pred="{46689AEC-6CDD-49FD-A052-5E7A87EAE3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16</xdr:col>
      <xdr:colOff>15240</xdr:colOff>
      <xdr:row>31</xdr:row>
      <xdr:rowOff>152400</xdr:rowOff>
    </xdr:from>
    <xdr:to>
      <xdr:col>18</xdr:col>
      <xdr:colOff>2514600</xdr:colOff>
      <xdr:row>49</xdr:row>
      <xdr:rowOff>76200</xdr:rowOff>
    </xdr:to>
    <xdr:graphicFrame macro="">
      <xdr:nvGraphicFramePr>
        <xdr:cNvPr id="2" name="Graphique 1">
          <a:extLst>
            <a:ext uri="{FF2B5EF4-FFF2-40B4-BE49-F238E27FC236}">
              <a16:creationId xmlns:a16="http://schemas.microsoft.com/office/drawing/2014/main" id="{B32E86DC-0874-4880-9DE0-632ACA10D0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1874520</xdr:colOff>
      <xdr:row>20</xdr:row>
      <xdr:rowOff>213360</xdr:rowOff>
    </xdr:from>
    <xdr:to>
      <xdr:col>15</xdr:col>
      <xdr:colOff>1455420</xdr:colOff>
      <xdr:row>31</xdr:row>
      <xdr:rowOff>127635</xdr:rowOff>
    </xdr:to>
    <xdr:graphicFrame macro="">
      <xdr:nvGraphicFramePr>
        <xdr:cNvPr id="3" name="Graphique 2">
          <a:extLst>
            <a:ext uri="{FF2B5EF4-FFF2-40B4-BE49-F238E27FC236}">
              <a16:creationId xmlns:a16="http://schemas.microsoft.com/office/drawing/2014/main" id="{561A9805-0B0F-4DA0-BE6C-D5B17EA4EF85}"/>
            </a:ext>
            <a:ext uri="{147F2762-F138-4A5C-976F-8EAC2B608ADB}">
              <a16:predDERef xmlns:a16="http://schemas.microsoft.com/office/drawing/2014/main" pred="{4D841742-D62D-4D92-9847-89682F4A3C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472440</xdr:colOff>
      <xdr:row>8</xdr:row>
      <xdr:rowOff>228600</xdr:rowOff>
    </xdr:from>
    <xdr:to>
      <xdr:col>19</xdr:col>
      <xdr:colOff>228600</xdr:colOff>
      <xdr:row>30</xdr:row>
      <xdr:rowOff>213360</xdr:rowOff>
    </xdr:to>
    <xdr:graphicFrame macro="">
      <xdr:nvGraphicFramePr>
        <xdr:cNvPr id="4" name="Graphique 3">
          <a:extLst>
            <a:ext uri="{FF2B5EF4-FFF2-40B4-BE49-F238E27FC236}">
              <a16:creationId xmlns:a16="http://schemas.microsoft.com/office/drawing/2014/main" id="{08C30487-8F2D-46AB-9A3F-55D9148C36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16</xdr:col>
      <xdr:colOff>15240</xdr:colOff>
      <xdr:row>31</xdr:row>
      <xdr:rowOff>152400</xdr:rowOff>
    </xdr:from>
    <xdr:to>
      <xdr:col>18</xdr:col>
      <xdr:colOff>2514600</xdr:colOff>
      <xdr:row>49</xdr:row>
      <xdr:rowOff>76200</xdr:rowOff>
    </xdr:to>
    <xdr:graphicFrame macro="">
      <xdr:nvGraphicFramePr>
        <xdr:cNvPr id="2" name="Graphique 1">
          <a:extLst>
            <a:ext uri="{FF2B5EF4-FFF2-40B4-BE49-F238E27FC236}">
              <a16:creationId xmlns:a16="http://schemas.microsoft.com/office/drawing/2014/main" id="{49DCAF38-5DD9-4D8D-8130-414BC30DA8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1874520</xdr:colOff>
      <xdr:row>20</xdr:row>
      <xdr:rowOff>213360</xdr:rowOff>
    </xdr:from>
    <xdr:to>
      <xdr:col>15</xdr:col>
      <xdr:colOff>1455420</xdr:colOff>
      <xdr:row>31</xdr:row>
      <xdr:rowOff>127635</xdr:rowOff>
    </xdr:to>
    <xdr:graphicFrame macro="">
      <xdr:nvGraphicFramePr>
        <xdr:cNvPr id="3" name="Graphique 2">
          <a:extLst>
            <a:ext uri="{FF2B5EF4-FFF2-40B4-BE49-F238E27FC236}">
              <a16:creationId xmlns:a16="http://schemas.microsoft.com/office/drawing/2014/main" id="{D9064CA0-237C-4E28-A7D5-C97965770807}"/>
            </a:ext>
            <a:ext uri="{147F2762-F138-4A5C-976F-8EAC2B608ADB}">
              <a16:predDERef xmlns:a16="http://schemas.microsoft.com/office/drawing/2014/main" pred="{4D841742-D62D-4D92-9847-89682F4A3C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472440</xdr:colOff>
      <xdr:row>8</xdr:row>
      <xdr:rowOff>228600</xdr:rowOff>
    </xdr:from>
    <xdr:to>
      <xdr:col>19</xdr:col>
      <xdr:colOff>228600</xdr:colOff>
      <xdr:row>30</xdr:row>
      <xdr:rowOff>213360</xdr:rowOff>
    </xdr:to>
    <xdr:graphicFrame macro="">
      <xdr:nvGraphicFramePr>
        <xdr:cNvPr id="4" name="Graphique 3">
          <a:extLst>
            <a:ext uri="{FF2B5EF4-FFF2-40B4-BE49-F238E27FC236}">
              <a16:creationId xmlns:a16="http://schemas.microsoft.com/office/drawing/2014/main" id="{712EFB50-3781-4B76-851C-D3A7034163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16</xdr:col>
      <xdr:colOff>15240</xdr:colOff>
      <xdr:row>31</xdr:row>
      <xdr:rowOff>152400</xdr:rowOff>
    </xdr:from>
    <xdr:to>
      <xdr:col>18</xdr:col>
      <xdr:colOff>2514600</xdr:colOff>
      <xdr:row>49</xdr:row>
      <xdr:rowOff>76200</xdr:rowOff>
    </xdr:to>
    <xdr:graphicFrame macro="">
      <xdr:nvGraphicFramePr>
        <xdr:cNvPr id="2" name="Graphique 1">
          <a:extLst>
            <a:ext uri="{FF2B5EF4-FFF2-40B4-BE49-F238E27FC236}">
              <a16:creationId xmlns:a16="http://schemas.microsoft.com/office/drawing/2014/main" id="{7A0E87CA-8C67-4CEC-BF0A-70180F455D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1874520</xdr:colOff>
      <xdr:row>20</xdr:row>
      <xdr:rowOff>213360</xdr:rowOff>
    </xdr:from>
    <xdr:to>
      <xdr:col>15</xdr:col>
      <xdr:colOff>1455420</xdr:colOff>
      <xdr:row>31</xdr:row>
      <xdr:rowOff>127635</xdr:rowOff>
    </xdr:to>
    <xdr:graphicFrame macro="">
      <xdr:nvGraphicFramePr>
        <xdr:cNvPr id="3" name="Graphique 2">
          <a:extLst>
            <a:ext uri="{FF2B5EF4-FFF2-40B4-BE49-F238E27FC236}">
              <a16:creationId xmlns:a16="http://schemas.microsoft.com/office/drawing/2014/main" id="{1F10DA50-BF78-4719-ABEA-8780E00F7D7F}"/>
            </a:ext>
            <a:ext uri="{147F2762-F138-4A5C-976F-8EAC2B608ADB}">
              <a16:predDERef xmlns:a16="http://schemas.microsoft.com/office/drawing/2014/main" pred="{4D841742-D62D-4D92-9847-89682F4A3C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472440</xdr:colOff>
      <xdr:row>8</xdr:row>
      <xdr:rowOff>228600</xdr:rowOff>
    </xdr:from>
    <xdr:to>
      <xdr:col>19</xdr:col>
      <xdr:colOff>228600</xdr:colOff>
      <xdr:row>30</xdr:row>
      <xdr:rowOff>213360</xdr:rowOff>
    </xdr:to>
    <xdr:graphicFrame macro="">
      <xdr:nvGraphicFramePr>
        <xdr:cNvPr id="4" name="Graphique 3">
          <a:extLst>
            <a:ext uri="{FF2B5EF4-FFF2-40B4-BE49-F238E27FC236}">
              <a16:creationId xmlns:a16="http://schemas.microsoft.com/office/drawing/2014/main" id="{1D575CDE-F84E-4EA8-B116-5427782FBE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14</xdr:col>
      <xdr:colOff>114300</xdr:colOff>
      <xdr:row>37</xdr:row>
      <xdr:rowOff>209550</xdr:rowOff>
    </xdr:from>
    <xdr:to>
      <xdr:col>16</xdr:col>
      <xdr:colOff>2724150</xdr:colOff>
      <xdr:row>53</xdr:row>
      <xdr:rowOff>9525</xdr:rowOff>
    </xdr:to>
    <xdr:graphicFrame macro="">
      <xdr:nvGraphicFramePr>
        <xdr:cNvPr id="3" name="Graphique 2">
          <a:extLst>
            <a:ext uri="{FF2B5EF4-FFF2-40B4-BE49-F238E27FC236}">
              <a16:creationId xmlns:a16="http://schemas.microsoft.com/office/drawing/2014/main" id="{0ABC553D-F91B-48A1-81FF-93FF1F70E6CF}"/>
            </a:ext>
            <a:ext uri="{147F2762-F138-4A5C-976F-8EAC2B608ADB}">
              <a16:predDERef xmlns:a16="http://schemas.microsoft.com/office/drawing/2014/main" pred="{DCA06E54-0BD6-4403-B70B-92F1165229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0</xdr:colOff>
      <xdr:row>19</xdr:row>
      <xdr:rowOff>0</xdr:rowOff>
    </xdr:from>
    <xdr:to>
      <xdr:col>16</xdr:col>
      <xdr:colOff>3371850</xdr:colOff>
      <xdr:row>35</xdr:row>
      <xdr:rowOff>142875</xdr:rowOff>
    </xdr:to>
    <xdr:graphicFrame macro="">
      <xdr:nvGraphicFramePr>
        <xdr:cNvPr id="4" name="Graphique 3">
          <a:extLst>
            <a:ext uri="{FF2B5EF4-FFF2-40B4-BE49-F238E27FC236}">
              <a16:creationId xmlns:a16="http://schemas.microsoft.com/office/drawing/2014/main" id="{46689AEC-6CDD-49FD-A052-5E7A87EAE30A}"/>
            </a:ext>
            <a:ext uri="{147F2762-F138-4A5C-976F-8EAC2B608ADB}">
              <a16:predDERef xmlns:a16="http://schemas.microsoft.com/office/drawing/2014/main" pred="{0ABC553D-F91B-48A1-81FF-93FF1F70E6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3952875</xdr:colOff>
      <xdr:row>10</xdr:row>
      <xdr:rowOff>152400</xdr:rowOff>
    </xdr:from>
    <xdr:to>
      <xdr:col>20</xdr:col>
      <xdr:colOff>2171700</xdr:colOff>
      <xdr:row>24</xdr:row>
      <xdr:rowOff>200025</xdr:rowOff>
    </xdr:to>
    <xdr:graphicFrame macro="">
      <xdr:nvGraphicFramePr>
        <xdr:cNvPr id="5" name="Graphique 4">
          <a:extLst>
            <a:ext uri="{FF2B5EF4-FFF2-40B4-BE49-F238E27FC236}">
              <a16:creationId xmlns:a16="http://schemas.microsoft.com/office/drawing/2014/main" id="{ABE15235-3D26-49FC-BCB4-42231F385726}"/>
            </a:ext>
            <a:ext uri="{147F2762-F138-4A5C-976F-8EAC2B608ADB}">
              <a16:predDERef xmlns:a16="http://schemas.microsoft.com/office/drawing/2014/main" pred="{46689AEC-6CDD-49FD-A052-5E7A87EAE3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19</xdr:col>
      <xdr:colOff>803275</xdr:colOff>
      <xdr:row>28</xdr:row>
      <xdr:rowOff>254000</xdr:rowOff>
    </xdr:from>
    <xdr:to>
      <xdr:col>25</xdr:col>
      <xdr:colOff>22225</xdr:colOff>
      <xdr:row>47</xdr:row>
      <xdr:rowOff>50800</xdr:rowOff>
    </xdr:to>
    <xdr:graphicFrame macro="">
      <xdr:nvGraphicFramePr>
        <xdr:cNvPr id="2" name="Graphique 3">
          <a:extLst>
            <a:ext uri="{FF2B5EF4-FFF2-40B4-BE49-F238E27FC236}">
              <a16:creationId xmlns:a16="http://schemas.microsoft.com/office/drawing/2014/main" id="{1570A973-452B-4484-B085-CAD40FC896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546100</xdr:colOff>
      <xdr:row>28</xdr:row>
      <xdr:rowOff>165100</xdr:rowOff>
    </xdr:from>
    <xdr:to>
      <xdr:col>31</xdr:col>
      <xdr:colOff>546100</xdr:colOff>
      <xdr:row>41</xdr:row>
      <xdr:rowOff>50800</xdr:rowOff>
    </xdr:to>
    <xdr:graphicFrame macro="">
      <xdr:nvGraphicFramePr>
        <xdr:cNvPr id="3" name="Graphique 2">
          <a:extLst>
            <a:ext uri="{FF2B5EF4-FFF2-40B4-BE49-F238E27FC236}">
              <a16:creationId xmlns:a16="http://schemas.microsoft.com/office/drawing/2014/main" id="{10CD8AA2-46FD-4A37-9A54-494D2CBFCAC0}"/>
            </a:ext>
            <a:ext uri="{147F2762-F138-4A5C-976F-8EAC2B608ADB}">
              <a16:predDERef xmlns:a16="http://schemas.microsoft.com/office/drawing/2014/main" pred="{1570A973-452B-4484-B085-CAD40FC896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444500</xdr:colOff>
      <xdr:row>41</xdr:row>
      <xdr:rowOff>127000</xdr:rowOff>
    </xdr:from>
    <xdr:to>
      <xdr:col>31</xdr:col>
      <xdr:colOff>444500</xdr:colOff>
      <xdr:row>50</xdr:row>
      <xdr:rowOff>28575</xdr:rowOff>
    </xdr:to>
    <xdr:graphicFrame macro="">
      <xdr:nvGraphicFramePr>
        <xdr:cNvPr id="4" name="Graphique 3">
          <a:extLst>
            <a:ext uri="{FF2B5EF4-FFF2-40B4-BE49-F238E27FC236}">
              <a16:creationId xmlns:a16="http://schemas.microsoft.com/office/drawing/2014/main" id="{5653FA6D-3570-4FB9-9704-83A300F9C917}"/>
            </a:ext>
            <a:ext uri="{147F2762-F138-4A5C-976F-8EAC2B608ADB}">
              <a16:predDERef xmlns:a16="http://schemas.microsoft.com/office/drawing/2014/main" pred="{10CD8AA2-46FD-4A37-9A54-494D2CBFCA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0</xdr:colOff>
      <xdr:row>49</xdr:row>
      <xdr:rowOff>0</xdr:rowOff>
    </xdr:from>
    <xdr:to>
      <xdr:col>25</xdr:col>
      <xdr:colOff>171450</xdr:colOff>
      <xdr:row>62</xdr:row>
      <xdr:rowOff>12700</xdr:rowOff>
    </xdr:to>
    <xdr:graphicFrame macro="">
      <xdr:nvGraphicFramePr>
        <xdr:cNvPr id="5" name="Graphique 3">
          <a:extLst>
            <a:ext uri="{FF2B5EF4-FFF2-40B4-BE49-F238E27FC236}">
              <a16:creationId xmlns:a16="http://schemas.microsoft.com/office/drawing/2014/main" id="{B3244925-FB1B-40C7-9BF3-DAA902604B81}"/>
            </a:ext>
            <a:ext uri="{147F2762-F138-4A5C-976F-8EAC2B608ADB}">
              <a16:predDERef xmlns:a16="http://schemas.microsoft.com/office/drawing/2014/main" pred="{5653FA6D-3570-4FB9-9704-83A300F9C9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20</xdr:col>
      <xdr:colOff>536575</xdr:colOff>
      <xdr:row>31</xdr:row>
      <xdr:rowOff>60325</xdr:rowOff>
    </xdr:from>
    <xdr:to>
      <xdr:col>24</xdr:col>
      <xdr:colOff>127000</xdr:colOff>
      <xdr:row>56</xdr:row>
      <xdr:rowOff>31750</xdr:rowOff>
    </xdr:to>
    <xdr:graphicFrame macro="">
      <xdr:nvGraphicFramePr>
        <xdr:cNvPr id="9" name="Graphique 15">
          <a:extLst>
            <a:ext uri="{FF2B5EF4-FFF2-40B4-BE49-F238E27FC236}">
              <a16:creationId xmlns:a16="http://schemas.microsoft.com/office/drawing/2014/main" id="{BB822557-E7CB-4F9B-8346-6A8C0D04B3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584200</xdr:colOff>
      <xdr:row>30</xdr:row>
      <xdr:rowOff>127000</xdr:rowOff>
    </xdr:from>
    <xdr:to>
      <xdr:col>28</xdr:col>
      <xdr:colOff>762000</xdr:colOff>
      <xdr:row>45</xdr:row>
      <xdr:rowOff>12700</xdr:rowOff>
    </xdr:to>
    <xdr:graphicFrame macro="">
      <xdr:nvGraphicFramePr>
        <xdr:cNvPr id="2" name="Graphique 1">
          <a:extLst>
            <a:ext uri="{FF2B5EF4-FFF2-40B4-BE49-F238E27FC236}">
              <a16:creationId xmlns:a16="http://schemas.microsoft.com/office/drawing/2014/main" id="{36AF92F6-65F6-43D6-B500-CF39EFA55DE8}"/>
            </a:ext>
            <a:ext uri="{147F2762-F138-4A5C-976F-8EAC2B608ADB}">
              <a16:predDERef xmlns:a16="http://schemas.microsoft.com/office/drawing/2014/main" pred="{BB822557-E7CB-4F9B-8346-6A8C0D04B3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30</xdr:col>
      <xdr:colOff>161925</xdr:colOff>
      <xdr:row>27</xdr:row>
      <xdr:rowOff>82550</xdr:rowOff>
    </xdr:from>
    <xdr:to>
      <xdr:col>36</xdr:col>
      <xdr:colOff>161925</xdr:colOff>
      <xdr:row>41</xdr:row>
      <xdr:rowOff>158750</xdr:rowOff>
    </xdr:to>
    <xdr:graphicFrame macro="">
      <xdr:nvGraphicFramePr>
        <xdr:cNvPr id="4" name="Graphique 3">
          <a:extLst>
            <a:ext uri="{FF2B5EF4-FFF2-40B4-BE49-F238E27FC236}">
              <a16:creationId xmlns:a16="http://schemas.microsoft.com/office/drawing/2014/main" id="{86268F21-C5CF-4E1E-8B81-093D529A41A3}"/>
            </a:ext>
            <a:ext uri="{147F2762-F138-4A5C-976F-8EAC2B608ADB}">
              <a16:predDERef xmlns:a16="http://schemas.microsoft.com/office/drawing/2014/main" pred="{36AF92F6-65F6-43D6-B500-CF39EFA55D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30</xdr:col>
      <xdr:colOff>152400</xdr:colOff>
      <xdr:row>42</xdr:row>
      <xdr:rowOff>76200</xdr:rowOff>
    </xdr:from>
    <xdr:to>
      <xdr:col>36</xdr:col>
      <xdr:colOff>152400</xdr:colOff>
      <xdr:row>56</xdr:row>
      <xdr:rowOff>152400</xdr:rowOff>
    </xdr:to>
    <xdr:graphicFrame macro="">
      <xdr:nvGraphicFramePr>
        <xdr:cNvPr id="24" name="Graphique 4">
          <a:extLst>
            <a:ext uri="{FF2B5EF4-FFF2-40B4-BE49-F238E27FC236}">
              <a16:creationId xmlns:a16="http://schemas.microsoft.com/office/drawing/2014/main" id="{062AFD29-D974-453F-AE34-BFBF14566917}"/>
            </a:ext>
            <a:ext uri="{147F2762-F138-4A5C-976F-8EAC2B608ADB}">
              <a16:predDERef xmlns:a16="http://schemas.microsoft.com/office/drawing/2014/main" pred="{86268F21-C5CF-4E1E-8B81-093D529A41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596900</xdr:colOff>
      <xdr:row>45</xdr:row>
      <xdr:rowOff>114300</xdr:rowOff>
    </xdr:from>
    <xdr:to>
      <xdr:col>28</xdr:col>
      <xdr:colOff>774700</xdr:colOff>
      <xdr:row>60</xdr:row>
      <xdr:rowOff>0</xdr:rowOff>
    </xdr:to>
    <xdr:graphicFrame macro="">
      <xdr:nvGraphicFramePr>
        <xdr:cNvPr id="13" name="Graphique 5">
          <a:extLst>
            <a:ext uri="{FF2B5EF4-FFF2-40B4-BE49-F238E27FC236}">
              <a16:creationId xmlns:a16="http://schemas.microsoft.com/office/drawing/2014/main" id="{C3D4AEF6-277B-4504-BE01-4D8476101D96}"/>
            </a:ext>
            <a:ext uri="{147F2762-F138-4A5C-976F-8EAC2B608ADB}">
              <a16:predDERef xmlns:a16="http://schemas.microsoft.com/office/drawing/2014/main" pred="{062AFD29-D974-453F-AE34-BFBF145669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508000</xdr:colOff>
      <xdr:row>57</xdr:row>
      <xdr:rowOff>25400</xdr:rowOff>
    </xdr:from>
    <xdr:to>
      <xdr:col>24</xdr:col>
      <xdr:colOff>98425</xdr:colOff>
      <xdr:row>81</xdr:row>
      <xdr:rowOff>187325</xdr:rowOff>
    </xdr:to>
    <xdr:graphicFrame macro="">
      <xdr:nvGraphicFramePr>
        <xdr:cNvPr id="7" name="Graphique 15">
          <a:extLst>
            <a:ext uri="{FF2B5EF4-FFF2-40B4-BE49-F238E27FC236}">
              <a16:creationId xmlns:a16="http://schemas.microsoft.com/office/drawing/2014/main" id="{8548A7C8-03B4-47D6-A8F4-DF07E0A32B88}"/>
            </a:ext>
            <a:ext uri="{147F2762-F138-4A5C-976F-8EAC2B608ADB}">
              <a16:predDERef xmlns:a16="http://schemas.microsoft.com/office/drawing/2014/main" pred="{C3D4AEF6-277B-4504-BE01-4D8476101D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13</xdr:col>
      <xdr:colOff>173648</xdr:colOff>
      <xdr:row>18</xdr:row>
      <xdr:rowOff>83527</xdr:rowOff>
    </xdr:from>
    <xdr:to>
      <xdr:col>19</xdr:col>
      <xdr:colOff>172915</xdr:colOff>
      <xdr:row>32</xdr:row>
      <xdr:rowOff>159727</xdr:rowOff>
    </xdr:to>
    <mc:AlternateContent xmlns:mc="http://schemas.openxmlformats.org/markup-compatibility/2006">
      <mc:Choice xmlns:cx1="http://schemas.microsoft.com/office/drawing/2015/9/8/chartex" Requires="cx1">
        <xdr:graphicFrame macro="">
          <xdr:nvGraphicFramePr>
            <xdr:cNvPr id="4" name="Graphique 3"/>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fr-FR"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17" Type="http://schemas.openxmlformats.org/officeDocument/2006/relationships/hyperlink" Target="https://www.vishay.com/quality/pcn-doc/PTN-DI-00380-2017-Rev-0/PCN-DI-00380-2017%20IFL%20and%20IFLS%20series.pdf/" TargetMode="External"/><Relationship Id="rId299" Type="http://schemas.openxmlformats.org/officeDocument/2006/relationships/hyperlink" Target="https://www.vishay.com/quality/pcn-doc/PTN-OMV-01100-2019-Rev-0/ptn_omv_1100_2019_rev0.pdf/" TargetMode="External"/><Relationship Id="rId21" Type="http://schemas.openxmlformats.org/officeDocument/2006/relationships/hyperlink" Target="https://www.vishay.com/quality/pcn-doc/PTN-CC-00001-2020-Rev-0/PTN-CC-001-2020.pdf/" TargetMode="External"/><Relationship Id="rId63" Type="http://schemas.openxmlformats.org/officeDocument/2006/relationships/hyperlink" Target="https://www.vishay.com/quality/pcn-doc/PTN-DBR-00014-2021-REV-0/PTN-DBR-00014-2021-REV-0.pdf/" TargetMode="External"/><Relationship Id="rId159" Type="http://schemas.openxmlformats.org/officeDocument/2006/relationships/hyperlink" Target="https://www.vishay.com/quality/pcn-doc/PTN-DR-00006-2017-Rev-0/http___www.vishay.com_quality_pcn-doc_PCN-DR-006-2017-Rev-0_PTN-DR-006-2017-Rev-0.pdf/" TargetMode="External"/><Relationship Id="rId324" Type="http://schemas.openxmlformats.org/officeDocument/2006/relationships/hyperlink" Target="https://www.vishay.com/quality/pcn-doc/PTN-OSI-01189-2021-Rev-0/ptn_osi_1189_2021_rev0.pdf/" TargetMode="External"/><Relationship Id="rId366" Type="http://schemas.openxmlformats.org/officeDocument/2006/relationships/hyperlink" Target="https://www.vishay.com/quality/pcn-doc/PTN-SIL-014-2021-REV-0/PTN-SIL-014-2021-REV-0.pdf/" TargetMode="External"/><Relationship Id="rId170" Type="http://schemas.openxmlformats.org/officeDocument/2006/relationships/hyperlink" Target="https://www.vishay.com/quality/pcn-doc/PTN-DR-00012-2018-Rev-0/Product%20Termination%20of%20SR1.pdf/" TargetMode="External"/><Relationship Id="rId226" Type="http://schemas.openxmlformats.org/officeDocument/2006/relationships/hyperlink" Target="https://www.vishay.com/quality/pcn-doc/PCN-SF-101-2011-Rev-1/PCN%20SF101%20Rev%201.pdf/" TargetMode="External"/><Relationship Id="rId433" Type="http://schemas.openxmlformats.org/officeDocument/2006/relationships/hyperlink" Target="https://www.vishay.com/quality/pcn-doc/PCN-TC-004-2014-Rev-0/PTN%20TC%20004%202014%20Rev%200.pdf/" TargetMode="External"/><Relationship Id="rId268" Type="http://schemas.openxmlformats.org/officeDocument/2006/relationships/hyperlink" Target="https://www.vishay.com/quality/pcn-doc/PCN-SIL-0132010/PCN-SIL-0132010%20EOL%20for%20SI5853CDC-T1-E3.pdf/" TargetMode="External"/><Relationship Id="rId475" Type="http://schemas.openxmlformats.org/officeDocument/2006/relationships/hyperlink" Target="https://www.vishay.com/quality/pcn-doc/PCN-DD-002-2015-Rev-0/PCN-DD-002-2015%20Rev%200_Product%20Discontinuation%20for%20Surface%20Mount%20Schottky%20Products.pdf/" TargetMode="External"/><Relationship Id="rId32" Type="http://schemas.openxmlformats.org/officeDocument/2006/relationships/hyperlink" Target="https://www.vishay.com/quality/pcn-doc/PCN-OMV-441-2010-Rev-0/omv_441_2010_rev0.pdf/" TargetMode="External"/><Relationship Id="rId74" Type="http://schemas.openxmlformats.org/officeDocument/2006/relationships/hyperlink" Target="https://www.vishay.com/quality/pcn-doc/PTN-DD-00006-2018-Rev-0/PCN-DD-006-2018%20Rev%200_Product%20Discontinuation%20Notice%20of%20Rectifier%20Products.pdf/" TargetMode="External"/><Relationship Id="rId128" Type="http://schemas.openxmlformats.org/officeDocument/2006/relationships/hyperlink" Target="https://www.vishay.com/quality/pcn-doc/PCN-OMV-947-2017-Rev-0/ptn_omv_947_2017_rev0.pdf/" TargetMode="External"/><Relationship Id="rId335" Type="http://schemas.openxmlformats.org/officeDocument/2006/relationships/hyperlink" Target="https://www.vishay.com/quality/pcn-doc/PTN-SF-00268-2021-Rev-0/PTN%20SF%20268%202021%20DIALS%2011%2018%2021%20-%20BLACK%20CHROME%20FINISHING-%20EOL.pdf/" TargetMode="External"/><Relationship Id="rId377" Type="http://schemas.openxmlformats.org/officeDocument/2006/relationships/hyperlink" Target="https://www.vishay.com/quality/pcn-doc/PCN-SIL-054-2013-Rev-0/PCN-SIL-0542013%20Si9241AEY_Si9243AEY%20Obsolesence.pdf/" TargetMode="External"/><Relationship Id="rId500" Type="http://schemas.openxmlformats.org/officeDocument/2006/relationships/printerSettings" Target="../printerSettings/printerSettings1.bin"/><Relationship Id="rId5" Type="http://schemas.openxmlformats.org/officeDocument/2006/relationships/hyperlink" Target="https://www.vishay.com/quality/pcn-doc/PCN-MLC-004-2017-Rev-0/PTN-MLC-004-2017%20VJ%20OMD%20Series%20remove%20high%20voltage%20ratings%20size%201812.pdf/" TargetMode="External"/><Relationship Id="rId181" Type="http://schemas.openxmlformats.org/officeDocument/2006/relationships/hyperlink" Target="https://www.vishay.com/quality/pcn-doc/PTN-DR-00016-2020-Rev-0/PTN-DR-00016-2020%20Rev%200%20(03Sept2020-TIP%20products)%20(002).pdf/" TargetMode="External"/><Relationship Id="rId237" Type="http://schemas.openxmlformats.org/officeDocument/2006/relationships/hyperlink" Target="https://www.vishay.com/quality/pcn-doc/PTN-MLC-00010-2019-Rev-0/PTN-MLC-00010-2019%20Changes%20to%20Available%20Ratings%20Size%201808%20of%20VJ%20Commercial%20Series.pdf/" TargetMode="External"/><Relationship Id="rId402" Type="http://schemas.openxmlformats.org/officeDocument/2006/relationships/hyperlink" Target="https://www.vishay.com/quality/pcn-doc/PCN-HPP-013-2011-Rev-00/HPP-013-2011%20Rev.0.pdf/" TargetMode="External"/><Relationship Id="rId279" Type="http://schemas.openxmlformats.org/officeDocument/2006/relationships/hyperlink" Target="https://www.vishay.com/quality/pcn-doc/PTN-OMV-01009-2017-Rev-0/pcn_omv_1009_2017_rev0.pdf/" TargetMode="External"/><Relationship Id="rId444" Type="http://schemas.openxmlformats.org/officeDocument/2006/relationships/hyperlink" Target="https://www.vishay.com/quality/pcn-doc/PCN-DR-017-2016-Rev-1/PTN-DR-017-2016%20Rev%201.pdf/" TargetMode="External"/><Relationship Id="rId486" Type="http://schemas.openxmlformats.org/officeDocument/2006/relationships/hyperlink" Target="https://www.vishay.com/quality/pcn-doc/PCN-DD-023-2012-Rev-0/PCN-DD-023-2012%20Rev%200_Discontinuation%20of%20Commercial%20Grade%20PAR%20TVS.pdf/" TargetMode="External"/><Relationship Id="rId43" Type="http://schemas.openxmlformats.org/officeDocument/2006/relationships/hyperlink" Target="https://www.vishay.com/quality/pcn-doc/PTN-DBR-00003-2019-Rev-0/PTN-DBR-00003-2019%20Rev0.pdf/" TargetMode="External"/><Relationship Id="rId139" Type="http://schemas.openxmlformats.org/officeDocument/2006/relationships/hyperlink" Target="https://www.vishay.com/quality/pcn-doc/PTN-DI-00477-2020-Rev-0/PCN-DI-00477-2020.pdf/" TargetMode="External"/><Relationship Id="rId290" Type="http://schemas.openxmlformats.org/officeDocument/2006/relationships/hyperlink" Target="https://www.vishay.com/quality/pcn-doc/PTN-OMV-01044-2018-Rev-0/ptn_omv_1044_2018_rev0.pdf/" TargetMode="External"/><Relationship Id="rId304" Type="http://schemas.openxmlformats.org/officeDocument/2006/relationships/hyperlink" Target="https://www.vishay.com/quality/pcn-doc/PTN-OMV-01180-2021-Rev-0/ptn_omv_1180_2021_rev0.pdf/" TargetMode="External"/><Relationship Id="rId346" Type="http://schemas.openxmlformats.org/officeDocument/2006/relationships/hyperlink" Target="https://www.vishay.com/quality/pcn-doc/PTN-SF-280-2021-REV-0/PTN-SF-280-2021-REV-0.pdf/" TargetMode="External"/><Relationship Id="rId388" Type="http://schemas.openxmlformats.org/officeDocument/2006/relationships/hyperlink" Target="https://www.vishay.com/quality/pcn-doc/PCN-MLC-003-2013-Rev-0/PCN-MLC-003-2013%20VJ%20Non-Magnetic%20Series%20Streamlining.pdf/" TargetMode="External"/><Relationship Id="rId85" Type="http://schemas.openxmlformats.org/officeDocument/2006/relationships/hyperlink" Target="https://www.vishay.com/quality/pcn-doc/PTN-DD-00010-2020-Rev-0/DD-010-2020%20Rev%200.pdf/" TargetMode="External"/><Relationship Id="rId150" Type="http://schemas.openxmlformats.org/officeDocument/2006/relationships/hyperlink" Target="https://www.vishay.com/quality/pcn-doc/PCN-OSI-550-2011-Rev-0/pcn_osi_550_2011_rev0.pdf/" TargetMode="External"/><Relationship Id="rId192" Type="http://schemas.openxmlformats.org/officeDocument/2006/relationships/hyperlink" Target="https://www.vishay.com/quality/pcn-doc/PCN-OSI-859-2015-Rev-0/ptn_osi_859_2015_rev0.pdf/" TargetMode="External"/><Relationship Id="rId206" Type="http://schemas.openxmlformats.org/officeDocument/2006/relationships/hyperlink" Target="https://www.vishay.com/quality/pcn-doc/PTN-FC-00005-2018-Rev-0/PTN-FC-005-2018Rev0.pdf/" TargetMode="External"/><Relationship Id="rId413" Type="http://schemas.openxmlformats.org/officeDocument/2006/relationships/hyperlink" Target="https://www.vishay.com/quality/pcn-doc/PCN-SIL-091-2014-Rev-0/PCN-SIL-0912014%20EOL%20TNCB2DWF.pdf/" TargetMode="External"/><Relationship Id="rId248" Type="http://schemas.openxmlformats.org/officeDocument/2006/relationships/hyperlink" Target="https://www.vishay.com/quality/pcn-doc/PTN-MLC-00013-2017-Rev-0/PTN-MLC-013-2017%20Remove%20large%20reel%20R%20offer%20for%20size%202220%202225%20from%20VJ%20HVArc%20Guard.pdf/" TargetMode="External"/><Relationship Id="rId455" Type="http://schemas.openxmlformats.org/officeDocument/2006/relationships/hyperlink" Target="https://www.vishay.com/quality/pcn-doc/PCN-TC-012-2014-Rev-0/PTN%20TC012-2014%20DLA%2004053%20Built-In-Fuse%20Molded%20Chip%20Capacitors%20discontinuation.pdf/" TargetMode="External"/><Relationship Id="rId497" Type="http://schemas.openxmlformats.org/officeDocument/2006/relationships/hyperlink" Target="https://www.vishay.com/quality/pcn-doc/PCN-DR-016-2015-Rev-0/PCN-DR-016-2015%20Rev%200.pdf/" TargetMode="External"/><Relationship Id="rId12" Type="http://schemas.openxmlformats.org/officeDocument/2006/relationships/hyperlink" Target="https://www.vishay.com/quality/pcn-doc/PCN-MLC-006-2013-Rev-0/PCN-MLC-006-2013%20VJ2220A272KXHAT7U%20Removed%20from%20offering.pdf/" TargetMode="External"/><Relationship Id="rId108" Type="http://schemas.openxmlformats.org/officeDocument/2006/relationships/hyperlink" Target="https://www.vishay.com/quality/pcn-doc/PCN-OMV-843-2015-Rev-0/ptn_omv_843_2015_rev0.pdf/" TargetMode="External"/><Relationship Id="rId315" Type="http://schemas.openxmlformats.org/officeDocument/2006/relationships/hyperlink" Target="https://www.vishay.com/quality/pcn-doc/PTN-OSI-01098-2019-Rev-0/ptn_osi_1098_2019_rev0.pdf/" TargetMode="External"/><Relationship Id="rId357" Type="http://schemas.openxmlformats.org/officeDocument/2006/relationships/hyperlink" Target="https://www.vishay.com/quality/pcn-doc/PTN-SIL-000413-2021-REV-0/PTN-SIL-000413-2021-REV-0.pdf/" TargetMode="External"/><Relationship Id="rId54" Type="http://schemas.openxmlformats.org/officeDocument/2006/relationships/hyperlink" Target="https://www.vishay.com/quality/pcn-doc/PTN-DBR-00009-2018-Rev-0/PTN-DBR-00009-2018%20Rev0.pdf/" TargetMode="External"/><Relationship Id="rId96" Type="http://schemas.openxmlformats.org/officeDocument/2006/relationships/hyperlink" Target="https://www.vishay.com/quality/pcn-doc/PTN-DD-00015-2019-Rev-0/DD-015-2019%20Rev%200.pdf/" TargetMode="External"/><Relationship Id="rId161" Type="http://schemas.openxmlformats.org/officeDocument/2006/relationships/hyperlink" Target="https://www.vishay.com/quality/pcn-doc/PCN-OSI-615-2012-Rev-0/pcn_osi_615_2012_rev0.pdf/" TargetMode="External"/><Relationship Id="rId217" Type="http://schemas.openxmlformats.org/officeDocument/2006/relationships/hyperlink" Target="https://www.vishay.com/quality/pcn-doc/PTN-MLC-00003-2019-Rev-0/PTN-MLC-00003-2019%20Changes%20to%20Available%20Ratings%20of%20VJ31%20VJ34%20Automotive%20Series.pdf/" TargetMode="External"/><Relationship Id="rId399" Type="http://schemas.openxmlformats.org/officeDocument/2006/relationships/hyperlink" Target="https://www.vishay.com/quality/pcn-doc/PCN-SIL-075-2014-Rev-0/PCN-SIL-0752014%20Power%20IC%20Obsolescence.pdf/" TargetMode="External"/><Relationship Id="rId259" Type="http://schemas.openxmlformats.org/officeDocument/2006/relationships/hyperlink" Target="https://www.vishay.com/quality/pcn-doc/PCN-SIL-0112010/PCN-SIL-0112010%20PPAK2x5%20Obsolescence.pdf/" TargetMode="External"/><Relationship Id="rId424" Type="http://schemas.openxmlformats.org/officeDocument/2006/relationships/hyperlink" Target="https://www.vishay.com/quality/pcn-doc/PCN-FC-003-2013-Rev-0/PCN-FC-003-2013%20Rev%200.pdf/" TargetMode="External"/><Relationship Id="rId466" Type="http://schemas.openxmlformats.org/officeDocument/2006/relationships/hyperlink" Target="https://www.vishay.com/quality/pcn-doc/PCN-DBR-005-2016-Rev-0/PCN-DBR-005-2016%20Rev0.pdf/" TargetMode="External"/><Relationship Id="rId23" Type="http://schemas.openxmlformats.org/officeDocument/2006/relationships/hyperlink" Target="https://www.vishay.com/quality/pcn-doc/PCN-NLR-001-2016-Rev-0/PTN-NLR-001-2016%20Rev0.pdf/" TargetMode="External"/><Relationship Id="rId119" Type="http://schemas.openxmlformats.org/officeDocument/2006/relationships/hyperlink" Target="https://www.vishay.com/quality/pcn-doc/PTN-DI-00388-2018-Rev-0/PCN-DI-00388-2018-IFSC1008ABER6R0M01.pdf/" TargetMode="External"/><Relationship Id="rId270" Type="http://schemas.openxmlformats.org/officeDocument/2006/relationships/hyperlink" Target="https://www.vishay.com/quality/pcn-doc/PTN-NLR-00004-2018-Rev-0/PTN-NLR-004-2018%20Withdrawal%20of%20PTCS%20sensing%20product%20series%20Rev0.pdf/" TargetMode="External"/><Relationship Id="rId326" Type="http://schemas.openxmlformats.org/officeDocument/2006/relationships/hyperlink" Target="https://www.vishay.com/quality/pcn-doc/PTN-SF-00219-2018-Rev-0/PTN%20SF%20FL219%202018%20Sfernice%20Rheostats%20RT500%20RT230%20RT100%20DRT55CC%20obsolescence.pdf/" TargetMode="External"/><Relationship Id="rId65" Type="http://schemas.openxmlformats.org/officeDocument/2006/relationships/hyperlink" Target="https://www.vishay.com/quality/pcn-doc/PTN-DD-00001-2020-Rev-0/DD-001-2020%20Rev%200.pdf/" TargetMode="External"/><Relationship Id="rId130" Type="http://schemas.openxmlformats.org/officeDocument/2006/relationships/hyperlink" Target="https://www.vishay.com/quality/pcn-doc/PCN-OMV-953-2017-Rev-0/ptn_omv_953_2017_rev0.pdf/" TargetMode="External"/><Relationship Id="rId368" Type="http://schemas.openxmlformats.org/officeDocument/2006/relationships/hyperlink" Target="https://www.vishay.com/quality/pcn-doc/PTN-SIL-030-2021-REV-0/PTN-SIL-030-2021-REV-0.pdf/" TargetMode="External"/><Relationship Id="rId172" Type="http://schemas.openxmlformats.org/officeDocument/2006/relationships/hyperlink" Target="https://www.vishay.com/quality/pcn-doc/PTN-DR-00012-2021-REV-0/PTN-DR-00012-2021-REV-0.pdf/" TargetMode="External"/><Relationship Id="rId228" Type="http://schemas.openxmlformats.org/officeDocument/2006/relationships/hyperlink" Target="https://www.vishay.com/quality/pcn-doc/PCN-SF-105-2011-Rev-0/PCN%20SF105%20Rev%200.pdf/" TargetMode="External"/><Relationship Id="rId435" Type="http://schemas.openxmlformats.org/officeDocument/2006/relationships/hyperlink" Target="https://www.vishay.com/quality/pcn-doc/PCN-FC-001-2011-Rev-0/PCN-FC-001-2011.pdf/" TargetMode="External"/><Relationship Id="rId477" Type="http://schemas.openxmlformats.org/officeDocument/2006/relationships/hyperlink" Target="https://www.vishay.com/quality/pcn-doc/PCN-DD-008-2012-Rev-0/PCN-DD-008-2012%20Rev%200_EOL%20of%20Superectifier%20Products%20with%20PKG%20Code%2053.pdf/" TargetMode="External"/><Relationship Id="rId281" Type="http://schemas.openxmlformats.org/officeDocument/2006/relationships/hyperlink" Target="https://www.vishay.com/quality/pcn-doc/PTN-OMV-01010-2017-Rev-0/pcn_omv_1010_2017_rev0.pdf/" TargetMode="External"/><Relationship Id="rId337" Type="http://schemas.openxmlformats.org/officeDocument/2006/relationships/hyperlink" Target="https://www.vishay.com/quality/pcn-doc/PTN-SF-266-2021-REV-0/PTN-SF-266-2021-REV-0.pdf/" TargetMode="External"/><Relationship Id="rId34" Type="http://schemas.openxmlformats.org/officeDocument/2006/relationships/hyperlink" Target="https://www.vishay.com/quality/pcn-doc/PTN-DBR-00000-2019-Rev-0/PTN-DBR-00007-2019%20Rev0.pdf/" TargetMode="External"/><Relationship Id="rId76" Type="http://schemas.openxmlformats.org/officeDocument/2006/relationships/hyperlink" Target="https://www.vishay.com/quality/pcn-doc/PCN-OMV-693-2013-Rev-0/ptn_omv_693_2013_rev0.pdf/" TargetMode="External"/><Relationship Id="rId141" Type="http://schemas.openxmlformats.org/officeDocument/2006/relationships/hyperlink" Target="https://www.vishay.com/quality/pcn-doc/PTN-DI-00494-2020-Rev-0/PCN-DI-00494-2020.pdf/" TargetMode="External"/><Relationship Id="rId379" Type="http://schemas.openxmlformats.org/officeDocument/2006/relationships/hyperlink" Target="https://www.vishay.com/quality/pcn-doc/PCN-SIL-055-2014-Rev-1/PCN-SIL-0552014%20EOL%20with%20SQD50N04-5M6%20Replacement.pdf/" TargetMode="External"/><Relationship Id="rId7" Type="http://schemas.openxmlformats.org/officeDocument/2006/relationships/hyperlink" Target="https://www.vishay.com/quality/pcn-doc/PCN-AC-005-2011-Rev-1/PCN-AC-005-2011_Rev1.pdf/" TargetMode="External"/><Relationship Id="rId183" Type="http://schemas.openxmlformats.org/officeDocument/2006/relationships/hyperlink" Target="https://www.vishay.com/quality/pcn-doc/PTN-DR-00020-2020-Rev-1/PTN_LVR%20Resistors_PTN-DR-00020%20Rev%201.pdf/" TargetMode="External"/><Relationship Id="rId239" Type="http://schemas.openxmlformats.org/officeDocument/2006/relationships/hyperlink" Target="https://www.vishay.com/quality/pcn-doc/PCN-SF-146-2014-Rev-0/PTN%20SF%20FL146%202014%20Sfernice%20Metal%20Film%20NK%20NY%20NP%20NT%20SL%20obsolescence.pdf/" TargetMode="External"/><Relationship Id="rId390" Type="http://schemas.openxmlformats.org/officeDocument/2006/relationships/hyperlink" Target="https://www.vishay.com/quality/pcn-doc/PCN-MLC-002-2017-Rev-0/PTN-MLC-002-2017%20VJ%20Non%20Magnetic%20Epoxy%20Bonding%20Series%20remove%20high%20voltage%20ratings%20size%201812%20DF.pdf/" TargetMode="External"/><Relationship Id="rId404" Type="http://schemas.openxmlformats.org/officeDocument/2006/relationships/hyperlink" Target="https://www.vishay.com/quality/pcn-doc/PCN-HPP-012-2009-Rev-00/PCN-HPP%20012-2009%20Rev0.pdf/" TargetMode="External"/><Relationship Id="rId446" Type="http://schemas.openxmlformats.org/officeDocument/2006/relationships/hyperlink" Target="https://www.vishay.com/quality/pcn-doc/PTN-AC-00501-2019-Rev-0/PCN-AC-00501-2019%20Rev%200_PhaseOut_45F-Cells_196HVC.pdf/" TargetMode="External"/><Relationship Id="rId250" Type="http://schemas.openxmlformats.org/officeDocument/2006/relationships/hyperlink" Target="https://www.vishay.com/quality/pcn-doc/PTN-MLC-00013-2021-REV-0/PTN-MLC-00013-2021-REV-0.pdf/" TargetMode="External"/><Relationship Id="rId292" Type="http://schemas.openxmlformats.org/officeDocument/2006/relationships/hyperlink" Target="https://www.vishay.com/quality/pcn-doc/PTN-OMV-01070-2019-Rev-0/ptn_omv_1070_2019_rev0.pdf/" TargetMode="External"/><Relationship Id="rId306" Type="http://schemas.openxmlformats.org/officeDocument/2006/relationships/hyperlink" Target="https://www.vishay.com/quality/pcn-doc/PTN-OPT-1196-2021-REV-0/PTN-OPT-1196-2021-REV-0-VERSION-4868.pdf/" TargetMode="External"/><Relationship Id="rId488" Type="http://schemas.openxmlformats.org/officeDocument/2006/relationships/hyperlink" Target="https://www.vishay.com/quality/pcn-doc/PCN-DD-032-2015-Rev-0/PCN-DD-032-2015%20Rev%200_Product%20Discontinuance%20of%20Superectifier%20Products%20for%20Automotive%20Grade.pdf/" TargetMode="External"/><Relationship Id="rId45" Type="http://schemas.openxmlformats.org/officeDocument/2006/relationships/hyperlink" Target="https://www.vishay.com/quality/pcn-doc/PCN-OMV-581-2012-Rev-0/pcn_omv_581_2012_rev0.pdf/" TargetMode="External"/><Relationship Id="rId87" Type="http://schemas.openxmlformats.org/officeDocument/2006/relationships/hyperlink" Target="https://www.vishay.com/quality/pcn-doc/PTN-DD-00011-2020-Rev-0/DD-011-2020%20Rev%200.pdf/" TargetMode="External"/><Relationship Id="rId110" Type="http://schemas.openxmlformats.org/officeDocument/2006/relationships/hyperlink" Target="https://www.vishay.com/quality/pcn-doc/PCN-OMV-847-2015-Rev-0/ptn_omv_847_2015_rev0.pdf/" TargetMode="External"/><Relationship Id="rId348" Type="http://schemas.openxmlformats.org/officeDocument/2006/relationships/hyperlink" Target="https://www.vishay.com/quality/pcn-doc/PCN-SIL-037-2014-Rev-1/PCN-SIL-0372014%20EOL%20with%20Replacement.pdf/" TargetMode="External"/><Relationship Id="rId152" Type="http://schemas.openxmlformats.org/officeDocument/2006/relationships/hyperlink" Target="https://www.vishay.com/quality/pcn-doc/PTN-DR-00001-2022-REV-0/PTN-DR-00001-2022-REV-0.pdf/" TargetMode="External"/><Relationship Id="rId194" Type="http://schemas.openxmlformats.org/officeDocument/2006/relationships/hyperlink" Target="https://www.vishay.com/quality/pcn-doc/PTN-DR-24-2021-REV-0/PTN-DR-24-2021-REV-0.pdf/" TargetMode="External"/><Relationship Id="rId208" Type="http://schemas.openxmlformats.org/officeDocument/2006/relationships/hyperlink" Target="https://www.vishay.com/quality/pcn-doc/PTN-FC-001-2022-REV-0/PTN-FC-001-2022-REV-0.pdf/" TargetMode="External"/><Relationship Id="rId415" Type="http://schemas.openxmlformats.org/officeDocument/2006/relationships/hyperlink" Target="https://www.vishay.com/quality/pcn-doc/PCN-SIL-107-2014-Rev-0/PCN-SIL-1072014%20Commercial%20LVM%20End%20of%20Life.pdf/" TargetMode="External"/><Relationship Id="rId457" Type="http://schemas.openxmlformats.org/officeDocument/2006/relationships/hyperlink" Target="https://www.vishay.com/quality/pcn-doc/PCN-AC-503-2011-Rev-0/PCN-AC-503-2011%20rev0.pdf/" TargetMode="External"/><Relationship Id="rId261" Type="http://schemas.openxmlformats.org/officeDocument/2006/relationships/hyperlink" Target="https://www.vishay.com/quality/pcn-doc/PCN-SIL-012-2012-Rev-1/PCN-SIL-0122012%20Commerical%20Power%20MOSFET%20Obsolescence%20Rev1.pdf/" TargetMode="External"/><Relationship Id="rId499" Type="http://schemas.openxmlformats.org/officeDocument/2006/relationships/hyperlink" Target="https://www.vishay.com/quality/pcn-doc/PCN-DR-004-2014-Rev-0/PTN-DR-004-2014%20Rev%200.pdf/" TargetMode="External"/><Relationship Id="rId14" Type="http://schemas.openxmlformats.org/officeDocument/2006/relationships/hyperlink" Target="https://www.vishay.com/quality/pcn-doc/PTN-AC-00502-2021-Rev-0/PTN-AC-00502-2021-Rev0_PhaseOut_BCc-EKC-136RVI.pdf/" TargetMode="External"/><Relationship Id="rId56" Type="http://schemas.openxmlformats.org/officeDocument/2006/relationships/hyperlink" Target="https://www.vishay.com/quality/pcn-doc/PCN-OMV-607-2012-Rev-0/pcn_omv_607_2012_rev0.pdf/" TargetMode="External"/><Relationship Id="rId317" Type="http://schemas.openxmlformats.org/officeDocument/2006/relationships/hyperlink" Target="https://www.vishay.com/quality/pcn-doc/PTN-OSI-01103-2019-Rev-0/ptn_osi_1103_2019_rev0.pdf/" TargetMode="External"/><Relationship Id="rId359" Type="http://schemas.openxmlformats.org/officeDocument/2006/relationships/hyperlink" Target="https://www.vishay.com/quality/pcn-doc/PCN-SIL-039-2016-Rev-0/PCN-SIL-0392016%20Commercial%20LVM%20End%20of%20Life.pdf/" TargetMode="External"/><Relationship Id="rId98" Type="http://schemas.openxmlformats.org/officeDocument/2006/relationships/hyperlink" Target="https://www.vishay.com/quality/pcn-doc/PCN-OMV-749-2014-Rev-0/ptn_omv_749_2014_rev0.pdf/" TargetMode="External"/><Relationship Id="rId121" Type="http://schemas.openxmlformats.org/officeDocument/2006/relationships/hyperlink" Target="https://www.vishay.com/quality/pcn-doc/PTN-DI-00423-2019-Rev-0/PSN-DI-00423-2019.pdf/" TargetMode="External"/><Relationship Id="rId163" Type="http://schemas.openxmlformats.org/officeDocument/2006/relationships/hyperlink" Target="https://www.vishay.com/quality/pcn-doc/PTN-DR-00010-2020-Rev-0/PTN_PH%20Resistors_Final.pdf/" TargetMode="External"/><Relationship Id="rId219" Type="http://schemas.openxmlformats.org/officeDocument/2006/relationships/hyperlink" Target="https://www.vishay.com/quality/pcn-doc/PCN-SF-088-2009-Rev-1/PCN%20SF%20088.pdf/" TargetMode="External"/><Relationship Id="rId370" Type="http://schemas.openxmlformats.org/officeDocument/2006/relationships/hyperlink" Target="https://www.vishay.com/quality/pcn-doc/PCN-SIL-048-2012-Rev-2/PCN-SIL-0482012%20EOL%20SOT-223,%20DPAK,%20IPAK%20Sn-PB%20ProductsRev2.pdf/" TargetMode="External"/><Relationship Id="rId426" Type="http://schemas.openxmlformats.org/officeDocument/2006/relationships/hyperlink" Target="https://www.vishay.com/quality/pcn-doc/PCN-FC-003-2012-Rev-0/PCN-FC-003-2012%20EOL%20F1776.pdf/" TargetMode="External"/><Relationship Id="rId230" Type="http://schemas.openxmlformats.org/officeDocument/2006/relationships/hyperlink" Target="https://www.vishay.com/quality/pcn-doc/PCN-SF-108-2011-Rev-0/PCN%20SF108%20Rev%200.pdf/" TargetMode="External"/><Relationship Id="rId468" Type="http://schemas.openxmlformats.org/officeDocument/2006/relationships/hyperlink" Target="https://www.vishay.com/quality/pcn-doc/PCN-DBR-007-2010-Rev-0/PCN-DBR-007-2010.pdf/" TargetMode="External"/><Relationship Id="rId25" Type="http://schemas.openxmlformats.org/officeDocument/2006/relationships/hyperlink" Target="https://www.vishay.com/quality/pcn-doc/PCN-NLR-004-2013-Rev-0/PCN-NLR-004-2013%20Rev0.pdf/" TargetMode="External"/><Relationship Id="rId67" Type="http://schemas.openxmlformats.org/officeDocument/2006/relationships/hyperlink" Target="https://www.vishay.com/quality/pcn-doc/PTN-DD-00002-2020-Rev-0/DD-002-2020%20Rev%200.pdf/" TargetMode="External"/><Relationship Id="rId272" Type="http://schemas.openxmlformats.org/officeDocument/2006/relationships/hyperlink" Target="https://www.vishay.com/quality/pcn-doc/PCN-SIL-015-2014-Rev-1/PCN-SIL-0152014%20EOL%20with%20Replacement%20Rev1.pdf/" TargetMode="External"/><Relationship Id="rId328" Type="http://schemas.openxmlformats.org/officeDocument/2006/relationships/hyperlink" Target="https://www.vishay.com/quality/pcn-doc/PTN-SF-00223-2018-Rev-0/PTN%20SF%20FL223%202018%20Sfernice%20Spectrol%20DIALS%20model%2028%20obsolescence.pdf/" TargetMode="External"/><Relationship Id="rId132" Type="http://schemas.openxmlformats.org/officeDocument/2006/relationships/hyperlink" Target="https://www.vishay.com/quality/pcn-doc/PCN-OMV-969-2017-Rev-0/ptn_omv_969_2017_rev0.pdf/" TargetMode="External"/><Relationship Id="rId174" Type="http://schemas.openxmlformats.org/officeDocument/2006/relationships/hyperlink" Target="https://www.vishay.com/quality/pcn-doc/PTN-DR-00013-2020-Rev-0/PTN-DR-00013%202020%20Rev%200.pdf/" TargetMode="External"/><Relationship Id="rId381" Type="http://schemas.openxmlformats.org/officeDocument/2006/relationships/hyperlink" Target="https://www.vishay.com/quality/pcn-doc/PTN-TC-00012-2017-Rev-0/PTN%20TC012-2017.pdf/" TargetMode="External"/><Relationship Id="rId241" Type="http://schemas.openxmlformats.org/officeDocument/2006/relationships/hyperlink" Target="https://www.vishay.com/quality/pcn-doc/PCN-SF-151-2015-Rev-0/PCN_SF151_2015_Rev%200%20Thales%20A000064.pdf/" TargetMode="External"/><Relationship Id="rId437" Type="http://schemas.openxmlformats.org/officeDocument/2006/relationships/hyperlink" Target="https://www.vishay.com/quality/pcn-doc/PCN-DR-022-2015-Rev-0/PTN-DR-022-2015.pdf/" TargetMode="External"/><Relationship Id="rId479" Type="http://schemas.openxmlformats.org/officeDocument/2006/relationships/hyperlink" Target="https://www.vishay.com/quality/pcn-doc/PCN-DD-012-2012-Rev-1/PCN-DD-012-2012%20Rev%201_EOL%20Bridge%20Rectifier%20of%20VSIB6A%20to%2025%20series.pdf/" TargetMode="External"/><Relationship Id="rId36" Type="http://schemas.openxmlformats.org/officeDocument/2006/relationships/hyperlink" Target="https://www.vishay.com/quality/pcn-doc/PTN-DBR-00001-2020-Rev-0/PTN-DBR-00001-2020%20Rev0.pdf/" TargetMode="External"/><Relationship Id="rId283" Type="http://schemas.openxmlformats.org/officeDocument/2006/relationships/hyperlink" Target="https://www.vishay.com/quality/pcn-doc/PTN-OMV-01011-2017-Rev-0/pcn_omv_1011_2017_rev0.pdf/" TargetMode="External"/><Relationship Id="rId339" Type="http://schemas.openxmlformats.org/officeDocument/2006/relationships/hyperlink" Target="https://www.vishay.com/quality/pcn-doc/PCN-SIL-030-2016-Rev-1/PCN-SIL-0302016Rev1%20EOL_SCLA_LICs.pdf/" TargetMode="External"/><Relationship Id="rId490" Type="http://schemas.openxmlformats.org/officeDocument/2006/relationships/hyperlink" Target="https://www.vishay.com/quality/pcn-doc/PCN-DI-145-2012-Rev-0/PCN-DI-145-2012.pdf/" TargetMode="External"/><Relationship Id="rId78" Type="http://schemas.openxmlformats.org/officeDocument/2006/relationships/hyperlink" Target="https://www.vishay.com/quality/pcn-doc/PTN-DD-00008-2018-Rev-00/DD-008-2018%20Rev%200.pdf/" TargetMode="External"/><Relationship Id="rId101" Type="http://schemas.openxmlformats.org/officeDocument/2006/relationships/hyperlink" Target="https://www.vishay.com/quality/pcn-doc/PTN-DD-00020-2018-Rev-00/DD-020-2018%20Rev%200.pdf/" TargetMode="External"/><Relationship Id="rId143" Type="http://schemas.openxmlformats.org/officeDocument/2006/relationships/hyperlink" Target="https://www.vishay.com/quality/pcn-doc/PCN-OSI-448-2010-Rev-0/osi_448_2010_rev0.pdf/" TargetMode="External"/><Relationship Id="rId185" Type="http://schemas.openxmlformats.org/officeDocument/2006/relationships/hyperlink" Target="https://www.vishay.com/quality/pcn-doc/PTN-DR-00022-2020-Rev-0/PTN_M49465%20Resistors_PTN_-DR-00022%202020%20Rev%200.pdf/" TargetMode="External"/><Relationship Id="rId350" Type="http://schemas.openxmlformats.org/officeDocument/2006/relationships/hyperlink" Target="https://www.vishay.com/quality/pcn-doc/PTN-SIL-00015-2008-Rev-0/PCN-SIL-0152018%20Commercial%20LVM%20End%20of%20Life%20rev1.pdf/" TargetMode="External"/><Relationship Id="rId406" Type="http://schemas.openxmlformats.org/officeDocument/2006/relationships/hyperlink" Target="https://www.vishay.com/quality/pcn-doc/PCN-HPP-008-2010-Rev-00/PCN-HPP%20008-2010%20Rev0%20.pdf/" TargetMode="External"/><Relationship Id="rId9" Type="http://schemas.openxmlformats.org/officeDocument/2006/relationships/hyperlink" Target="https://www.vishay.com/quality/pcn-doc/PCN-MLC-005-2017-Rev-0/PTN-MLC-005-2017%20VJ31VJ34%20Automotive%20Series%20remove%20high%20voltage%20ratings%20size%201812.pdf/" TargetMode="External"/><Relationship Id="rId210" Type="http://schemas.openxmlformats.org/officeDocument/2006/relationships/hyperlink" Target="https://www.vishay.com/quality/pcn-doc/PCN-PDD-002-2010-Rev-0/PCN-PDD-002-2010%20Rev%200_Discontinuation%20of%20TO-3P%20TMBS.pdf/" TargetMode="External"/><Relationship Id="rId392" Type="http://schemas.openxmlformats.org/officeDocument/2006/relationships/hyperlink" Target="https://www.vishay.com/quality/pcn-doc/PCN-MLC-002-2013-Rev-0/PCN-MLC-002-2013%20VJ%20HiRel%20Series%20Streamlining.pdf/" TargetMode="External"/><Relationship Id="rId448" Type="http://schemas.openxmlformats.org/officeDocument/2006/relationships/hyperlink" Target="https://www.vishay.com/quality/pcn-doc/PTN-AC-00501-2018-Rev-0/PCN-AC-501-2018%20Rev%200_PhaseOut_ROE_SI_EYN_EYH.pdf/" TargetMode="External"/><Relationship Id="rId252" Type="http://schemas.openxmlformats.org/officeDocument/2006/relationships/hyperlink" Target="https://www.vishay.com/quality/pcn-doc/PTN-MLC-00014-2017-Rev-0/PTN-MLC-014-2017%20Remove%20large%20reel%20R%20offer%20for%20size%202220%202225%20from%20HV%20High%20Voltage.pdf/" TargetMode="External"/><Relationship Id="rId294" Type="http://schemas.openxmlformats.org/officeDocument/2006/relationships/hyperlink" Target="https://www.vishay.com/quality/pcn-doc/PCN-SIL-021-2014-Rev-1/PCN-SIL-0212014%20EOL%20with%20Replacement.pdf/" TargetMode="External"/><Relationship Id="rId308" Type="http://schemas.openxmlformats.org/officeDocument/2006/relationships/hyperlink" Target="https://www.vishay.com/quality/pcn-doc/PTN-OPT-1198-2021-REV-0/PTN-OPT-1198-2021-REV-0.pdf/" TargetMode="External"/><Relationship Id="rId47" Type="http://schemas.openxmlformats.org/officeDocument/2006/relationships/hyperlink" Target="https://www.vishay.com/quality/pcn-doc/PTN-DBR-00005-2019-Rev-0/PTN-DBR-00005-2019%20Rev0.pdf/" TargetMode="External"/><Relationship Id="rId89" Type="http://schemas.openxmlformats.org/officeDocument/2006/relationships/hyperlink" Target="https://www.vishay.com/quality/pcn-doc/PCN-OMV-731-2014-Rev-0/ptn_omv_731_2014_rev0.pdf/" TargetMode="External"/><Relationship Id="rId112" Type="http://schemas.openxmlformats.org/officeDocument/2006/relationships/hyperlink" Target="https://www.vishay.com/quality/pcn-doc/PCN-OMV-863-2015-Rev-0/ptn_omv_863_2015_rev0.pdf/" TargetMode="External"/><Relationship Id="rId154" Type="http://schemas.openxmlformats.org/officeDocument/2006/relationships/hyperlink" Target="https://www.vishay.com/quality/pcn-doc/PCN-OSI-579-2012-Rev-0/pcn_osi_579_2012_rev0.pdf/" TargetMode="External"/><Relationship Id="rId361" Type="http://schemas.openxmlformats.org/officeDocument/2006/relationships/hyperlink" Target="https://www.vishay.com/quality/pcn-doc/PCN-SIL-043-2014-Rev-2/PCN-SIL-0432014%20Rev2%20EOL%20with%2045M%20Replacement.pdf/" TargetMode="External"/><Relationship Id="rId196" Type="http://schemas.openxmlformats.org/officeDocument/2006/relationships/hyperlink" Target="https://www.vishay.com/quality/pcn-doc/PTN-FC-00001-2019-Rev-0/PTN-FC-001-2019Rev0.pdf/" TargetMode="External"/><Relationship Id="rId417" Type="http://schemas.openxmlformats.org/officeDocument/2006/relationships/hyperlink" Target="https://www.vishay.com/quality/pcn-doc/PCN-SSP-396-2010-Rev-0/ssp_396_2010_rev0.pdf/" TargetMode="External"/><Relationship Id="rId459" Type="http://schemas.openxmlformats.org/officeDocument/2006/relationships/hyperlink" Target="https://www.vishay.com/quality/pcn-doc/PCN-AC-902-2001-Rev-0/PCN-AC-902-2012%20Discontinuation%201%20PN%20Oscon.pdf/" TargetMode="External"/><Relationship Id="rId16" Type="http://schemas.openxmlformats.org/officeDocument/2006/relationships/hyperlink" Target="https://www.vishay.com/quality/pcn-doc/PCN-NLR-001-2015-Rev-0/PCN-NLR-001-2015%20Rev%200.pdf/" TargetMode="External"/><Relationship Id="rId221" Type="http://schemas.openxmlformats.org/officeDocument/2006/relationships/hyperlink" Target="https://www.vishay.com/quality/pcn-doc/PTN-MLC-00004-2019-Rev-0/PTN-MLC-00004-2019%20Changes%20to%20Available%20Ratings%20of%20VJ31X%20ROHS%20Automotive%20Series.pdf/" TargetMode="External"/><Relationship Id="rId263" Type="http://schemas.openxmlformats.org/officeDocument/2006/relationships/hyperlink" Target="https://www.vishay.com/quality/pcn-doc/PTN-MLC-00030-2019-Rev-1/PTN-MLC-00030-2019%20Rev.1%20Changes%20to%20Available%20Ratings%20of%20CDR36%20and%20CDR37%20Products.pdf/" TargetMode="External"/><Relationship Id="rId319" Type="http://schemas.openxmlformats.org/officeDocument/2006/relationships/hyperlink" Target="https://www.vishay.com/quality/pcn-doc/PCN-SIL-025-2015-Rev-0/PCN-SIL-0252015%20Commercial%20LVM%20End%20of%20Life%20revA.pdf/" TargetMode="External"/><Relationship Id="rId470" Type="http://schemas.openxmlformats.org/officeDocument/2006/relationships/hyperlink" Target="https://www.vishay.com/quality/pcn-doc/PCN-DBR-008-2009/PCN-DBR-008-2009-REVB.pdf/" TargetMode="External"/><Relationship Id="rId58" Type="http://schemas.openxmlformats.org/officeDocument/2006/relationships/hyperlink" Target="https://www.vishay.com/quality/pcn-doc/PCN-OMV-679-2013-Rev-0/pcn_omv_679_2013_rev0.pdf/" TargetMode="External"/><Relationship Id="rId123" Type="http://schemas.openxmlformats.org/officeDocument/2006/relationships/hyperlink" Target="https://www.vishay.com/quality/pcn-doc/PTN-DI-00447-2019-Rev-0/PCN-DI-00447-2019.pdf/" TargetMode="External"/><Relationship Id="rId330" Type="http://schemas.openxmlformats.org/officeDocument/2006/relationships/hyperlink" Target="https://www.vishay.com/quality/pcn-doc/PCN-SIL-027-2015-Rev-0/PCN-SIL-0272015%20EOL%20TO-223%20Tube%20Pack%20Option.pdf/" TargetMode="External"/><Relationship Id="rId165" Type="http://schemas.openxmlformats.org/officeDocument/2006/relationships/hyperlink" Target="https://www.vishay.com/quality/pcn-doc/PCN-OSI-649-2013-Rev-0/pcn_osi_649_2013_rev0.pdf/" TargetMode="External"/><Relationship Id="rId372" Type="http://schemas.openxmlformats.org/officeDocument/2006/relationships/hyperlink" Target="https://www.vishay.com/quality/pcn-doc/PCN-SIL-051-2014-Rev-1/PCN-SIL-0512014%20EOL%20with%20300M%20Replacement.pdf/" TargetMode="External"/><Relationship Id="rId428" Type="http://schemas.openxmlformats.org/officeDocument/2006/relationships/hyperlink" Target="https://www.vishay.com/quality/pcn-doc/PCN-TC-001-2017-Rev-0/001-2017.pdf/" TargetMode="External"/><Relationship Id="rId232" Type="http://schemas.openxmlformats.org/officeDocument/2006/relationships/hyperlink" Target="https://www.vishay.com/quality/pcn-doc/PCN-SF-122-2012-Rev-1/PCN%20SF122%20Change%20of%20codification%20P%20option%200079.pdf/" TargetMode="External"/><Relationship Id="rId274" Type="http://schemas.openxmlformats.org/officeDocument/2006/relationships/hyperlink" Target="https://www.vishay.com/quality/pcn-doc/PTN-NLR-00006-2018-Rev-0/PTN-NLR-006-2018%20Withdrawal%20of%20NTHS1012%20Rev0.pdf/" TargetMode="External"/><Relationship Id="rId481" Type="http://schemas.openxmlformats.org/officeDocument/2006/relationships/hyperlink" Target="https://www.vishay.com/quality/pcn-doc/PCN-DD-016-2014-Rev-00/DD-016-2014%20Rev%200.pdf/" TargetMode="External"/><Relationship Id="rId27" Type="http://schemas.openxmlformats.org/officeDocument/2006/relationships/hyperlink" Target="https://www.vishay.com/quality/pcn-doc/PTN-CC-00005-2020-Rev-0/PTN-CC-00005-2020-Rev0.pdf/" TargetMode="External"/><Relationship Id="rId69" Type="http://schemas.openxmlformats.org/officeDocument/2006/relationships/hyperlink" Target="https://www.vishay.com/quality/pcn-doc/PTN-DD-00003-2018-Rev-0/DD-003-2018%20Rev%200.pdf/" TargetMode="External"/><Relationship Id="rId134" Type="http://schemas.openxmlformats.org/officeDocument/2006/relationships/hyperlink" Target="https://www.vishay.com/quality/pcn-doc/PCN-OSI-353-2009-Rev-0/osi_353_2009_rev0.pdf/" TargetMode="External"/><Relationship Id="rId80" Type="http://schemas.openxmlformats.org/officeDocument/2006/relationships/hyperlink" Target="https://www.vishay.com/quality/pcn-doc/PCN-OMV-707-2013-Rev-0/ptn_omv_707_2013_rev0.pdf/" TargetMode="External"/><Relationship Id="rId176" Type="http://schemas.openxmlformats.org/officeDocument/2006/relationships/hyperlink" Target="https://www.vishay.com/quality/pcn-doc/PCN-OSI-713-2013-Rev-0/ptn_osi_713_2013_rev0.pdf/" TargetMode="External"/><Relationship Id="rId341" Type="http://schemas.openxmlformats.org/officeDocument/2006/relationships/hyperlink" Target="https://www.vishay.com/quality/pcn-doc/PCN-SIL-033-2014-Rev-3/PCN-SIL-0332014%20Rev3%20EOL%20without%20replacement.pdf/" TargetMode="External"/><Relationship Id="rId383" Type="http://schemas.openxmlformats.org/officeDocument/2006/relationships/hyperlink" Target="https://www.vishay.com/quality/pcn-doc/PCN-SIL-057-2013-Rev-0/PCN-SIL-0572013%20Product%20Obsolescence.pdf/" TargetMode="External"/><Relationship Id="rId439" Type="http://schemas.openxmlformats.org/officeDocument/2006/relationships/hyperlink" Target="https://www.vishay.com/quality/pcn-doc/PCN-DR-021-2015-Rev-0/PTN-DR-021-2015.pdf/" TargetMode="External"/><Relationship Id="rId201" Type="http://schemas.openxmlformats.org/officeDocument/2006/relationships/hyperlink" Target="https://www.vishay.com/quality/pcn-doc/PTN-FC-00002-2018-Rev-0/PTN-FC-002-2018Rev0.pdf/" TargetMode="External"/><Relationship Id="rId243" Type="http://schemas.openxmlformats.org/officeDocument/2006/relationships/hyperlink" Target="https://www.vishay.com/quality/pcn-doc/PCN-SIL-004-2011-Rev-0/PCN-SIL-0042011%20Commerical%20Power%20MOSFET%20Obsolescence.pdf/" TargetMode="External"/><Relationship Id="rId285" Type="http://schemas.openxmlformats.org/officeDocument/2006/relationships/hyperlink" Target="https://www.vishay.com/quality/pcn-doc/PTN-OMV-01013-2018-Rev-0/pcn_omv_1013_2018_rev0.pdf/" TargetMode="External"/><Relationship Id="rId450" Type="http://schemas.openxmlformats.org/officeDocument/2006/relationships/hyperlink" Target="https://www.vishay.com/quality/pcn-doc/PCN-TC-010-2014-Rev-0/PCN%20TC010-2014%20Rev%200.pdf/" TargetMode="External"/><Relationship Id="rId38" Type="http://schemas.openxmlformats.org/officeDocument/2006/relationships/hyperlink" Target="https://www.vishay.com/quality/pcn-doc/PCN-OMV-483-2011-Rev-0/ptn_omv_483_2011_rev0.pdf/" TargetMode="External"/><Relationship Id="rId103" Type="http://schemas.openxmlformats.org/officeDocument/2006/relationships/hyperlink" Target="https://www.vishay.com/quality/pcn-doc/PCN-OMV-793-2014-Rev-0/ptn_omv_793_2014_rev0.pdf/" TargetMode="External"/><Relationship Id="rId310" Type="http://schemas.openxmlformats.org/officeDocument/2006/relationships/hyperlink" Target="https://www.vishay.com/quality/pcn-doc/PTN%20OSI-1007-2017-Rev-0/pcn_osi_1007_2017_rev0.pdf/" TargetMode="External"/><Relationship Id="rId492" Type="http://schemas.openxmlformats.org/officeDocument/2006/relationships/hyperlink" Target="https://www.vishay.com/quality/pcn-doc/PCN-DI-271-2016-Rev-0/PCN-DI-271-2016.pdf/" TargetMode="External"/><Relationship Id="rId91" Type="http://schemas.openxmlformats.org/officeDocument/2006/relationships/hyperlink" Target="https://www.vishay.com/quality/pcn-doc/PCN-OMV-733-2014-Rev-0/ptn_omv_733_2014_rev0.pdf/" TargetMode="External"/><Relationship Id="rId145" Type="http://schemas.openxmlformats.org/officeDocument/2006/relationships/hyperlink" Target="https://www.vishay.com/quality/pcn-doc/PCN-OSI-477-2011-Rev-0/ptn_osi_477_2011_rev0.pdf/" TargetMode="External"/><Relationship Id="rId187" Type="http://schemas.openxmlformats.org/officeDocument/2006/relationships/hyperlink" Target="https://www.vishay.com/quality/pcn-doc/PCN-OSI-799-2014-Rev-0/ptn_osi_799_2014_rev0.pdf/" TargetMode="External"/><Relationship Id="rId352" Type="http://schemas.openxmlformats.org/officeDocument/2006/relationships/hyperlink" Target="https://www.vishay.com/quality/pcn-doc/PTN-SIL-00016-2017-Rev-0/PCN-SIL-0162017%20Commercial%20LVM%20End%20of%20Life.pdf/" TargetMode="External"/><Relationship Id="rId394" Type="http://schemas.openxmlformats.org/officeDocument/2006/relationships/hyperlink" Target="https://www.vishay.com/quality/pcn-doc/PCN-MLC-001-2017-Rev-0/PTN-MLC-001-2017%20Rev%200%20Vitramon%20Anttenas.pdf/" TargetMode="External"/><Relationship Id="rId408" Type="http://schemas.openxmlformats.org/officeDocument/2006/relationships/hyperlink" Target="https://www.vishay.com/quality/pcn-doc/PCN-HPP-007-2010-Rev-00/PCN-HPP%20007-2010%20Rev0.pdf/" TargetMode="External"/><Relationship Id="rId212" Type="http://schemas.openxmlformats.org/officeDocument/2006/relationships/hyperlink" Target="https://www.vishay.com/quality/pcn-doc/PTN-MLC-00001-2019-Rev-0/PTN-MLC-00001-2019%20Change%20of%20available%20VJ...W1BC%20Y5V%20Hi-Cap%20ratings.pdf/" TargetMode="External"/><Relationship Id="rId254" Type="http://schemas.openxmlformats.org/officeDocument/2006/relationships/hyperlink" Target="https://www.vishay.com/quality/pcn-doc/PTN-MLC-00015-2017-Rev-0/PTN-MLC-015-2017%20Remove%20Controlled%20Discharge%20Capacitor%20171205.pdf/" TargetMode="External"/><Relationship Id="rId49" Type="http://schemas.openxmlformats.org/officeDocument/2006/relationships/hyperlink" Target="https://www.vishay.com/quality/pcn-doc/PCN-OMV-592-2012-Rev-0/pcn_omv_592_2012_rev0.pdf/" TargetMode="External"/><Relationship Id="rId114" Type="http://schemas.openxmlformats.org/officeDocument/2006/relationships/hyperlink" Target="https://www.vishay.com/quality/pcn-doc/PTN-DI-00376-2017-Rev-0/PCN-DI-00376-2017%20EB81.pdf/" TargetMode="External"/><Relationship Id="rId296" Type="http://schemas.openxmlformats.org/officeDocument/2006/relationships/hyperlink" Target="https://www.vishay.com/quality/pcn-doc/PCN-SIL-0212010/PCN-SIL-0212010%20GTBF%20EOL.pdf/" TargetMode="External"/><Relationship Id="rId461" Type="http://schemas.openxmlformats.org/officeDocument/2006/relationships/hyperlink" Target="https://www.vishay.com/quality/pcn-doc/PCN-CC-001-2014-Rev-00/PCN-CC-001-2014%20Rev0.pdf/" TargetMode="External"/><Relationship Id="rId60" Type="http://schemas.openxmlformats.org/officeDocument/2006/relationships/hyperlink" Target="https://www.vishay.com/quality/pcn-doc/PTN-DBR-00010-2021-REV-1/PTN-DBR-00010-2021-REV-1.pdf/" TargetMode="External"/><Relationship Id="rId156" Type="http://schemas.openxmlformats.org/officeDocument/2006/relationships/hyperlink" Target="https://www.vishay.com/quality/pcn-doc/PCN-OSI-584-2012-Rev-0/pcn_osi_584_2012_rev0.pdf/" TargetMode="External"/><Relationship Id="rId198" Type="http://schemas.openxmlformats.org/officeDocument/2006/relationships/hyperlink" Target="https://www.vishay.com/quality/pcn-doc/PCN-OSI-945-2007-Rev-0/ptn_osi_945_2017_rev0.pdf/" TargetMode="External"/><Relationship Id="rId321" Type="http://schemas.openxmlformats.org/officeDocument/2006/relationships/hyperlink" Target="https://www.vishay.com/quality/pcn-doc/PCN-SIL-0252010/PCN-SIL-0252010%20Commerical%20Power%20MOSFET%20Obsolescence.pdf/" TargetMode="External"/><Relationship Id="rId363" Type="http://schemas.openxmlformats.org/officeDocument/2006/relationships/hyperlink" Target="https://www.vishay.com/quality/pcn-doc/PCN-SIL-045-2014-Rev-3/PCN-SIL-0452014%20Rev3%20EOL%20with%2090M%20Replacement.pdf/" TargetMode="External"/><Relationship Id="rId419" Type="http://schemas.openxmlformats.org/officeDocument/2006/relationships/hyperlink" Target="https://www.vishay.com/quality/pcn-doc/PCN-FC-006-2014-Rev-0/PCN-FC-006-2014.pdf/" TargetMode="External"/><Relationship Id="rId223" Type="http://schemas.openxmlformats.org/officeDocument/2006/relationships/hyperlink" Target="https://www.vishay.com/quality/pcn-doc/PTN-MLC-00005-2019-Rev-0/PTN-MLC-00005-2019%20Changes%20to%20Available%20Ratings%20of%20GA31G%20Automotive%20Series.pdf/" TargetMode="External"/><Relationship Id="rId430" Type="http://schemas.openxmlformats.org/officeDocument/2006/relationships/hyperlink" Target="https://www.vishay.com/quality/pcn-doc/PCN-FC-003-2010-Rev-0/PCN-FC-003-2010%20EOL%20F1762%20F1764.pdf/" TargetMode="External"/><Relationship Id="rId18" Type="http://schemas.openxmlformats.org/officeDocument/2006/relationships/hyperlink" Target="https://www.vishay.com/quality/pcn-doc/PTN-AC-00503-2021-REV-1/PTN-AC-00503-2021-REV-1.pdf/" TargetMode="External"/><Relationship Id="rId265" Type="http://schemas.openxmlformats.org/officeDocument/2006/relationships/hyperlink" Target="https://www.vishay.com/quality/pcn-doc/PTN-NLR-00003-2019-Rev-1/PTN-NLR-003-2019%20Withdrawal%20of%20MCT%20series%20curve%207%20Rev1.pdf/" TargetMode="External"/><Relationship Id="rId472" Type="http://schemas.openxmlformats.org/officeDocument/2006/relationships/hyperlink" Target="https://www.vishay.com/quality/pcn-doc/PCN-DBR-033-2009-Rev-1/PCN-DBR-033-2009.pdf/" TargetMode="External"/><Relationship Id="rId125" Type="http://schemas.openxmlformats.org/officeDocument/2006/relationships/hyperlink" Target="https://www.vishay.com/quality/pcn-doc/PTN-DI-00474-2020-Rev-0/PCN-DI-00474-2020.pdf/" TargetMode="External"/><Relationship Id="rId167" Type="http://schemas.openxmlformats.org/officeDocument/2006/relationships/hyperlink" Target="https://www.vishay.com/quality/pcn-doc/PCN-OSI-675-2013-Rev-0/pcn_osi_675_2013_rev0.pdf/" TargetMode="External"/><Relationship Id="rId332" Type="http://schemas.openxmlformats.org/officeDocument/2006/relationships/hyperlink" Target="https://www.vishay.com/quality/pcn-doc/PCN-SIL-029-2014-Rev-1/PCN-SIL-0292014%20EOL%20with%20Replacement%20SQM120N04-1m9.pdf/" TargetMode="External"/><Relationship Id="rId374" Type="http://schemas.openxmlformats.org/officeDocument/2006/relationships/hyperlink" Target="https://www.vishay.com/quality/pcn-doc/PTN-SIL-041-2020-REV-0/PTN-SIL-041-2020-REV-0.pdf/" TargetMode="External"/><Relationship Id="rId71" Type="http://schemas.openxmlformats.org/officeDocument/2006/relationships/hyperlink" Target="https://www.vishay.com/quality/pcn-doc/PTN-DD-00004-2021-Rev-0/PCN-DD-004-2021%20Rev%200_Product%20Discontinuation%20of%20RCT%20and%20TVS%20Products.pdf/" TargetMode="External"/><Relationship Id="rId234" Type="http://schemas.openxmlformats.org/officeDocument/2006/relationships/hyperlink" Target="https://www.vishay.com/quality/pcn-doc/PTN-MLC-00009-2021-REV-0/PTN-MLC-00009-2021-REV-0-VERSION-4488.pdf/" TargetMode="External"/><Relationship Id="rId2" Type="http://schemas.openxmlformats.org/officeDocument/2006/relationships/hyperlink" Target="https://www.vishay.com/quality/pcn-doc/PCN-MLC-010-2013-Rev-0/PCN-MLC-010-2013%20Sub%201pF%20Cap%20Values.pdf/" TargetMode="External"/><Relationship Id="rId29" Type="http://schemas.openxmlformats.org/officeDocument/2006/relationships/hyperlink" Target="https://www.vishay.com/quality/pcn-doc/PCN-NLR-005-2016-Rev-0/PTN-NLR-005-2016%20Rev0.pdf/" TargetMode="External"/><Relationship Id="rId276" Type="http://schemas.openxmlformats.org/officeDocument/2006/relationships/hyperlink" Target="https://www.vishay.com/quality/pcn-doc/PCN-SIL-015-2014-Rev-2/PCN-SIL-0152014%20EOL%20with%20Replacement%20Rev2.pdf/" TargetMode="External"/><Relationship Id="rId441" Type="http://schemas.openxmlformats.org/officeDocument/2006/relationships/hyperlink" Target="https://www.vishay.com/quality/pcn-doc/PCN-TC-007-2014-Rev-0/PTN%20TC%20007%202014%20Rev%200.pdf/" TargetMode="External"/><Relationship Id="rId483" Type="http://schemas.openxmlformats.org/officeDocument/2006/relationships/hyperlink" Target="https://www.vishay.com/quality/pcn-doc/PCN-DD-017-2013-Rev-0/PCN-DD-017-2013%20Rev%200_EOL%20of%20Rectifier%20and%20TVS%20Products.pdf/" TargetMode="External"/><Relationship Id="rId40" Type="http://schemas.openxmlformats.org/officeDocument/2006/relationships/hyperlink" Target="https://www.vishay.com/quality/pcn-doc/PCN-OMV-553-2011-Rev-0/pcn_omv_553_2011_rev0.pdf/" TargetMode="External"/><Relationship Id="rId136" Type="http://schemas.openxmlformats.org/officeDocument/2006/relationships/hyperlink" Target="https://www.vishay.com/quality/pcn-doc/PCN-OSI-365-2009-Rev-0/osi_365_2009_rev0.pdf/" TargetMode="External"/><Relationship Id="rId178" Type="http://schemas.openxmlformats.org/officeDocument/2006/relationships/hyperlink" Target="https://www.vishay.com/quality/pcn-doc/PCN-OSI-757-2014-Rev-0/ptn_osi_757_2014_rev0.pdf/" TargetMode="External"/><Relationship Id="rId301" Type="http://schemas.openxmlformats.org/officeDocument/2006/relationships/hyperlink" Target="https://www.vishay.com/quality/pcn-doc/PTN-OMV-01116-2020-Rev-0/ptn_omv_1116_2020_rev0.pdf/" TargetMode="External"/><Relationship Id="rId343" Type="http://schemas.openxmlformats.org/officeDocument/2006/relationships/hyperlink" Target="https://www.vishay.com/quality/pcn-doc/PCN-SIL-035-2011-Rev-0/PCN-SIL-0352011%20Commerical%20Power%20MOSFET%20Obsolescence.pdf/" TargetMode="External"/><Relationship Id="rId82" Type="http://schemas.openxmlformats.org/officeDocument/2006/relationships/hyperlink" Target="https://www.vishay.com/quality/pcn-doc/PCN-OMV-709-2013-Rev-0/ptn_omv_709_2013_rev0.pdf/" TargetMode="External"/><Relationship Id="rId203" Type="http://schemas.openxmlformats.org/officeDocument/2006/relationships/hyperlink" Target="https://www.vishay.com/quality/pcn-doc/PTN-FC-00002-2019-Rev-0/PTN-FC-002-2019Rev0.pdf/" TargetMode="External"/><Relationship Id="rId385" Type="http://schemas.openxmlformats.org/officeDocument/2006/relationships/hyperlink" Target="https://www.vishay.com/quality/pcn-doc/PCN-SIL-059-2013-Rev-0/PCN-SIL-0592013%20PRD1045A_PRD1071%20Obsolescence.pdf/" TargetMode="External"/><Relationship Id="rId245" Type="http://schemas.openxmlformats.org/officeDocument/2006/relationships/hyperlink" Target="https://www.vishay.com/quality/pcn-doc/PCN-SIL-0042010/PCN-SIL-0042010%20TO92%20Obsolescence.pdf/" TargetMode="External"/><Relationship Id="rId287" Type="http://schemas.openxmlformats.org/officeDocument/2006/relationships/hyperlink" Target="https://www.vishay.com/quality/pcn-doc/PCN-SIL-019-2016-Rev-0/MIL-JFET%20OBSOLETE.pdf/" TargetMode="External"/><Relationship Id="rId410" Type="http://schemas.openxmlformats.org/officeDocument/2006/relationships/hyperlink" Target="https://www.vishay.com/quality/pcn-doc/PCN-SIL-085-2014-Rev-3/PCN-SIL-0852014%20Rev3%20Auto%20SQ2361EES%20PTN.pdf/" TargetMode="External"/><Relationship Id="rId452" Type="http://schemas.openxmlformats.org/officeDocument/2006/relationships/hyperlink" Target="https://www.vishay.com/quality/pcn-doc/PTN-AC-00002-2020-Rev-0/PTN-AC-00002-2020%20End%20of%20Life%20some%20Large%20can%20Roederstein%20series.pdf/" TargetMode="External"/><Relationship Id="rId494" Type="http://schemas.openxmlformats.org/officeDocument/2006/relationships/hyperlink" Target="https://www.vishay.com/quality/pcn-doc/PCN-DR-010-2015-Rev-0/PTN-DR-010-2015%20Rev0.pdf/" TargetMode="External"/><Relationship Id="rId105" Type="http://schemas.openxmlformats.org/officeDocument/2006/relationships/hyperlink" Target="https://www.vishay.com/quality/pcn-doc/PTN-DD-00021-2021-Rev-0/DD-021-2021%20Rev%200.pdf/" TargetMode="External"/><Relationship Id="rId147" Type="http://schemas.openxmlformats.org/officeDocument/2006/relationships/hyperlink" Target="https://www.vishay.com/quality/pcn-doc/PCN-OSI-489-2011-Rev-0/ptn_osi_489_2011_rev0.pdf/" TargetMode="External"/><Relationship Id="rId312" Type="http://schemas.openxmlformats.org/officeDocument/2006/relationships/hyperlink" Target="https://www.vishay.com/quality/pcn-doc/PTN-OSI-01061-2019-Rev-0/ptn_osi_1061_2019_rev0.pdf/" TargetMode="External"/><Relationship Id="rId354" Type="http://schemas.openxmlformats.org/officeDocument/2006/relationships/hyperlink" Target="https://www.vishay.com/quality/pcn-doc/PTN-SIL-00018-2019-Rev-0/PCN%20SIL-0182019%20EOL%20V961-0007-E3.pdf/" TargetMode="External"/><Relationship Id="rId51" Type="http://schemas.openxmlformats.org/officeDocument/2006/relationships/hyperlink" Target="https://www.vishay.com/quality/pcn-doc/PTN-DBR-00007-2019-Rev-0/PTN-DBR-0007-2019%20Rev0.pdf/" TargetMode="External"/><Relationship Id="rId93" Type="http://schemas.openxmlformats.org/officeDocument/2006/relationships/hyperlink" Target="https://www.vishay.com/quality/pcn-doc/PCN-OMV-735-2014-Rev-0/ptn_omv_735_2014_rev0.pdf/" TargetMode="External"/><Relationship Id="rId189" Type="http://schemas.openxmlformats.org/officeDocument/2006/relationships/hyperlink" Target="https://www.vishay.com/quality/pcn-doc/PCN-OSI-817-2015-Rev-0/ptn_osi_817_2015_rev0.pdf/" TargetMode="External"/><Relationship Id="rId396" Type="http://schemas.openxmlformats.org/officeDocument/2006/relationships/hyperlink" Target="https://www.vishay.com/quality/pcn-doc/PCN-MLC-001-2014-Rev-0/PCN-MLC-001-2014%20VJ31_VJ34%20Automotive%20Series%20Streamline%200805%20X5R%20Ceramic.pdf/" TargetMode="External"/><Relationship Id="rId214" Type="http://schemas.openxmlformats.org/officeDocument/2006/relationships/hyperlink" Target="https://www.vishay.com/quality/pcn-doc/PCN-PDD-005-2010-Rev-0/PCN-PDD-005-2010%20Rev%200_Discontinuation%20of%20Non%20Preferred%20Packing%20Materials.pdf/" TargetMode="External"/><Relationship Id="rId256" Type="http://schemas.openxmlformats.org/officeDocument/2006/relationships/hyperlink" Target="https://www.vishay.com/quality/pcn-doc/PTN-MLC-00015-2018-Rev-0/PTN-MLC-00015-2018%20Discontinuation%20of%20MLCC%20Chip%20Array%20VJ06C4....W1BC.pdf/" TargetMode="External"/><Relationship Id="rId298" Type="http://schemas.openxmlformats.org/officeDocument/2006/relationships/hyperlink" Target="https://www.vishay.com/quality/pcn-doc/PTN-OMV-01091-2019-Rev-0/ptn_omv_1091_2019_rev0.pdf/" TargetMode="External"/><Relationship Id="rId421" Type="http://schemas.openxmlformats.org/officeDocument/2006/relationships/hyperlink" Target="https://www.vishay.com/quality/pcn-doc/PCN-FC-005-2011-Rev-0/PCN-FC-005-2011%20EOL%20F1790.pdf/" TargetMode="External"/><Relationship Id="rId463" Type="http://schemas.openxmlformats.org/officeDocument/2006/relationships/hyperlink" Target="https://www.vishay.com/quality/pcn-doc/PCN-DBR-004-2016-Rev-0/PCN-DBR-004-2016%20Rev0.pdf/" TargetMode="External"/><Relationship Id="rId116" Type="http://schemas.openxmlformats.org/officeDocument/2006/relationships/hyperlink" Target="https://www.vishay.com/quality/pcn-doc/PCN-OMV-878-2015-Rev-0/ptn_omv_878_2015_rev0.pdf/" TargetMode="External"/><Relationship Id="rId158" Type="http://schemas.openxmlformats.org/officeDocument/2006/relationships/hyperlink" Target="https://www.vishay.com/quality/pcn-doc/PCN-OSI-611-2012-Rev-0/pcn_osi_611_2012_rev0.pdf/" TargetMode="External"/><Relationship Id="rId323" Type="http://schemas.openxmlformats.org/officeDocument/2006/relationships/hyperlink" Target="https://www.vishay.com/quality/pcn-doc/PCN-SIL-0262010/PCN-SIL-0262010%20Automotive%20MOSFET%208M%2012M%20EOL.pdf/" TargetMode="External"/><Relationship Id="rId20" Type="http://schemas.openxmlformats.org/officeDocument/2006/relationships/hyperlink" Target="https://www.vishay.com/quality/pcn-doc/PTN-AC-00901-2019-Rev-0/PTN-AC-00901-2019%20Rev%200%20-%20phase%20out%20516D.pdf/" TargetMode="External"/><Relationship Id="rId62" Type="http://schemas.openxmlformats.org/officeDocument/2006/relationships/hyperlink" Target="https://www.vishay.com/quality/pcn-doc/PCN-OMV-685-2013-Rev-0/pcn_omv_685_2013_rev0.pdf/" TargetMode="External"/><Relationship Id="rId365" Type="http://schemas.openxmlformats.org/officeDocument/2006/relationships/hyperlink" Target="https://www.vishay.com/quality/pcn-doc/PCN-SIL-047-2014-Rev-1/PCN-SIL-0472014%20Rev1%20EOL%20with%20300M%20Replacement.pdf/" TargetMode="External"/><Relationship Id="rId225" Type="http://schemas.openxmlformats.org/officeDocument/2006/relationships/hyperlink" Target="https://www.vishay.com/quality/pcn-doc/PTN-MLC-00006-2019-Rev-0/PTN-MLC-00006-2019%20Changes%20to%20Available%20Ratings%20of%20GA34G%20Automotive%20Series.pdf/" TargetMode="External"/><Relationship Id="rId267" Type="http://schemas.openxmlformats.org/officeDocument/2006/relationships/hyperlink" Target="https://www.vishay.com/quality/pcn-doc/PTN-NLR-00003-2019-Rev-2/PTN-NLR-003-2019%20Withdrawal%20of%20TMC%20series%20curve%207%20Rev2.pdf/" TargetMode="External"/><Relationship Id="rId432" Type="http://schemas.openxmlformats.org/officeDocument/2006/relationships/hyperlink" Target="https://www.vishay.com/quality/pcn-doc/PCN-FC-002-2012-Rev-0/PCN-FC-002-2012%20EOL%20F1710-305V.pdf/" TargetMode="External"/><Relationship Id="rId474" Type="http://schemas.openxmlformats.org/officeDocument/2006/relationships/hyperlink" Target="https://www.vishay.com/quality/pcn-doc/PCN-DBR-035-2009-Rev-0/PCN-DBR-035-2009.pdf/" TargetMode="External"/><Relationship Id="rId127" Type="http://schemas.openxmlformats.org/officeDocument/2006/relationships/hyperlink" Target="https://www.vishay.com/quality/pcn-doc/PCN-OMV-913-2016-Rev-1/ptn_omv_913_2016_rev1.pdf/" TargetMode="External"/><Relationship Id="rId10" Type="http://schemas.openxmlformats.org/officeDocument/2006/relationships/hyperlink" Target="https://www.vishay.com/quality/pcn-doc/PTN-AC-00501-2021-Rev-1/PTN-AC-00501-2021-Rev1_PhaseOut_BCc-097RLP7-134RLP5.pdf/" TargetMode="External"/><Relationship Id="rId31" Type="http://schemas.openxmlformats.org/officeDocument/2006/relationships/hyperlink" Target="https://www.vishay.com/quality/pcn-doc/PCN-OMV-414-2010-Rev-0/omv_414_2010_rev0.pdf/" TargetMode="External"/><Relationship Id="rId52" Type="http://schemas.openxmlformats.org/officeDocument/2006/relationships/hyperlink" Target="https://www.vishay.com/quality/pcn-doc/PCN-OMV-601-2012-Rev-0/pcn_omv_601_2012_rev0.pdf/" TargetMode="External"/><Relationship Id="rId73" Type="http://schemas.openxmlformats.org/officeDocument/2006/relationships/hyperlink" Target="https://www.vishay.com/quality/pcn-doc/PTN-DD-00005-2019-Rev-0/PCN-DD-005-2019%20Rev%200_Product%20Discontinuation%20of%20HVTVS%20Products.pdf/" TargetMode="External"/><Relationship Id="rId94" Type="http://schemas.openxmlformats.org/officeDocument/2006/relationships/hyperlink" Target="https://www.vishay.com/quality/pcn-doc/PTN-DD-00013-2021-Rev-0/DD-013-2021%20Rev%200.pdf/" TargetMode="External"/><Relationship Id="rId148" Type="http://schemas.openxmlformats.org/officeDocument/2006/relationships/hyperlink" Target="https://www.vishay.com/quality/pcn-doc/PTN-DI-00517-2021-REV-0/PTN-DI-00517-2021-REV-0.pdf/" TargetMode="External"/><Relationship Id="rId169" Type="http://schemas.openxmlformats.org/officeDocument/2006/relationships/hyperlink" Target="https://www.vishay.com/quality/pcn-doc/PCN-OSI-677-2013-Rev-0/pcn_osi_677_2013_rev0.pdf/" TargetMode="External"/><Relationship Id="rId334" Type="http://schemas.openxmlformats.org/officeDocument/2006/relationships/hyperlink" Target="https://www.vishay.com/quality/pcn-doc/PCN-SIL-0292010/PCN-SIL-0292010%20AUK%20SC75_SC89%20EOL.pdf/" TargetMode="External"/><Relationship Id="rId355" Type="http://schemas.openxmlformats.org/officeDocument/2006/relationships/hyperlink" Target="https://www.vishay.com/quality/pcn-doc/PTN-SIL-000407-2020-REV-0/PTN-SIL-000407-2020-REV-0.pdf/" TargetMode="External"/><Relationship Id="rId376" Type="http://schemas.openxmlformats.org/officeDocument/2006/relationships/hyperlink" Target="https://www.vishay.com/quality/pcn-doc/PTN-TC-00005-2018-Rev-0/PTN%20TC005-2018_CT9.pdf/" TargetMode="External"/><Relationship Id="rId397" Type="http://schemas.openxmlformats.org/officeDocument/2006/relationships/hyperlink" Target="https://www.vishay.com/quality/pcn-doc/PCN-SIL-074-2014-Rev-1/PCN-SIL-0742014%20Custom%20Power%20IC%20Obsolescence_Rev1.pdf/" TargetMode="External"/><Relationship Id="rId4" Type="http://schemas.openxmlformats.org/officeDocument/2006/relationships/hyperlink" Target="https://www.vishay.com/quality/pcn-doc/PCN-MLC-004-2013-Rev-0/PCN-MLC-004-2013%20VJ%20HVArcGuard%20Series%20Streamlining.pdf/" TargetMode="External"/><Relationship Id="rId180" Type="http://schemas.openxmlformats.org/officeDocument/2006/relationships/hyperlink" Target="https://www.vishay.com/quality/pcn-doc/PCN-OSI-769-2014-Rev-0/ptn_osi_769_2014_rev0.pdf/" TargetMode="External"/><Relationship Id="rId215" Type="http://schemas.openxmlformats.org/officeDocument/2006/relationships/hyperlink" Target="https://www.vishay.com/quality/pcn-doc/PTN-MLC-00002-2019-Rev-0/PTN-MLC-00002-2019%20Change%20of%20available%20VJ...W1BC%20High%20voltage%20and%20large%20body%20size%20ratings.pdf/" TargetMode="External"/><Relationship Id="rId236" Type="http://schemas.openxmlformats.org/officeDocument/2006/relationships/hyperlink" Target="https://www.vishay.com/quality/pcn-doc/PTN-MLC-00010-2018-Rev-0/PTN-MLC-00010-2018%20High%20Q%20series_180903.pdf/" TargetMode="External"/><Relationship Id="rId257" Type="http://schemas.openxmlformats.org/officeDocument/2006/relationships/hyperlink" Target="https://www.vishay.com/quality/pcn-doc/PCN-SIL-009-2016-Rev-1/PCN-SIL-0092016%20Commercial%20LVM%20End%20of%20Liferev1.pdf/" TargetMode="External"/><Relationship Id="rId278" Type="http://schemas.openxmlformats.org/officeDocument/2006/relationships/hyperlink" Target="https://www.vishay.com/quality/pcn-doc/PTN-OMV-01004-2017-Rev-0/pcn_omv_1004_2017_rev0.pdf/" TargetMode="External"/><Relationship Id="rId401" Type="http://schemas.openxmlformats.org/officeDocument/2006/relationships/hyperlink" Target="https://www.vishay.com/quality/pcn-doc/PCN-SIL-081-2014-Rev-1/PCN-SIL-0812014%20Auto%20PTN%20with%20300M%20Replacement.pdf/" TargetMode="External"/><Relationship Id="rId422" Type="http://schemas.openxmlformats.org/officeDocument/2006/relationships/hyperlink" Target="https://www.vishay.com/quality/pcn-doc/PCN-FC-004-2014-Rev-0/PCN-FC-004-2014%20EOL%20F1750%20Suppression%20Inductors.pdf/" TargetMode="External"/><Relationship Id="rId443" Type="http://schemas.openxmlformats.org/officeDocument/2006/relationships/hyperlink" Target="https://www.vishay.com/quality/pcn-doc/PCN-TC-007-2014-Rev-1/PTN%20TC%20007%202014%20Rev%201.pdf/" TargetMode="External"/><Relationship Id="rId464" Type="http://schemas.openxmlformats.org/officeDocument/2006/relationships/hyperlink" Target="https://www.vishay.com/quality/pcn-doc/PCN-DBR-005-2010/PCN-DBR-005-2010-REVB.pdf/" TargetMode="External"/><Relationship Id="rId303" Type="http://schemas.openxmlformats.org/officeDocument/2006/relationships/hyperlink" Target="https://www.vishay.com/quality/pcn-doc/PTN-OMV-01172-2021-Rev-0/ptn_omv_1172_2021_rev0.pdf/" TargetMode="External"/><Relationship Id="rId485" Type="http://schemas.openxmlformats.org/officeDocument/2006/relationships/hyperlink" Target="https://www.vishay.com/quality/pcn-doc/PCN-DD-021-2012-Rev-00/DD-021-2012%20Rev0.pdf/" TargetMode="External"/><Relationship Id="rId42" Type="http://schemas.openxmlformats.org/officeDocument/2006/relationships/hyperlink" Target="https://www.vishay.com/quality/pcn-doc/PCN-OMV-565-2012-Rev-0/pcn_omv_565_2012_rev0.pdf/" TargetMode="External"/><Relationship Id="rId84" Type="http://schemas.openxmlformats.org/officeDocument/2006/relationships/hyperlink" Target="https://www.vishay.com/quality/pcn-doc/PTN-DD-00009-2021-Rev-0/PCN-DD-009-2021%20Rev%200_Product%20Discontinuation%20of%20Rectifier%20Products.pdf/" TargetMode="External"/><Relationship Id="rId138" Type="http://schemas.openxmlformats.org/officeDocument/2006/relationships/hyperlink" Target="https://www.vishay.com/quality/pcn-doc/PCN-OSI-428-2010-Rev-1/pcn_osi_428_2010_rev1.pdf/" TargetMode="External"/><Relationship Id="rId345" Type="http://schemas.openxmlformats.org/officeDocument/2006/relationships/hyperlink" Target="https://www.vishay.com/quality/pcn-doc/PCN-SIL-035-2014-Rev-1/PCN-SIL-0352014%20EOL%20with%20Replacement.pdf/" TargetMode="External"/><Relationship Id="rId387" Type="http://schemas.openxmlformats.org/officeDocument/2006/relationships/hyperlink" Target="https://www.vishay.com/quality/pcn-doc/PCN-SIL-068-2014-Rev-0/PCN-SIL-0682014%20Automotive%20Obsolescence_Rev0.pdf/" TargetMode="External"/><Relationship Id="rId191" Type="http://schemas.openxmlformats.org/officeDocument/2006/relationships/hyperlink" Target="https://www.vishay.com/quality/pcn-doc/PTN-DR-00026-2020-REV-0/PTN-DR-00026-2020-REV-0.pdf/" TargetMode="External"/><Relationship Id="rId205" Type="http://schemas.openxmlformats.org/officeDocument/2006/relationships/hyperlink" Target="https://www.vishay.com/quality/pcn-doc/PTN-FC-00004-2018-Rev-0/PTN-FC-004-2018Rev0.pdf/" TargetMode="External"/><Relationship Id="rId247" Type="http://schemas.openxmlformats.org/officeDocument/2006/relationships/hyperlink" Target="https://www.vishay.com/quality/pcn-doc/PTN-MLC-00012-2017-Rev-0/PTN-MLC-012-2017%20Remove%20large%20reel%20R%20offer%20for%20size%202220%202225%20from%20VJ%20OMD%20Series.pdf/" TargetMode="External"/><Relationship Id="rId412" Type="http://schemas.openxmlformats.org/officeDocument/2006/relationships/hyperlink" Target="https://www.vishay.com/quality/pcn-doc/PCN-HPP-002-2010-Rev-00/PCN-HPP%20002-2010%20Rev0%20.pdf/" TargetMode="External"/><Relationship Id="rId107" Type="http://schemas.openxmlformats.org/officeDocument/2006/relationships/hyperlink" Target="https://www.vishay.com/quality/pcn-doc/PTN-DD-00022-2020-Rev-0/DD-022-2020%20Rev%200.pdf/" TargetMode="External"/><Relationship Id="rId289" Type="http://schemas.openxmlformats.org/officeDocument/2006/relationships/hyperlink" Target="https://www.vishay.com/quality/pcn-doc/PTN-OMV-01043-2018-Rev-0/ptn_omv_1043_2018_rev0.pdf/" TargetMode="External"/><Relationship Id="rId454" Type="http://schemas.openxmlformats.org/officeDocument/2006/relationships/hyperlink" Target="https://www.vishay.com/quality/pcn-doc/PCN-TC-011-2014-Rev-0/PTN%20TC011-2014%20Built-In-Fuse%20Molded%20Chip%20Capacitors%20discontinuation%20with%20lead%20bearing%20t...pdf/" TargetMode="External"/><Relationship Id="rId496" Type="http://schemas.openxmlformats.org/officeDocument/2006/relationships/hyperlink" Target="https://www.vishay.com/quality/pcn-doc/PCN-DR-015-2016-Rev-0/PTN-DR-015-2016%20(11.10.2016).pdf/" TargetMode="External"/><Relationship Id="rId11" Type="http://schemas.openxmlformats.org/officeDocument/2006/relationships/hyperlink" Target="https://www.vishay.com/quality/pcn-doc/PTN-AC-00502-2019-Rev-1/PCN-AC-00502-2019%20Rev1_PhaseOut_ROE-ECA-low_capacitance_types.pdf/" TargetMode="External"/><Relationship Id="rId53" Type="http://schemas.openxmlformats.org/officeDocument/2006/relationships/hyperlink" Target="https://www.vishay.com/quality/pcn-doc/PTN-DBR-00008-2021-REV-0/PTN-DBR-00008-2021-REV-0.pdf/" TargetMode="External"/><Relationship Id="rId149" Type="http://schemas.openxmlformats.org/officeDocument/2006/relationships/hyperlink" Target="https://www.vishay.com/quality/pcn-doc/PTN-DR-00001-2018-Rev-1/PTN-DR-00001-2018%20Rev%201.pdf/" TargetMode="External"/><Relationship Id="rId314" Type="http://schemas.openxmlformats.org/officeDocument/2006/relationships/hyperlink" Target="https://www.vishay.com/quality/pcn-doc/PCN-SIL-024-2016-Rev-0/PCN-SIL-0242016%20EOL_SCLA_LICs.pdf/" TargetMode="External"/><Relationship Id="rId356" Type="http://schemas.openxmlformats.org/officeDocument/2006/relationships/hyperlink" Target="https://www.vishay.com/quality/pcn-doc/PCN-SIL-0382010/PCN-SIL-0382010.pdf/" TargetMode="External"/><Relationship Id="rId398" Type="http://schemas.openxmlformats.org/officeDocument/2006/relationships/hyperlink" Target="https://www.vishay.com/quality/pcn-doc/PCN-MLC-001-2011-Rev-0/PCN-MLC-001-2011%20Rev%200%20MLCC%20DSCC%20110126.pdf/" TargetMode="External"/><Relationship Id="rId95" Type="http://schemas.openxmlformats.org/officeDocument/2006/relationships/hyperlink" Target="https://www.vishay.com/quality/pcn-doc/PTN-DD-00015-2017-Rev-0/PCN-DD-015-2017%20Rev%200_Product%20Discontinuation%20for%20Ultrafast%20Diodes.pdf/" TargetMode="External"/><Relationship Id="rId160" Type="http://schemas.openxmlformats.org/officeDocument/2006/relationships/hyperlink" Target="https://www.vishay.com/quality/pcn-doc/PTN-DR-00006-2020-Rev-0/PTN-DR-00006-2020%20Rev%200%20(RCWK0306)%20(002).pdf/" TargetMode="External"/><Relationship Id="rId216" Type="http://schemas.openxmlformats.org/officeDocument/2006/relationships/hyperlink" Target="https://www.vishay.com/quality/pcn-doc/PCN-PDD-006-2011-Rev-0/PCN-PDD-006-2011%20Rev%200_RCT%20Product%20EOL.pdf/" TargetMode="External"/><Relationship Id="rId423" Type="http://schemas.openxmlformats.org/officeDocument/2006/relationships/hyperlink" Target="https://www.vishay.com/quality/pcn-doc/PCN-FC-004-2012-Rev-0/PCN-FC-004-2012%20EOL%20F1774.pdf/" TargetMode="External"/><Relationship Id="rId258" Type="http://schemas.openxmlformats.org/officeDocument/2006/relationships/hyperlink" Target="https://www.vishay.com/quality/pcn-doc/PTN-MLC-00020-2019-Rev-0/PTN-MLC-00020-2019%20Changes%20to%20Available%20Ratings%20of%20HV%20High%20Voltage%20Series.pdf/" TargetMode="External"/><Relationship Id="rId465" Type="http://schemas.openxmlformats.org/officeDocument/2006/relationships/hyperlink" Target="https://www.vishay.com/quality/pcn-doc/PCN-DBR-005-2010-Rev-01/PCN-DBR-005-2010%20RevB.pdf/" TargetMode="External"/><Relationship Id="rId22" Type="http://schemas.openxmlformats.org/officeDocument/2006/relationships/hyperlink" Target="https://www.vishay.com/quality/pcn-doc/PTN-CC-00002-2020-Rev-0/PTN-CC-002-2020%20Rev0.pdf/" TargetMode="External"/><Relationship Id="rId64" Type="http://schemas.openxmlformats.org/officeDocument/2006/relationships/hyperlink" Target="https://www.vishay.com/quality/pcn-doc/PCN-AC-502-2013-Rev-0/PCN-AC-502-2013-rev-0.pdf/" TargetMode="External"/><Relationship Id="rId118" Type="http://schemas.openxmlformats.org/officeDocument/2006/relationships/hyperlink" Target="https://www.vishay.com/quality/pcn-doc/PCN-OMV-883-2016-Rev-0/ptn_omv_883_2016_rev0.pdf/" TargetMode="External"/><Relationship Id="rId325" Type="http://schemas.openxmlformats.org/officeDocument/2006/relationships/hyperlink" Target="https://www.vishay.com/quality/pcn-doc/PCN-SIL-027-2014-Rev-1/PCN-SIL-0272014%20EOL%20with%20Replacement.pdf/" TargetMode="External"/><Relationship Id="rId367" Type="http://schemas.openxmlformats.org/officeDocument/2006/relationships/hyperlink" Target="https://www.vishay.com/quality/pcn-doc/PTN-SIL-020-2021-REV-0/PTN-SIL-020-2021-REV-0.pdf/" TargetMode="External"/><Relationship Id="rId171" Type="http://schemas.openxmlformats.org/officeDocument/2006/relationships/hyperlink" Target="https://www.vishay.com/quality/pcn-doc/PCN-OSI-705-2013-Rev-0/ptn_osi_705_2013_rev0.pdf/" TargetMode="External"/><Relationship Id="rId227" Type="http://schemas.openxmlformats.org/officeDocument/2006/relationships/hyperlink" Target="https://www.vishay.com/quality/pcn-doc/PTN-MLC-00006-2021-REV-0/PTN-MLC-00006-2021-REV-0-VERSION-4463.pdf/" TargetMode="External"/><Relationship Id="rId269" Type="http://schemas.openxmlformats.org/officeDocument/2006/relationships/hyperlink" Target="https://www.vishay.com/quality/pcn-doc/PCN-SIL-014-2014-Rev-1/PCN-SIL-0142014%20Change%20to%20SQM120N04-1m7L-GE3%20Rev1.pdf/" TargetMode="External"/><Relationship Id="rId434" Type="http://schemas.openxmlformats.org/officeDocument/2006/relationships/hyperlink" Target="https://www.vishay.com/quality/pcn-doc/PCN-FC-002-2011-Rev-0/PCN-FC-002-2011%20EOL%20MKT304.pdf/" TargetMode="External"/><Relationship Id="rId476" Type="http://schemas.openxmlformats.org/officeDocument/2006/relationships/hyperlink" Target="https://www.vishay.com/quality/pcn-doc/PCN-DD-003-2014-Rev-00/DD-003-2014%20Rev.0.pdf/" TargetMode="External"/><Relationship Id="rId33" Type="http://schemas.openxmlformats.org/officeDocument/2006/relationships/hyperlink" Target="https://www.vishay.com/quality/pcn-doc/PCN-OMV-446-2010-Rev-0/omv_446_2010_rev0.pdf/" TargetMode="External"/><Relationship Id="rId129" Type="http://schemas.openxmlformats.org/officeDocument/2006/relationships/hyperlink" Target="https://www.vishay.com/quality/pcn-doc/PCN-OMV-952-2017-Rev-0/ptn_omv_952_2017_rev0.pdf/" TargetMode="External"/><Relationship Id="rId280" Type="http://schemas.openxmlformats.org/officeDocument/2006/relationships/hyperlink" Target="https://www.vishay.com/quality/pcn-doc/PCN-SIL-017-2014-Rev-2/PCN-SIL-0172014%20Rev2%20EOL%20SQ7414EN%20with%20Replacement.pdf/" TargetMode="External"/><Relationship Id="rId336" Type="http://schemas.openxmlformats.org/officeDocument/2006/relationships/hyperlink" Target="https://www.vishay.com/quality/pcn-doc/PCN-SIL-030-2016-Rev-0/PCN-SIL-0302016%20EOL_SCLA_LICs.pdf/" TargetMode="External"/><Relationship Id="rId501" Type="http://schemas.openxmlformats.org/officeDocument/2006/relationships/drawing" Target="../drawings/drawing2.xml"/><Relationship Id="rId75" Type="http://schemas.openxmlformats.org/officeDocument/2006/relationships/hyperlink" Target="https://www.vishay.com/quality/pcn-doc/PTN-DD-00007-2019-Rev-00/DD-007-2019%20Rev%200.pdf/" TargetMode="External"/><Relationship Id="rId140" Type="http://schemas.openxmlformats.org/officeDocument/2006/relationships/hyperlink" Target="https://www.vishay.com/quality/pcn-doc/PTN-DI-00484-2020-Rev-0/PCN-DI-00484-2020.pdf/" TargetMode="External"/><Relationship Id="rId182" Type="http://schemas.openxmlformats.org/officeDocument/2006/relationships/hyperlink" Target="https://www.vishay.com/quality/pcn-doc/PCN-OSI-789-2014-Rev-0/ptn_osi_789_2014_rev0.pdf/" TargetMode="External"/><Relationship Id="rId378" Type="http://schemas.openxmlformats.org/officeDocument/2006/relationships/hyperlink" Target="https://www.vishay.com/quality/pcn-doc/PTN-TC-00007-2017-Rev-0/PTN%20TC007-2017_TerminationOfNiobium.pdf/" TargetMode="External"/><Relationship Id="rId403" Type="http://schemas.openxmlformats.org/officeDocument/2006/relationships/hyperlink" Target="https://www.vishay.com/quality/pcn-doc/PCN-HPP-012-2011-Rev-00/HPP-012-2011%20Rev0.pdf/" TargetMode="External"/><Relationship Id="rId6" Type="http://schemas.openxmlformats.org/officeDocument/2006/relationships/hyperlink" Target="https://www.vishay.com/quality/pcn-doc/PTN-AC-00501-2020-Rev-0/PCN-AC-00501-2020-Rev0_PhaseOut_BCc-097RLP7-low_capacitance_types.pdf/" TargetMode="External"/><Relationship Id="rId238" Type="http://schemas.openxmlformats.org/officeDocument/2006/relationships/hyperlink" Target="https://www.vishay.com/quality/pcn-doc/PCN-SF-129-2013-Rev-0/PCN_Range_TRB021%20et%20TRB023.pdf/" TargetMode="External"/><Relationship Id="rId445" Type="http://schemas.openxmlformats.org/officeDocument/2006/relationships/hyperlink" Target="https://www.vishay.com/quality/pcn-doc/PCN-TC-008-2009-Rev-0/PCN%20TC%20-08%20-%202009%20Rev%200.pdf/" TargetMode="External"/><Relationship Id="rId487" Type="http://schemas.openxmlformats.org/officeDocument/2006/relationships/hyperlink" Target="https://www.vishay.com/quality/pcn-doc/PCN-DD-031-2012-Rev-0/PCN-DD-031-2012%20Rev%200_EOL%20of%20Rectifier%20Products.pdf/" TargetMode="External"/><Relationship Id="rId291" Type="http://schemas.openxmlformats.org/officeDocument/2006/relationships/hyperlink" Target="https://www.vishay.com/quality/pcn-doc/PTN-OMV-01046-2018-Rev-0/ptn_omv_1046_2018_rev0.pdf/" TargetMode="External"/><Relationship Id="rId305" Type="http://schemas.openxmlformats.org/officeDocument/2006/relationships/hyperlink" Target="https://www.vishay.com/quality/pcn-doc/PCN-SIL-023-2014-Rev-2/PCN-SIL-0232014%20Rev2%20EOL%20with%20Replacement.pdf/" TargetMode="External"/><Relationship Id="rId347" Type="http://schemas.openxmlformats.org/officeDocument/2006/relationships/hyperlink" Target="https://www.vishay.com/quality/pcn-doc/PTN-SF-286-2022-REV-0/PTN-SF-286-2022-REV-0.pdf/" TargetMode="External"/><Relationship Id="rId44" Type="http://schemas.openxmlformats.org/officeDocument/2006/relationships/hyperlink" Target="https://www.vishay.com/quality/pcn-doc/PCN-OMV-575-2012-Rev-0/ptn_omv_575_2012_rev0.pdf/" TargetMode="External"/><Relationship Id="rId86" Type="http://schemas.openxmlformats.org/officeDocument/2006/relationships/hyperlink" Target="https://www.vishay.com/quality/pcn-doc/PCN-OMV-723-2014-Rev-0/ptn_omv_723_2014_rev0.pdf/" TargetMode="External"/><Relationship Id="rId151" Type="http://schemas.openxmlformats.org/officeDocument/2006/relationships/hyperlink" Target="https://www.vishay.com/quality/pcn-doc/PTN-DR-00001-2021-REV-0/PTN-DR-00001-2021-REV-0.pdf/" TargetMode="External"/><Relationship Id="rId389" Type="http://schemas.openxmlformats.org/officeDocument/2006/relationships/hyperlink" Target="https://www.vishay.com/quality/pcn-doc/PCN-SIL-072-2014-Rev-0/PCN-SIL-0722014%20Commercial%20LVM%20End%20of%20Life.pdf/" TargetMode="External"/><Relationship Id="rId193" Type="http://schemas.openxmlformats.org/officeDocument/2006/relationships/hyperlink" Target="https://www.vishay.com/quality/pcn-doc/PTN-DR-00027-2020-Rev-0/PTN-DR-00027%20Rev%200_CZA_CZB.pdf/" TargetMode="External"/><Relationship Id="rId207" Type="http://schemas.openxmlformats.org/officeDocument/2006/relationships/hyperlink" Target="https://www.vishay.com/quality/pcn-doc/PCN-OSI-958-2017-Rev-0/ptn_osi_958_2017_rev0.pdf/" TargetMode="External"/><Relationship Id="rId249" Type="http://schemas.openxmlformats.org/officeDocument/2006/relationships/hyperlink" Target="https://www.vishay.com/quality/pcn-doc/PTN-MLC-00013-2019-Rev-0/PTN-MLC-00013-2019%20Changes%20to%20Available%20Ratings%20of%20SMD%20Safety%20Capacitor%20Series.pdf/" TargetMode="External"/><Relationship Id="rId414" Type="http://schemas.openxmlformats.org/officeDocument/2006/relationships/hyperlink" Target="https://www.vishay.com/quality/pcn-doc/PCN-HPP-001-2011-Rev-00/PCN-HPP%20001-2011%20Rev0.pdf/" TargetMode="External"/><Relationship Id="rId456" Type="http://schemas.openxmlformats.org/officeDocument/2006/relationships/hyperlink" Target="https://www.vishay.com/quality/pcn-doc/PCN-AC-901-2016-Rev-0/PCN-AC-901-2016-Rev%200%20-%2094SVP%2025V%20discontinue.pdf/" TargetMode="External"/><Relationship Id="rId498" Type="http://schemas.openxmlformats.org/officeDocument/2006/relationships/hyperlink" Target="https://www.vishay.com/quality/pcn-doc/PCN-TC-014-2014-Rev-0/Notification%20letter%20Data%20sheet%20update%20Automotive.pdf/" TargetMode="External"/><Relationship Id="rId13" Type="http://schemas.openxmlformats.org/officeDocument/2006/relationships/hyperlink" Target="https://www.vishay.com/quality/pcn-doc/PCN-MLC-006-2017-Rev-0/PTN-MLC-006-2017%20VJ31X%20ROHS%20Automotive%20Series%20remove%20high%20voltage%20ratings%20size%201812.pdf/" TargetMode="External"/><Relationship Id="rId109" Type="http://schemas.openxmlformats.org/officeDocument/2006/relationships/hyperlink" Target="https://www.vishay.com/quality/pcn-doc/PTN-DD-00026-2019-Rev-0/PCN-DD-026-2019%20Rev%200_Product%20Discontinuation%20of%20MBR60100CT-E3.pdf/" TargetMode="External"/><Relationship Id="rId260" Type="http://schemas.openxmlformats.org/officeDocument/2006/relationships/hyperlink" Target="https://www.vishay.com/quality/pcn-doc/PTN-MLC-00029-2019-Rev-0/PTN-MLC-00029-2019%20Changes%20to%20Available%20Ratings%20of%20VJ%20Hi-Rel%20Series%20NP0%20C0G.pdf/" TargetMode="External"/><Relationship Id="rId316" Type="http://schemas.openxmlformats.org/officeDocument/2006/relationships/hyperlink" Target="https://www.vishay.com/quality/pcn-doc/PCN-SIL-025-2014-Rev-1/PCN-SIL-0252014%20EOL%20with%20Replacement.pdf/" TargetMode="External"/><Relationship Id="rId55" Type="http://schemas.openxmlformats.org/officeDocument/2006/relationships/hyperlink" Target="https://www.vishay.com/quality/pcn-doc/PCN-OMV-603-2012-Rev-0/pcn_omv_603_2012_rev0.pdf/" TargetMode="External"/><Relationship Id="rId97" Type="http://schemas.openxmlformats.org/officeDocument/2006/relationships/hyperlink" Target="https://www.vishay.com/quality/pcn-doc/PTN-DD-00017-2018-Rev-0/PCN-DD-017-2018%20Rev%200_Product%20Discontinuation%20Notice%20for%20Rectifier%20Products.pdf/" TargetMode="External"/><Relationship Id="rId120" Type="http://schemas.openxmlformats.org/officeDocument/2006/relationships/hyperlink" Target="https://www.vishay.com/quality/pcn-doc/PCN-OMV-905-2016-Rev-0/ptn_omv_905_2016_rev0.pdf/" TargetMode="External"/><Relationship Id="rId358" Type="http://schemas.openxmlformats.org/officeDocument/2006/relationships/hyperlink" Target="https://www.vishay.com/quality/pcn-doc/PTN-SIL-003-2021-REV-0/PTN-SIL-003-2021-REV-0.pdf/" TargetMode="External"/><Relationship Id="rId162" Type="http://schemas.openxmlformats.org/officeDocument/2006/relationships/hyperlink" Target="https://www.vishay.com/quality/pcn-doc/PTN-DR-00010-2019-Rev-0/MR703_PTN.pdf/" TargetMode="External"/><Relationship Id="rId218" Type="http://schemas.openxmlformats.org/officeDocument/2006/relationships/hyperlink" Target="https://www.vishay.com/quality/pcn-doc/PCN-PDD-008-2010-Rev-0/PCN-PDD-008-2010%20Rev%200_EOL%20of%20Rectifier%20and%20TVS%20Products.pdf/" TargetMode="External"/><Relationship Id="rId425" Type="http://schemas.openxmlformats.org/officeDocument/2006/relationships/hyperlink" Target="https://www.vishay.com/quality/pcn-doc/PCN-TC-001-2010-Rev-1/PCN%20TC-001-2010-Rev%201.pdf/" TargetMode="External"/><Relationship Id="rId467" Type="http://schemas.openxmlformats.org/officeDocument/2006/relationships/hyperlink" Target="https://www.vishay.com/quality/pcn-doc/PCN-DBR-006-2016-Rev-0/PCN-DBR-006-2016%20Rev0.pdf/" TargetMode="External"/><Relationship Id="rId271" Type="http://schemas.openxmlformats.org/officeDocument/2006/relationships/hyperlink" Target="https://www.vishay.com/quality/pcn-doc/PTN-NLR-00005-2020-Rev-0/PTN-NLR-005-2020%20Rev0%20ProductWithdrawal_Curve4.pdf/" TargetMode="External"/><Relationship Id="rId24" Type="http://schemas.openxmlformats.org/officeDocument/2006/relationships/hyperlink" Target="https://www.vishay.com/quality/pcn-doc/PTN-CC-00003-2021-REV-0/PTN-CC-00003-2021-REV-0.pdf/" TargetMode="External"/><Relationship Id="rId66" Type="http://schemas.openxmlformats.org/officeDocument/2006/relationships/hyperlink" Target="https://www.vishay.com/quality/pcn-doc/PCN-OMV-688-2013-Rev-0/pcn_omv_688_2013_rev0.pdf/" TargetMode="External"/><Relationship Id="rId131" Type="http://schemas.openxmlformats.org/officeDocument/2006/relationships/hyperlink" Target="https://www.vishay.com/quality/pcn-doc/PCN-OMV-963-2017-Rev-0/ptn_omv_963_2017_rev0.pdf/" TargetMode="External"/><Relationship Id="rId327" Type="http://schemas.openxmlformats.org/officeDocument/2006/relationships/hyperlink" Target="https://www.vishay.com/quality/pcn-doc/PTN-SF-00220-2018-Rev-0/PTN%20SF%20AD220%202018%20Sfernice%20JAUGE-G022%20JAUGE-G096%20obsolescence.pdf/" TargetMode="External"/><Relationship Id="rId369" Type="http://schemas.openxmlformats.org/officeDocument/2006/relationships/hyperlink" Target="https://www.vishay.com/quality/pcn-doc/PTN-SIL-032-2021-REV-0/PTN-SIL-032-2021-REV-0.pdf/" TargetMode="External"/><Relationship Id="rId173" Type="http://schemas.openxmlformats.org/officeDocument/2006/relationships/hyperlink" Target="https://www.vishay.com/quality/pcn-doc/PTN-DR-00013-2018-Rev-0/PTN-DR-00013-2018%20Rev%200%20(WSF2012).pdf/" TargetMode="External"/><Relationship Id="rId229" Type="http://schemas.openxmlformats.org/officeDocument/2006/relationships/hyperlink" Target="https://www.vishay.com/quality/pcn-doc/PTN-MLC-00008-2018-Rev-0/PTN-MLC-00008-2018%20Change%20of%20available%20VJ...W1BC%20Y5V%20Hi-Cap%20ratings.pdf/" TargetMode="External"/><Relationship Id="rId380" Type="http://schemas.openxmlformats.org/officeDocument/2006/relationships/hyperlink" Target="https://www.vishay.com/quality/pcn-doc/PTN-TC-00008-2017-Rev-0/PTN%20TC008-2017.pdf/" TargetMode="External"/><Relationship Id="rId436" Type="http://schemas.openxmlformats.org/officeDocument/2006/relationships/hyperlink" Target="https://www.vishay.com/quality/pcn-doc/PCN-DR-028-2015-Rev-0/PTN-DR-028-2015%20Rev%200%20WSH2818.pdf/" TargetMode="External"/><Relationship Id="rId240" Type="http://schemas.openxmlformats.org/officeDocument/2006/relationships/hyperlink" Target="https://www.vishay.com/quality/pcn-doc/PTN-MLC-00010-2021-REV-0/PTN-MLC-00010-2021-REV-0.pdf/" TargetMode="External"/><Relationship Id="rId478" Type="http://schemas.openxmlformats.org/officeDocument/2006/relationships/hyperlink" Target="https://www.vishay.com/quality/pcn-doc/PCN-DD-012-2012-Rev-0/PCN-DD-012-2012%20Rev%200_EOL%20Bridge%20Rectifier%20of%20VSIB6A%20to%2025%20series.pdf/" TargetMode="External"/><Relationship Id="rId35" Type="http://schemas.openxmlformats.org/officeDocument/2006/relationships/hyperlink" Target="https://www.vishay.com/quality/pcn-doc/PCN-OMV-449-2010-Rev-0/omv_449_2010_rev0.pdf/" TargetMode="External"/><Relationship Id="rId77" Type="http://schemas.openxmlformats.org/officeDocument/2006/relationships/hyperlink" Target="https://www.vishay.com/quality/pcn-doc/PCN-OMV-697-2013-Rev-0/ptn_omv_697_2013_rev0.pdf/" TargetMode="External"/><Relationship Id="rId100" Type="http://schemas.openxmlformats.org/officeDocument/2006/relationships/hyperlink" Target="https://www.vishay.com/quality/pcn-doc/PCN-OMV-777-2014-Rev-0/ptn_omv_777_2014_rev0.pdf/" TargetMode="External"/><Relationship Id="rId282" Type="http://schemas.openxmlformats.org/officeDocument/2006/relationships/hyperlink" Target="https://www.vishay.com/quality/pcn-doc/PCN-SIL-017-2015-Rev-0/PCN-SIL-0172015%20Commercial%20HVM%20End%20of%20Life.pdf/" TargetMode="External"/><Relationship Id="rId338" Type="http://schemas.openxmlformats.org/officeDocument/2006/relationships/hyperlink" Target="https://www.vishay.com/quality/pcn-doc/PTN-SF-273-2021-REV-0/PTN-SF-273-2021-REV-0.pdf/" TargetMode="External"/><Relationship Id="rId8" Type="http://schemas.openxmlformats.org/officeDocument/2006/relationships/hyperlink" Target="https://www.vishay.com/quality/pcn-doc/PCN-MLC-005-2013-Rev-0/PCN-MLC-005-2013%20VJ%20Series%20Streamline%201210%20C0G%20NP0.pdf/" TargetMode="External"/><Relationship Id="rId142" Type="http://schemas.openxmlformats.org/officeDocument/2006/relationships/hyperlink" Target="https://www.vishay.com/quality/pcn-doc/PTN-DI-00502-2021-Rev-0/PCN-DI-00502-2021.pdf/" TargetMode="External"/><Relationship Id="rId184" Type="http://schemas.openxmlformats.org/officeDocument/2006/relationships/hyperlink" Target="https://www.vishay.com/quality/pcn-doc/PTN-DR-00021-2020-Rev-0/PTN_CPL_CPSL_CPCL_Resistors_PTN-DR-00021%202020%20Rev%200.pdf/" TargetMode="External"/><Relationship Id="rId391" Type="http://schemas.openxmlformats.org/officeDocument/2006/relationships/hyperlink" Target="https://www.vishay.com/quality/pcn-doc/PCN-MLC-002-2014-Rev-0/PCN-MLC-002-2014%20VJ%20X8R%20Series%20Streamline%201210%20Size.pdf/" TargetMode="External"/><Relationship Id="rId405" Type="http://schemas.openxmlformats.org/officeDocument/2006/relationships/hyperlink" Target="https://www.vishay.com/quality/pcn-doc/PCN-HPP-011-2009-Rev-00/PCN-HPP%20011-2009%20Rev0.pdf/" TargetMode="External"/><Relationship Id="rId447" Type="http://schemas.openxmlformats.org/officeDocument/2006/relationships/hyperlink" Target="https://www.vishay.com/quality/pcn-doc/PCN-TC-009-2010-Rev-0/PCN%20TC-09-2010-Rev0.pdf/" TargetMode="External"/><Relationship Id="rId251" Type="http://schemas.openxmlformats.org/officeDocument/2006/relationships/hyperlink" Target="https://www.vishay.com/quality/pcn-doc/PCN-SIL-005-2015-Rev-1/PCN-SIL-0052015%20Auto%20SQ3427EEV%20PTN.pdf/" TargetMode="External"/><Relationship Id="rId489" Type="http://schemas.openxmlformats.org/officeDocument/2006/relationships/hyperlink" Target="https://www.vishay.com/quality/pcn-doc/PCN-DI-087-2010-Rev-0/PCN-DI-087-2010.pdf/" TargetMode="External"/><Relationship Id="rId46" Type="http://schemas.openxmlformats.org/officeDocument/2006/relationships/hyperlink" Target="https://www.vishay.com/quality/pcn-doc/PCN-OMV-585-2012-Rev-0/pcn_omv_585_2012_rev0.pdf/" TargetMode="External"/><Relationship Id="rId293" Type="http://schemas.openxmlformats.org/officeDocument/2006/relationships/hyperlink" Target="https://www.vishay.com/quality/pcn-doc/PCN-SIL-020-2016-Rev-0/MIL-AS%20OBSOLETE.pdf/" TargetMode="External"/><Relationship Id="rId307" Type="http://schemas.openxmlformats.org/officeDocument/2006/relationships/hyperlink" Target="https://www.vishay.com/quality/pcn-doc/PCN-SIL-0232010/PCN-SIL-0232010B%20Rev0.pdf/" TargetMode="External"/><Relationship Id="rId349" Type="http://schemas.openxmlformats.org/officeDocument/2006/relationships/hyperlink" Target="https://www.vishay.com/quality/pcn-doc/PTN-SIL-00003-2008-Rev-0/PCN-SIL-0032018%20Commercial%20LVM%20End%20of%20Life.pdf/" TargetMode="External"/><Relationship Id="rId88" Type="http://schemas.openxmlformats.org/officeDocument/2006/relationships/hyperlink" Target="https://www.vishay.com/quality/pcn-doc/PTN-DD-00013-2017-Rev-1/PCN-DD-013-2017%20Rev%201_Product%20Discontinuance%20of%20Rectifier%20Products.pdf/" TargetMode="External"/><Relationship Id="rId111" Type="http://schemas.openxmlformats.org/officeDocument/2006/relationships/hyperlink" Target="https://www.vishay.com/quality/pcn-doc/PTN-DD-00028-2019-Rev-00/DD-028-2019%20Rev%200.pdf/" TargetMode="External"/><Relationship Id="rId153" Type="http://schemas.openxmlformats.org/officeDocument/2006/relationships/hyperlink" Target="https://www.vishay.com/quality/pcn-doc/PTN-DR-00002-2020-Rev-0/PTN_CP_CPR_CPSM_CPCx_CA%20Commercial%20Resistors.pdf/" TargetMode="External"/><Relationship Id="rId195" Type="http://schemas.openxmlformats.org/officeDocument/2006/relationships/hyperlink" Target="https://www.vishay.com/quality/pcn-doc/PTN-FC-00001-2018-Rev-0/PTN-FC-001-2018Rev0.pdf/" TargetMode="External"/><Relationship Id="rId209" Type="http://schemas.openxmlformats.org/officeDocument/2006/relationships/hyperlink" Target="https://www.vishay.com/quality/pcn-doc/PCN-PDD-001-2010-Rev-0/PCN-PDD-001-2010%20Rev%200_Discontinuation%20of%20Non%20RoHS%20Compliant%20PNs.pdf/" TargetMode="External"/><Relationship Id="rId360" Type="http://schemas.openxmlformats.org/officeDocument/2006/relationships/hyperlink" Target="https://www.vishay.com/quality/pcn-doc/PTN-SIL-00404-2020-Rev-0/PCN-SIL-4042020_Obs_PDIP18-20-28.pdf/" TargetMode="External"/><Relationship Id="rId416" Type="http://schemas.openxmlformats.org/officeDocument/2006/relationships/hyperlink" Target="https://www.vishay.com/quality/pcn-doc/PCN-HPP-001-2010-Rev-01/PCN-HPP%20001-2010%20Rev0%20.pdf/" TargetMode="External"/><Relationship Id="rId220" Type="http://schemas.openxmlformats.org/officeDocument/2006/relationships/hyperlink" Target="https://www.vishay.com/quality/pcn-doc/PTN-MLC-00003-2019-Rev-1/PTN-MLC-00003-2019%20Changes%20to%20Available%20Ratings%20of%20VJ31%20VJ34%20Automotive%20Series%20Rev1.pdf/" TargetMode="External"/><Relationship Id="rId458" Type="http://schemas.openxmlformats.org/officeDocument/2006/relationships/hyperlink" Target="https://www.vishay.com/quality/pcn-doc/PCN-AC-901-2010-Rev-0/PCN-AC-901-2010.pdf/" TargetMode="External"/><Relationship Id="rId15" Type="http://schemas.openxmlformats.org/officeDocument/2006/relationships/hyperlink" Target="https://www.vishay.com/quality/pcn-doc/PCN-MLC-007-2017-Rev-0/PTN-MLC-007-2017%20GA34G%20Automotive%20Series%20remove%20high%20voltage%20ratings%20size%201812.pdf/" TargetMode="External"/><Relationship Id="rId57" Type="http://schemas.openxmlformats.org/officeDocument/2006/relationships/hyperlink" Target="https://www.vishay.com/quality/pcn-doc/PTN-DBR-00010-2021-REV-0/PTN-DBR-00010-2021-REV-0.pdf/" TargetMode="External"/><Relationship Id="rId262" Type="http://schemas.openxmlformats.org/officeDocument/2006/relationships/hyperlink" Target="https://www.vishay.com/quality/pcn-doc/PTN-MLC-00030-2019-Rev-0/PTN-MLC-00030-2019%20Changes%20to%20Available%20Ratings%20of%20CDR36%20and%20CDR37%20Products.pdf/" TargetMode="External"/><Relationship Id="rId318" Type="http://schemas.openxmlformats.org/officeDocument/2006/relationships/hyperlink" Target="https://www.vishay.com/quality/pcn-doc/PTN-OSI-01125-2020-Rev-0/ptn_osi_1125_2020_rev0.pdf/" TargetMode="External"/><Relationship Id="rId99" Type="http://schemas.openxmlformats.org/officeDocument/2006/relationships/hyperlink" Target="https://www.vishay.com/quality/pcn-doc/PTN-DD-00019-2021-Rev-0/DD-019-2021%20Rev%200.pdf/" TargetMode="External"/><Relationship Id="rId122" Type="http://schemas.openxmlformats.org/officeDocument/2006/relationships/hyperlink" Target="https://www.vishay.com/quality/pcn-doc/PCN-OMV-907-2016-Rev-0/ptn_omv_907_2016_rev0.pdf/" TargetMode="External"/><Relationship Id="rId164" Type="http://schemas.openxmlformats.org/officeDocument/2006/relationships/hyperlink" Target="https://www.vishay.com/quality/pcn-doc/PTN-DR-00010-2021-REV-0/PTN-DR-00010-2021-REV-0.pdf/" TargetMode="External"/><Relationship Id="rId371" Type="http://schemas.openxmlformats.org/officeDocument/2006/relationships/hyperlink" Target="https://www.vishay.com/quality/pcn-doc/PTN-SIL-035-2021-REV-0/PTN-SIL-035-2021-REV-0.pdf/" TargetMode="External"/><Relationship Id="rId427" Type="http://schemas.openxmlformats.org/officeDocument/2006/relationships/hyperlink" Target="https://www.vishay.com/quality/pcn-doc/PCN-FC-003-2011-Rev-0/PCN-FC-003-2011%20EOL%20KC_MKC_TYPES.pdf/" TargetMode="External"/><Relationship Id="rId469" Type="http://schemas.openxmlformats.org/officeDocument/2006/relationships/hyperlink" Target="https://www.vishay.com/quality/pcn-doc/PCN-DBR-007-2010-Rev-1/PCN-DBR-007-2010.pdf/" TargetMode="External"/><Relationship Id="rId26" Type="http://schemas.openxmlformats.org/officeDocument/2006/relationships/hyperlink" Target="https://www.vishay.com/quality/pcn-doc/PCN-NLR-005-2013-Rev-0/PCN-NLR-005-2013%20Rev0.pdf/" TargetMode="External"/><Relationship Id="rId231" Type="http://schemas.openxmlformats.org/officeDocument/2006/relationships/hyperlink" Target="https://www.vishay.com/quality/pcn-doc/PTN-MLC-00009-2018-Rev-0/PTN-MLC-00009-2018%20Non-Magnetic%20series%20for%20Epoxy%20bonding_180905.pdf/" TargetMode="External"/><Relationship Id="rId273" Type="http://schemas.openxmlformats.org/officeDocument/2006/relationships/hyperlink" Target="https://www.vishay.com/quality/pcn-doc/PTN-NLR-00005-2020-Rev-1/PTN-NLR-005-2020%20Rev1%20ProductWithdrawal_Curve4.pdf/" TargetMode="External"/><Relationship Id="rId329" Type="http://schemas.openxmlformats.org/officeDocument/2006/relationships/hyperlink" Target="https://www.vishay.com/quality/pcn-doc/PTN-SF-00243-2019-Rev-0/PTN%20SF243%202019%20Sfernice%20models%20RWM%204X10%204X22%205X26%206X22%208X26%20Obsolescence.pdf/" TargetMode="External"/><Relationship Id="rId480" Type="http://schemas.openxmlformats.org/officeDocument/2006/relationships/hyperlink" Target="https://www.vishay.com/quality/pcn-doc/PCN-DD-015-2012-Rev-00/DD-015-2012%20rev%200.pdf/" TargetMode="External"/><Relationship Id="rId68" Type="http://schemas.openxmlformats.org/officeDocument/2006/relationships/hyperlink" Target="https://www.vishay.com/quality/pcn-doc/PTN-DD-00002-2021-Rev-0/DD-002-2021%20Rev%2000.pdf/" TargetMode="External"/><Relationship Id="rId133" Type="http://schemas.openxmlformats.org/officeDocument/2006/relationships/hyperlink" Target="https://www.vishay.com/quality/pcn-doc/PCN-OMV-977-2017-Rev-0/ptn_omv_977_2017_rev0.pdf/" TargetMode="External"/><Relationship Id="rId175" Type="http://schemas.openxmlformats.org/officeDocument/2006/relationships/hyperlink" Target="https://www.vishay.com/quality/pcn-doc/PTN-DR-00013-2021-REV-0/PTN-DR-00013-2021-REV-0.pdf/" TargetMode="External"/><Relationship Id="rId340" Type="http://schemas.openxmlformats.org/officeDocument/2006/relationships/hyperlink" Target="https://www.vishay.com/quality/pcn-doc/PTN-SF-274-2021-REV-0/PTN-SF-274-2021-REV-0.pdf/" TargetMode="External"/><Relationship Id="rId200" Type="http://schemas.openxmlformats.org/officeDocument/2006/relationships/hyperlink" Target="https://www.vishay.com/quality/pcn-doc/PCN-OSI-956-2017-Rev-0/ptn_osi_956_2017_rev0.pdf/" TargetMode="External"/><Relationship Id="rId382" Type="http://schemas.openxmlformats.org/officeDocument/2006/relationships/hyperlink" Target="https://www.vishay.com/quality/pcn-doc/PTN-TF-00001-2017-Rev-01/PTN%20-%2055342%20Ta2N%20082417.pdf/" TargetMode="External"/><Relationship Id="rId438" Type="http://schemas.openxmlformats.org/officeDocument/2006/relationships/hyperlink" Target="https://www.vishay.com/quality/pcn-doc/PCN-TC-007-2009-Rev-0/PCN-TC-007-2009-Rev%200.pdf/" TargetMode="External"/><Relationship Id="rId242" Type="http://schemas.openxmlformats.org/officeDocument/2006/relationships/hyperlink" Target="https://www.vishay.com/quality/pcn-doc/PTN-MLC-00011-2017-Rev-0/PTN-MLC-011-2017%20Remove%20large%20reel%20R%20offer%20for%20size%202220%202225%20from%20VJ%20Commercial%20Series.pdf/" TargetMode="External"/><Relationship Id="rId284" Type="http://schemas.openxmlformats.org/officeDocument/2006/relationships/hyperlink" Target="https://www.vishay.com/quality/pcn-doc/PCN-SIL-018-2015-Rev-0/PCN-SIL-0182015%20EOL%20Q2%20Pb%20Lead%20Finish%20Rev0.pdf/" TargetMode="External"/><Relationship Id="rId491" Type="http://schemas.openxmlformats.org/officeDocument/2006/relationships/hyperlink" Target="https://www.vishay.com/quality/pcn-doc/PCN-DI-185-2013-Rev-0/PCN-DI-185-2013.pdf/" TargetMode="External"/><Relationship Id="rId37" Type="http://schemas.openxmlformats.org/officeDocument/2006/relationships/hyperlink" Target="https://www.vishay.com/quality/pcn-doc/PCN-OMV-479-2011-Rev-0/omv_479_2011_rev0.pdf/" TargetMode="External"/><Relationship Id="rId79" Type="http://schemas.openxmlformats.org/officeDocument/2006/relationships/hyperlink" Target="https://www.vishay.com/quality/pcn-doc/PTN-DD-00008-2019-Rev-0/PCN-DD-008-2019%20Rev%200_Product%20Discontinuation%20Notice%20for%20Rectifier%20Products.pdf/" TargetMode="External"/><Relationship Id="rId102" Type="http://schemas.openxmlformats.org/officeDocument/2006/relationships/hyperlink" Target="https://www.vishay.com/quality/pcn-doc/PCN-OMV-787-2014-Rev-0/ptn_omv_787_2014_rev0.pdf/" TargetMode="External"/><Relationship Id="rId144" Type="http://schemas.openxmlformats.org/officeDocument/2006/relationships/hyperlink" Target="https://www.vishay.com/quality/pcn-doc/PTN-DI-00510-2021-REV-0/PTN-DI-00510-2021-REV-0.pdf/" TargetMode="External"/><Relationship Id="rId90" Type="http://schemas.openxmlformats.org/officeDocument/2006/relationships/hyperlink" Target="https://www.vishay.com/quality/pcn-doc/PTN-DD-00013-2019-Rev-0/DD-013-2019%20Rev%200.pdf/" TargetMode="External"/><Relationship Id="rId186" Type="http://schemas.openxmlformats.org/officeDocument/2006/relationships/hyperlink" Target="https://www.vishay.com/quality/pcn-doc/PTN-DR-00024-2020-Rev-0/PTN-DR-00024-2020%20Rev%200%20(December%202020-EOL%20of%20Plasma%20displays).pdf/" TargetMode="External"/><Relationship Id="rId351" Type="http://schemas.openxmlformats.org/officeDocument/2006/relationships/hyperlink" Target="https://www.vishay.com/quality/pcn-doc/PCN-SIL-037-2015-Rev-0/PCN-SIL-0372015_Obsolescence_SCLA_ASM.pdf/" TargetMode="External"/><Relationship Id="rId393" Type="http://schemas.openxmlformats.org/officeDocument/2006/relationships/hyperlink" Target="https://www.vishay.com/quality/pcn-doc/PCN-MLC-002-2011-Rev-0/PCN-MLC-002-2011%20Rev%200%20MLCC%20HVARCGUARD%20X7R%20110127.pdf/" TargetMode="External"/><Relationship Id="rId407" Type="http://schemas.openxmlformats.org/officeDocument/2006/relationships/hyperlink" Target="https://www.vishay.com/quality/pcn-doc/PCN-HPP-007-2011-Rev-00/HPP-007-2011%20Rev0.pdf/" TargetMode="External"/><Relationship Id="rId449" Type="http://schemas.openxmlformats.org/officeDocument/2006/relationships/hyperlink" Target="https://www.vishay.com/quality/pcn-doc/PTN-AC-00003-2018-Rev-0/PTN-AC-00003-2018%20Rev%200.pdf/" TargetMode="External"/><Relationship Id="rId211" Type="http://schemas.openxmlformats.org/officeDocument/2006/relationships/hyperlink" Target="https://www.vishay.com/quality/pcn-doc/PCN-PDD-003-2011-Rev-0/PCN-PDD-003-2011%20Rev%200_EOL%2010%20TransZorb%20TVS.pdf/" TargetMode="External"/><Relationship Id="rId253" Type="http://schemas.openxmlformats.org/officeDocument/2006/relationships/hyperlink" Target="https://www.vishay.com/quality/pcn-doc/PCN-SIL-0072010/PCN-SIL-0072010%20V50300%20EOL.pdf/" TargetMode="External"/><Relationship Id="rId295" Type="http://schemas.openxmlformats.org/officeDocument/2006/relationships/hyperlink" Target="https://www.vishay.com/quality/pcn-doc/PTN-OMV-01071-2019-Rev-0/ptn_omv_1071_2019_rev0.pdf/" TargetMode="External"/><Relationship Id="rId309" Type="http://schemas.openxmlformats.org/officeDocument/2006/relationships/hyperlink" Target="https://www.vishay.com/quality/pcn-doc/PCN-SIL-024-2014-Rev-2/PCN-SIL-0242014%20Rev2%20EOL%20with%20Replacement.pdf/" TargetMode="External"/><Relationship Id="rId460" Type="http://schemas.openxmlformats.org/officeDocument/2006/relationships/hyperlink" Target="https://www.vishay.com/quality/pcn-doc/PCN-AC-905-2010/PCN-AC-905-2010.pdf/" TargetMode="External"/><Relationship Id="rId48" Type="http://schemas.openxmlformats.org/officeDocument/2006/relationships/hyperlink" Target="https://www.vishay.com/quality/pcn-doc/PCN-OMV-591-2012-Rev-0/pcn_omv_591_2012_rev0.pdf/" TargetMode="External"/><Relationship Id="rId113" Type="http://schemas.openxmlformats.org/officeDocument/2006/relationships/hyperlink" Target="https://www.vishay.com/quality/pcn-doc/PTN-DI-00001-2018-Rev-0/PTN-DI-00001-2018.pdf/" TargetMode="External"/><Relationship Id="rId320" Type="http://schemas.openxmlformats.org/officeDocument/2006/relationships/hyperlink" Target="https://www.vishay.com/quality/pcn-doc/PTN-OSI-01127-2020-Rev-0/ptn_osi_1127_2020_rev0.pdf/" TargetMode="External"/><Relationship Id="rId155" Type="http://schemas.openxmlformats.org/officeDocument/2006/relationships/hyperlink" Target="https://www.vishay.com/quality/pcn-doc/PTN-DR-00004-2019-Rev-0/PTN-DR-00004-2019%20REV%200%20WSMS2906%20WSMS3124.pdf/" TargetMode="External"/><Relationship Id="rId197" Type="http://schemas.openxmlformats.org/officeDocument/2006/relationships/hyperlink" Target="https://www.vishay.com/quality/pcn-doc/PCN-OSI-898-2016-Rev-0/ptn_osi_898_2016_rev0.pdf/" TargetMode="External"/><Relationship Id="rId362" Type="http://schemas.openxmlformats.org/officeDocument/2006/relationships/hyperlink" Target="https://www.vishay.com/quality/pcn-doc/PTN-SIL-00408-2017-Rev-0/PCN-SIL-4082017%20EOL_SCLA_LICs.pdf/" TargetMode="External"/><Relationship Id="rId418" Type="http://schemas.openxmlformats.org/officeDocument/2006/relationships/hyperlink" Target="https://www.vishay.com/quality/pcn-doc/PCN-FC-007-2012-Rev-0/PCN-FC-007-2012%20EOL%20F1778pcm37%205.pdf/" TargetMode="External"/><Relationship Id="rId222" Type="http://schemas.openxmlformats.org/officeDocument/2006/relationships/hyperlink" Target="https://www.vishay.com/quality/pcn-doc/PTN-MLC-00004-2021-REV-0/PTN-MLC-00004-2021-REV-0.pdf/" TargetMode="External"/><Relationship Id="rId264" Type="http://schemas.openxmlformats.org/officeDocument/2006/relationships/hyperlink" Target="https://www.vishay.com/quality/pcn-doc/PTN-NLR-00003-2019-Rev-0/PTN-NLR-003-2019%20Withdrawal%20of%20MCT%20series%20curve%207.pdf/" TargetMode="External"/><Relationship Id="rId471" Type="http://schemas.openxmlformats.org/officeDocument/2006/relationships/hyperlink" Target="https://www.vishay.com/quality/pcn-doc/PCN-DBR-009-2010-Rev-1/PCN-DBR-009-2010.pdf/" TargetMode="External"/><Relationship Id="rId17" Type="http://schemas.openxmlformats.org/officeDocument/2006/relationships/hyperlink" Target="https://www.vishay.com/quality/pcn-doc/PTN-AC-00503-2021-REV-0/PTN-AC-00503-2021-REV-0.pdf/" TargetMode="External"/><Relationship Id="rId59" Type="http://schemas.openxmlformats.org/officeDocument/2006/relationships/hyperlink" Target="https://www.vishay.com/quality/pcn-doc/PCN-OMV-683-2013-Rev-0/pcn_omv_683_2013_rev0.pdf/" TargetMode="External"/><Relationship Id="rId124" Type="http://schemas.openxmlformats.org/officeDocument/2006/relationships/hyperlink" Target="https://www.vishay.com/quality/pcn-doc/PTN-DI-00473-2020-Rev-0/PCN-DI-00473-2020.pdf/" TargetMode="External"/><Relationship Id="rId70" Type="http://schemas.openxmlformats.org/officeDocument/2006/relationships/hyperlink" Target="https://www.vishay.com/quality/pcn-doc/PCN-OMV-689-2013-Rev-0/pcn_omv_689_2013_rev0.pdf/" TargetMode="External"/><Relationship Id="rId166" Type="http://schemas.openxmlformats.org/officeDocument/2006/relationships/hyperlink" Target="https://www.vishay.com/quality/pcn-doc/PTN-DR-00011-2018-Rev-0/2018_PTN-DR-00011-Rev0.pdf/" TargetMode="External"/><Relationship Id="rId331" Type="http://schemas.openxmlformats.org/officeDocument/2006/relationships/hyperlink" Target="https://www.vishay.com/quality/pcn-doc/PTN-SF-00251-2020-Rev-0/PTN%20SF%20AD251%202020%20Sfernice%20TFS%20SA%20SB%20SC%20obsolescence.pdf/" TargetMode="External"/><Relationship Id="rId373" Type="http://schemas.openxmlformats.org/officeDocument/2006/relationships/hyperlink" Target="https://www.vishay.com/quality/pcn-doc/PTN-SIL-036-2021-REV-0/PTN-SIL-036-2021-REV-0.pdf/" TargetMode="External"/><Relationship Id="rId429" Type="http://schemas.openxmlformats.org/officeDocument/2006/relationships/hyperlink" Target="https://www.vishay.com/quality/pcn-doc/PCN-TC-002-2016-Rev-0/PTN-002-2016%20CLR65%2014-125%20T2%20and%2018-125%20T3%20discontinuation.pdf/" TargetMode="External"/><Relationship Id="rId1" Type="http://schemas.openxmlformats.org/officeDocument/2006/relationships/hyperlink" Target="https://www.vishay.com/quality/pcn-doc/PCN-AC-001-2015-Rev-0/PCN-AC-001-2015_Rev0.pdf/" TargetMode="External"/><Relationship Id="rId233" Type="http://schemas.openxmlformats.org/officeDocument/2006/relationships/hyperlink" Target="https://www.vishay.com/quality/pcn-doc/PTN-MLC-00009-2019-Rev-0/PTN-MLC-00009-2019%20Remove%20ratings%20VJ9059H394MXXAR00L%20and%20VJ9059H394MXXAT00L%20from%20offering.pdf/" TargetMode="External"/><Relationship Id="rId440" Type="http://schemas.openxmlformats.org/officeDocument/2006/relationships/hyperlink" Target="https://www.vishay.com/quality/pcn-doc/PCN-DR-019-2015-Rev-0/PTN-DR-019-2015%20Rev%200.pdf/" TargetMode="External"/><Relationship Id="rId28" Type="http://schemas.openxmlformats.org/officeDocument/2006/relationships/hyperlink" Target="https://www.vishay.com/quality/pcn-doc/PTN-CC-00005-2021-REV-0/PTN-CC-00005-2021-REV-0.pdf/" TargetMode="External"/><Relationship Id="rId275" Type="http://schemas.openxmlformats.org/officeDocument/2006/relationships/hyperlink" Target="https://www.vishay.com/quality/pcn-doc/PTN-NLR-00006-2020-Rev-0/PTN-NLR-006-2020%20Rev0%20Withdrawal_SampleKit.pdf/" TargetMode="External"/><Relationship Id="rId300" Type="http://schemas.openxmlformats.org/officeDocument/2006/relationships/hyperlink" Target="https://www.vishay.com/quality/pcn-doc/PTN-OMV-01111-2020-Rev-0/ptn_omv_1111_2020_rev0.pdf/" TargetMode="External"/><Relationship Id="rId482" Type="http://schemas.openxmlformats.org/officeDocument/2006/relationships/hyperlink" Target="https://www.vishay.com/quality/pcn-doc/PCN-DD-016-2015-Rev-0/PCN-DD-016-2015%20Rev%200_Discontinuation%20of%20P4KA%20and%20P6KA%20PAR%20TVS.pdf/" TargetMode="External"/><Relationship Id="rId81" Type="http://schemas.openxmlformats.org/officeDocument/2006/relationships/hyperlink" Target="https://www.vishay.com/quality/pcn-doc/PTN-DD-00008-2019-Rev-1/PCN-DD-008-2019%20Rev%201_Product%20Discontinuation%20Notice%20for%20Rectifier%20Products.pdf/" TargetMode="External"/><Relationship Id="rId135" Type="http://schemas.openxmlformats.org/officeDocument/2006/relationships/hyperlink" Target="https://www.vishay.com/quality/pcn-doc/PCN-OSI-364-2009-Rev-0/osi_364_2009_rev0.pdf/" TargetMode="External"/><Relationship Id="rId177" Type="http://schemas.openxmlformats.org/officeDocument/2006/relationships/hyperlink" Target="https://www.vishay.com/quality/pcn-doc/PTN-DR-00015-2018-Rev-0/Product%20Termination%20of%20CPR07_JE66(2).pdf/" TargetMode="External"/><Relationship Id="rId342" Type="http://schemas.openxmlformats.org/officeDocument/2006/relationships/hyperlink" Target="https://www.vishay.com/quality/pcn-doc/PTN-SF-275-2021-REV-0/PTN-SF-275-2021-REV-0.pdf/" TargetMode="External"/><Relationship Id="rId384" Type="http://schemas.openxmlformats.org/officeDocument/2006/relationships/hyperlink" Target="https://www.vishay.com/quality/pcn-doc/PCN-SIL-058-2013-Rev-0/PCN-SIL-0582013%20Commercial%20LVM%20End%20of%20Life.pdf/" TargetMode="External"/><Relationship Id="rId202" Type="http://schemas.openxmlformats.org/officeDocument/2006/relationships/hyperlink" Target="https://www.vishay.com/quality/pcn-doc/PCN-OSI-957-2017-Rev-0/ptn_osi_957_2017_rev0.pdf/" TargetMode="External"/><Relationship Id="rId244" Type="http://schemas.openxmlformats.org/officeDocument/2006/relationships/hyperlink" Target="https://www.vishay.com/quality/pcn-doc/PTN-MLC-00011-2019-Rev-0/PTN-MLC-00011-2019%20Changes%20to%20Available%20Ratings%20of%20VJ%20OMD%20Open%20Mode%20Design%20Series.pdf/" TargetMode="External"/><Relationship Id="rId39" Type="http://schemas.openxmlformats.org/officeDocument/2006/relationships/hyperlink" Target="https://www.vishay.com/quality/pcn-doc/PTN-DBR-00002-2018-Rev-0/PTN-DBR-002-2018%20Rev0.pdf/" TargetMode="External"/><Relationship Id="rId286" Type="http://schemas.openxmlformats.org/officeDocument/2006/relationships/hyperlink" Target="https://www.vishay.com/quality/pcn-doc/PCN-SIL-019-2014-Rev-1/PCN-SIL-0192014%20EOL%20with%20Replacement.pdf/" TargetMode="External"/><Relationship Id="rId451" Type="http://schemas.openxmlformats.org/officeDocument/2006/relationships/hyperlink" Target="https://www.vishay.com/quality/pcn-doc/PTN-AC-00002-2021-REV-0/PTN-AC-00002-2021-REV-0-VERSION-1488.pdf/" TargetMode="External"/><Relationship Id="rId493" Type="http://schemas.openxmlformats.org/officeDocument/2006/relationships/hyperlink" Target="https://www.vishay.com/quality/pcn-doc/PCN-DR-004-2011/PCN-DR-004%20Rev%202%20Bar%20Graph.pdf/" TargetMode="External"/><Relationship Id="rId50" Type="http://schemas.openxmlformats.org/officeDocument/2006/relationships/hyperlink" Target="https://www.vishay.com/quality/pcn-doc/PCN-OMV-595-2012-Rev-0/pcn_omv_595_2012_rev0.pdf/" TargetMode="External"/><Relationship Id="rId104" Type="http://schemas.openxmlformats.org/officeDocument/2006/relationships/hyperlink" Target="https://www.vishay.com/quality/pcn-doc/PTN-DD-00020-2019-Rev-00/DD-020-2019%20Rev%200.pdf/" TargetMode="External"/><Relationship Id="rId146" Type="http://schemas.openxmlformats.org/officeDocument/2006/relationships/hyperlink" Target="https://www.vishay.com/quality/pcn-doc/PTN-DI-00514-2021-REV-0/PTN-DI-00514-2021-REV-0.pdf/" TargetMode="External"/><Relationship Id="rId188" Type="http://schemas.openxmlformats.org/officeDocument/2006/relationships/hyperlink" Target="https://www.vishay.com/quality/pcn-doc/PTN-DR-00025-2020-Rev-0/PTN_ROX_RNX_RJU_Resistors_PTN-DR-00025%202020%20Rev%200.pdf/" TargetMode="External"/><Relationship Id="rId311" Type="http://schemas.openxmlformats.org/officeDocument/2006/relationships/hyperlink" Target="https://www.vishay.com/quality/pcn-doc/PTN-OSI-01059-2019-Rev-0/ptn_osi_1059_2019_rev0.pdf/" TargetMode="External"/><Relationship Id="rId353" Type="http://schemas.openxmlformats.org/officeDocument/2006/relationships/hyperlink" Target="https://www.vishay.com/quality/pcn-doc/PTN-SIL-00017-2019-Rev-0/PCN%20SIL-0172019%20EOL%20V50383-E3.pdf/" TargetMode="External"/><Relationship Id="rId395" Type="http://schemas.openxmlformats.org/officeDocument/2006/relationships/hyperlink" Target="https://www.vishay.com/quality/pcn-doc/PCN-SIL-074-2014-Rev-0/PCN-SIL-0742014%20Custom%20Power%20IC%20Obsolescence.pdf/" TargetMode="External"/><Relationship Id="rId409" Type="http://schemas.openxmlformats.org/officeDocument/2006/relationships/hyperlink" Target="https://www.vishay.com/quality/pcn-doc/PCN-HPP-006-2010-Rev-00/PCN-HPP%20006-2010%20Rev0%20.pdf/" TargetMode="External"/><Relationship Id="rId92" Type="http://schemas.openxmlformats.org/officeDocument/2006/relationships/hyperlink" Target="https://www.vishay.com/quality/pcn-doc/PTN-DD-00013-2020-Rev-0/DD-013-2020%20Rev%200.pdf/" TargetMode="External"/><Relationship Id="rId213" Type="http://schemas.openxmlformats.org/officeDocument/2006/relationships/hyperlink" Target="https://www.vishay.com/quality/pcn-doc/PTN-MLC-00001-2020-Rev-0/PTN-MLC-00001-2020%20Changes%20to%20Available%20Terminations%20at%20VJ%20HIFREQ%20HT%20Series.pdf/" TargetMode="External"/><Relationship Id="rId420" Type="http://schemas.openxmlformats.org/officeDocument/2006/relationships/hyperlink" Target="https://www.vishay.com/quality/pcn-doc/PCN-SSP-443-2010-Rev-1/ssp_443_2010_rev1.pdf/" TargetMode="External"/><Relationship Id="rId255" Type="http://schemas.openxmlformats.org/officeDocument/2006/relationships/hyperlink" Target="https://www.vishay.com/quality/pcn-doc/PCN-SIL-008-2014-Rev-0/PCN-SIL-0082014%20Obsolescence%20of%20MICROFOOT.pdf/" TargetMode="External"/><Relationship Id="rId297" Type="http://schemas.openxmlformats.org/officeDocument/2006/relationships/hyperlink" Target="https://www.vishay.com/quality/pcn-doc/PTN-OMV-01073-2019-Rev-0/ptn_omv_1073_2019_rev0.pdf/" TargetMode="External"/><Relationship Id="rId462" Type="http://schemas.openxmlformats.org/officeDocument/2006/relationships/hyperlink" Target="https://www.vishay.com/quality/pcn-doc/PCN-DBR-004-2010-Rev-1/PCN-DBR-004-2010.pdf/" TargetMode="External"/><Relationship Id="rId115" Type="http://schemas.openxmlformats.org/officeDocument/2006/relationships/hyperlink" Target="https://www.vishay.com/quality/pcn-doc/PTN-DI-00379-2017-Rev-0/PCN-DI-00379-2017%20ICM-2824-3528-4743.pdf/" TargetMode="External"/><Relationship Id="rId157" Type="http://schemas.openxmlformats.org/officeDocument/2006/relationships/hyperlink" Target="https://www.vishay.com/quality/pcn-doc/PTN-DR-00004-2021-REV-0/PTN-DR-00004-2021-REV-0.pdf/" TargetMode="External"/><Relationship Id="rId322" Type="http://schemas.openxmlformats.org/officeDocument/2006/relationships/hyperlink" Target="https://www.vishay.com/quality/pcn-doc/PTN-OSI-01188-2021-Rev-0/ptn_osi_1188_2021_rev0.pdf/" TargetMode="External"/><Relationship Id="rId364" Type="http://schemas.openxmlformats.org/officeDocument/2006/relationships/hyperlink" Target="https://www.vishay.com/quality/pcn-doc/PTN-SIL-013-2021-REV-0/PTN-SIL-013-2021-REV-0-VERSION-2403.pdf/" TargetMode="External"/><Relationship Id="rId61" Type="http://schemas.openxmlformats.org/officeDocument/2006/relationships/hyperlink" Target="https://www.vishay.com/quality/pcn-doc/PTN-DBR-00011-2020-REV-0/PTN-DBR-00011-2020-REV-0.pdf/" TargetMode="External"/><Relationship Id="rId199" Type="http://schemas.openxmlformats.org/officeDocument/2006/relationships/hyperlink" Target="https://www.vishay.com/quality/pcn-doc/PTN-FC-00001-2021-Rev-0/PTN-FC-001-2021Rev0.pdf/" TargetMode="External"/><Relationship Id="rId19" Type="http://schemas.openxmlformats.org/officeDocument/2006/relationships/hyperlink" Target="https://www.vishay.com/quality/pcn-doc/PTN-AC-00506-2021-REV-0/PTN-AC-00506-2021-REV-0-VERSION-5911.pdf/" TargetMode="External"/><Relationship Id="rId224" Type="http://schemas.openxmlformats.org/officeDocument/2006/relationships/hyperlink" Target="https://www.vishay.com/quality/pcn-doc/PCN-SF-089-2009-Rev-0/PCN%20SF%20FL089%202009%20T19P.pdf/" TargetMode="External"/><Relationship Id="rId266" Type="http://schemas.openxmlformats.org/officeDocument/2006/relationships/hyperlink" Target="https://www.vishay.com/quality/pcn-doc/PCN-SIL-013-2015-Rev-1/PCN-SIL-0132015%20Commercial%20LVM%20End%20of%20Life%20rev1.pdf/" TargetMode="External"/><Relationship Id="rId431" Type="http://schemas.openxmlformats.org/officeDocument/2006/relationships/hyperlink" Target="https://www.vishay.com/quality/pcn-doc/PCN-TC-002-2017-Rev-0/002-2017.pdf/" TargetMode="External"/><Relationship Id="rId473" Type="http://schemas.openxmlformats.org/officeDocument/2006/relationships/hyperlink" Target="https://www.vishay.com/quality/pcn-doc/PCN-DBR-034-2009-Rev-1/PCN-DBR-034-2009.pdf/" TargetMode="External"/><Relationship Id="rId30" Type="http://schemas.openxmlformats.org/officeDocument/2006/relationships/hyperlink" Target="https://www.vishay.com/quality/pcn-doc/PCN-NLR-007-2013-Rev-0/PCN-NLR-007-2013%20Rev0.pdf/" TargetMode="External"/><Relationship Id="rId126" Type="http://schemas.openxmlformats.org/officeDocument/2006/relationships/hyperlink" Target="https://www.vishay.com/quality/pcn-doc/PCN-OMV-913-2016-Rev-0/ptn_omv_913_2016_rev0.pdf/" TargetMode="External"/><Relationship Id="rId168" Type="http://schemas.openxmlformats.org/officeDocument/2006/relationships/hyperlink" Target="https://www.vishay.com/quality/pcn-doc/PTN-DR-00011-2020-Rev-0/PTN-DR-00011-2020,%20Rev%200%20(05May2020-final).pdf/" TargetMode="External"/><Relationship Id="rId333" Type="http://schemas.openxmlformats.org/officeDocument/2006/relationships/hyperlink" Target="https://www.vishay.com/quality/pcn-doc/PTN-SF-00253-2020-Rev-0/PTN%20SF%20AD253%202020%20Sfernice%20CN1579%20CN1581%20obsolescence.pdf/" TargetMode="External"/><Relationship Id="rId72" Type="http://schemas.openxmlformats.org/officeDocument/2006/relationships/hyperlink" Target="https://www.vishay.com/quality/pcn-doc/PCN-OMV-691-2013-Rev-0/ptn_omv_691_2013_rev0.pdf/" TargetMode="External"/><Relationship Id="rId375" Type="http://schemas.openxmlformats.org/officeDocument/2006/relationships/hyperlink" Target="https://www.vishay.com/quality/pcn-doc/PCN-SIL-053-2014-Rev-1/PCN-SIL-0532014%20Auto%20PTN%20with%2045M%20Replacement.pdf/" TargetMode="External"/><Relationship Id="rId3" Type="http://schemas.openxmlformats.org/officeDocument/2006/relationships/hyperlink" Target="https://www.vishay.com/quality/pcn-doc/PCN-MLC-003-2017-Rev-0/PTN-MLC-003-2017%20VJ%20Non%20Magnetic%20Reflow%20Series%20remove%20high%20voltage%20ratings%20size%201812%20DF.pdf/" TargetMode="External"/><Relationship Id="rId235" Type="http://schemas.openxmlformats.org/officeDocument/2006/relationships/hyperlink" Target="https://www.vishay.com/quality/pcn-doc/PTN-MLC-00010-2017-Rev-0/PTN-MLC-010-2017%20Remove%20large%20reel%20R%20offering%20from%20Safety%20Cap%20Series.pdf/" TargetMode="External"/><Relationship Id="rId277" Type="http://schemas.openxmlformats.org/officeDocument/2006/relationships/hyperlink" Target="https://www.vishay.com/quality/pcn-doc/PTN-OMV-01000-2017-Rev-0/ptn_omv_1000_2017_rev0.pdf/" TargetMode="External"/><Relationship Id="rId400" Type="http://schemas.openxmlformats.org/officeDocument/2006/relationships/hyperlink" Target="https://www.vishay.com/quality/pcn-doc/PCN-HPP-015-2009-Rev-00/PCN-HPP%20015-2009%20Rev0%20.pdf/" TargetMode="External"/><Relationship Id="rId442" Type="http://schemas.openxmlformats.org/officeDocument/2006/relationships/hyperlink" Target="https://www.vishay.com/quality/pcn-doc/PCN-DR-018-2015-Rev-0/PTN-DR-018-2015.pdf/" TargetMode="External"/><Relationship Id="rId484" Type="http://schemas.openxmlformats.org/officeDocument/2006/relationships/hyperlink" Target="https://www.vishay.com/quality/pcn-doc/PCN-DD-018-2013-Rev-0/PCN-DD-018-2013%20Rev%200_EOL%20of%20GPP60%20and%20GPP100%20Products.pdf/" TargetMode="External"/><Relationship Id="rId137" Type="http://schemas.openxmlformats.org/officeDocument/2006/relationships/hyperlink" Target="https://www.vishay.com/quality/pcn-doc/PTN-DD-00027-2019-Rev-0/DD-027-2019%20Rev%200.pdf/" TargetMode="External"/><Relationship Id="rId302" Type="http://schemas.openxmlformats.org/officeDocument/2006/relationships/hyperlink" Target="https://www.vishay.com/quality/pcn-doc/PTN-OMV-01160-2020-Rev-0/ptn_omv_1160_2020_rev0.pdf/" TargetMode="External"/><Relationship Id="rId344" Type="http://schemas.openxmlformats.org/officeDocument/2006/relationships/hyperlink" Target="https://www.vishay.com/quality/pcn-doc/PTN-SF-278-2021-REV-0/PTN-SF-278-2021-REV-0.pdf/" TargetMode="External"/><Relationship Id="rId41" Type="http://schemas.openxmlformats.org/officeDocument/2006/relationships/hyperlink" Target="https://www.vishay.com/quality/pcn-doc/PTN-DBR-00002-2019-Rev-0/PTN-DBR-00002-2019%20Rev0.pdf/" TargetMode="External"/><Relationship Id="rId83" Type="http://schemas.openxmlformats.org/officeDocument/2006/relationships/hyperlink" Target="https://www.vishay.com/quality/pcn-doc/PTN-DD-00009-2019-Rev-0/DD-009-2019%20Rev%200.pdf/" TargetMode="External"/><Relationship Id="rId179" Type="http://schemas.openxmlformats.org/officeDocument/2006/relationships/hyperlink" Target="https://www.vishay.com/quality/pcn-doc/PTN-DR-00015-2020-Rev-0/PTN-DR-00015%202020%20Rev%200.pdf/" TargetMode="External"/><Relationship Id="rId386" Type="http://schemas.openxmlformats.org/officeDocument/2006/relationships/hyperlink" Target="https://www.vishay.com/quality/pcn-doc/PCN-MLC-003-2014-Rev-0/PCN-MLC-003-2014%20VJ%20Commercial%20Series%20Streamline%200805%20Size%20X5R.pdf/" TargetMode="External"/><Relationship Id="rId190" Type="http://schemas.openxmlformats.org/officeDocument/2006/relationships/hyperlink" Target="https://www.vishay.com/quality/pcn-doc/PCN-OSI-851-2015-Rev-0/ptn_osi_851_2015_rev0.pdf/" TargetMode="External"/><Relationship Id="rId204" Type="http://schemas.openxmlformats.org/officeDocument/2006/relationships/hyperlink" Target="https://www.vishay.com/quality/pcn-doc/PTN-FC-00003-2018-Rev-0/PTN-FC-003-2018Rev0.pdf/" TargetMode="External"/><Relationship Id="rId246" Type="http://schemas.openxmlformats.org/officeDocument/2006/relationships/hyperlink" Target="https://www.vishay.com/quality/pcn-doc/PTN-MLC-00011-2021-REV-0/PTN-MLC-00011-2021-REV-0-VERSION-4641.pdf/" TargetMode="External"/><Relationship Id="rId288" Type="http://schemas.openxmlformats.org/officeDocument/2006/relationships/hyperlink" Target="https://www.vishay.com/quality/pcn-doc/PTN-OMV-01040-2018-Rev-0/ptn_omv_1040_2018_rev0.pdf/" TargetMode="External"/><Relationship Id="rId411" Type="http://schemas.openxmlformats.org/officeDocument/2006/relationships/hyperlink" Target="https://www.vishay.com/quality/pcn-doc/PCN-HPP-005-2011-Rev-00/HPP-005-2011%20rev0.pdf/" TargetMode="External"/><Relationship Id="rId453" Type="http://schemas.openxmlformats.org/officeDocument/2006/relationships/hyperlink" Target="https://www.vishay.com/quality/pcn-doc/PCN-TC-011-2011-Rev-1/PTN%20TC011-2014%20Built-In-Fuse%20Molded%20Chip%20Capacitors%20discontinuation%20with%20lead%20bearing%20Rev%201.pdf/" TargetMode="External"/><Relationship Id="rId106" Type="http://schemas.openxmlformats.org/officeDocument/2006/relationships/hyperlink" Target="https://www.vishay.com/quality/pcn-doc/PCN-OMV-827-2015-Rev-0/pcn_omv_827_2015_rev0.pdf/" TargetMode="External"/><Relationship Id="rId313" Type="http://schemas.openxmlformats.org/officeDocument/2006/relationships/hyperlink" Target="https://www.vishay.com/quality/pcn-doc/PTN-OSI-01093-2019-Rev-0/ptn_osi_1093_2019_rev0.pdf/" TargetMode="External"/><Relationship Id="rId495" Type="http://schemas.openxmlformats.org/officeDocument/2006/relationships/hyperlink" Target="https://www.vishay.com/quality/pcn-doc/PCN-DR-013-2015-Rev-0/PCN-DR-013-2015%20Rev%200.pdf/" TargetMode="External"/></Relationships>
</file>

<file path=xl/worksheets/_rels/sheet4.xml.rels><?xml version="1.0" encoding="UTF-8" standalone="yes"?>
<Relationships xmlns="http://schemas.openxmlformats.org/package/2006/relationships"><Relationship Id="rId26" Type="http://schemas.openxmlformats.org/officeDocument/2006/relationships/hyperlink" Target="https://www.vishay.com/quality/pcn-doc/PCN-MLC-005-2013-Rev-0/PCN-MLC-005-2013%20VJ%20Series%20Streamline%201210%20C0G%20NP0.pdf/" TargetMode="External"/><Relationship Id="rId21" Type="http://schemas.openxmlformats.org/officeDocument/2006/relationships/hyperlink" Target="https://www.vishay.com/quality/pcn-doc/PCN-FC-001-2011-Rev-0/PCN-FC-001-2011.pdf/" TargetMode="External"/><Relationship Id="rId42" Type="http://schemas.openxmlformats.org/officeDocument/2006/relationships/hyperlink" Target="https://www.vishay.com/quality/pcn-doc/PCN-TC-002-2016-Rev-0/PTN-002-2016%20CLR65%2014-125%20T2%20and%2018-125%20T3%20discontinuation.pdf/" TargetMode="External"/><Relationship Id="rId47" Type="http://schemas.openxmlformats.org/officeDocument/2006/relationships/hyperlink" Target="https://www.vishay.com/quality/pcn-doc/PCN-TC-007-2014-Rev-1/PTN%20TC%20007%202014%20Rev%201.pdf/" TargetMode="External"/><Relationship Id="rId63" Type="http://schemas.openxmlformats.org/officeDocument/2006/relationships/hyperlink" Target="https://www.vishay.com/quality/pcn-doc/PTN-AC-00901-2019-Rev-0/PTN-AC-00901-2019%20Rev%200%20-%20phase%20out%20516D.pdf/" TargetMode="External"/><Relationship Id="rId68" Type="http://schemas.openxmlformats.org/officeDocument/2006/relationships/hyperlink" Target="https://www.vishay.com/quality/pcn-doc/PTN-FC-00001-2019-Rev-0/PTN-FC-001-2019Rev0.pdf/" TargetMode="External"/><Relationship Id="rId84" Type="http://schemas.openxmlformats.org/officeDocument/2006/relationships/hyperlink" Target="https://www.vishay.com/quality/pcn-doc/PTN-MLC-00009-2018-Rev-0/PTN-MLC-00009-2018%20Non-Magnetic%20series%20for%20Epoxy%20bonding_180905.pdf/" TargetMode="External"/><Relationship Id="rId89" Type="http://schemas.openxmlformats.org/officeDocument/2006/relationships/hyperlink" Target="https://www.vishay.com/quality/pcn-doc/PTN-MLC-00011-2017-Rev-0/PTN-MLC-011-2017%20Remove%20large%20reel%20R%20offer%20for%20size%202220%202225%20from%20VJ%20Commercial%20Series.pdf/" TargetMode="External"/><Relationship Id="rId16" Type="http://schemas.openxmlformats.org/officeDocument/2006/relationships/hyperlink" Target="https://www.vishay.com/quality/pcn-doc/PCN-FC-003-2012-Rev-0/PCN-FC-003-2012%20EOL%20F1776.pdf/" TargetMode="External"/><Relationship Id="rId11" Type="http://schemas.openxmlformats.org/officeDocument/2006/relationships/hyperlink" Target="https://www.vishay.com/quality/pcn-doc/PCN-FC-006-2014-Rev-0/PCN-FC-006-2014.pdf/" TargetMode="External"/><Relationship Id="rId32" Type="http://schemas.openxmlformats.org/officeDocument/2006/relationships/hyperlink" Target="https://www.vishay.com/quality/pcn-doc/PCN-MLC-003-2013-Rev-0/PCN-MLC-003-2013%20VJ%20Non-Magnetic%20Series%20Streamlining.pdf/" TargetMode="External"/><Relationship Id="rId37" Type="http://schemas.openxmlformats.org/officeDocument/2006/relationships/hyperlink" Target="https://www.vishay.com/quality/pcn-doc/PCN-MLC-001-2017-Rev-0/PTN-MLC-001-2017%20Rev%200%20Vitramon%20Anttenas.pdf/" TargetMode="External"/><Relationship Id="rId53" Type="http://schemas.openxmlformats.org/officeDocument/2006/relationships/hyperlink" Target="https://www.vishay.com/quality/pcn-doc/PCN-TC-012-2014-Rev-0/PTN%20TC012-2014%20DLA%2004053%20Built-In-Fuse%20Molded%20Chip%20Capacitors%20discontinuation.pdf/" TargetMode="External"/><Relationship Id="rId58" Type="http://schemas.openxmlformats.org/officeDocument/2006/relationships/hyperlink" Target="https://www.vishay.com/quality/pcn-doc/PTN-AC-00502-2019-Rev-1/PCN-AC-00502-2019%20Rev1_PhaseOut_ROE-ECA-low_capacitance_types.pdf/" TargetMode="External"/><Relationship Id="rId74" Type="http://schemas.openxmlformats.org/officeDocument/2006/relationships/hyperlink" Target="https://www.vishay.com/quality/pcn-doc/PTN-FC-00005-2018-Rev-0/PTN-FC-005-2018Rev0.pdf/" TargetMode="External"/><Relationship Id="rId79" Type="http://schemas.openxmlformats.org/officeDocument/2006/relationships/hyperlink" Target="https://www.vishay.com/quality/pcn-doc/PTN-MLC-00003-2019-Rev-1/PTN-MLC-00003-2019%20Changes%20to%20Available%20Ratings%20of%20VJ31%20VJ34%20Automotive%20Series%20Rev1.pdf/" TargetMode="External"/><Relationship Id="rId102" Type="http://schemas.openxmlformats.org/officeDocument/2006/relationships/hyperlink" Target="https://www.vishay.com/quality/pcn-doc/PTN-TC-00007-2017-Rev-0/PTN%20TC007-2017_TerminationOfNiobium.pdf/" TargetMode="External"/><Relationship Id="rId5" Type="http://schemas.openxmlformats.org/officeDocument/2006/relationships/hyperlink" Target="https://www.vishay.com/quality/pcn-doc/PCN-AC-503-2011-Rev-0/PCN-AC-503-2011%20rev0.pdf/" TargetMode="External"/><Relationship Id="rId90" Type="http://schemas.openxmlformats.org/officeDocument/2006/relationships/hyperlink" Target="https://www.vishay.com/quality/pcn-doc/PTN-MLC-00011-2019-Rev-0/PTN-MLC-00011-2019%20Changes%20to%20Available%20Ratings%20of%20VJ%20OMD%20Open%20Mode%20Design%20Series.pdf/" TargetMode="External"/><Relationship Id="rId95" Type="http://schemas.openxmlformats.org/officeDocument/2006/relationships/hyperlink" Target="https://www.vishay.com/quality/pcn-doc/PTN-MLC-00015-2017-Rev-0/PTN-MLC-015-2017%20Remove%20Controlled%20Discharge%20Capacitor%20171205.pdf/" TargetMode="External"/><Relationship Id="rId22" Type="http://schemas.openxmlformats.org/officeDocument/2006/relationships/hyperlink" Target="https://www.vishay.com/quality/pcn-doc/PCN-MLC-010-2013-Rev-0/PCN-MLC-010-2013%20Sub%201pF%20Cap%20Values.pdf/" TargetMode="External"/><Relationship Id="rId27" Type="http://schemas.openxmlformats.org/officeDocument/2006/relationships/hyperlink" Target="https://www.vishay.com/quality/pcn-doc/PCN-MLC-005-2017-Rev-0/PTN-MLC-005-2017%20VJ31VJ34%20Automotive%20Series%20remove%20high%20voltage%20ratings%20size%201812.pdf/" TargetMode="External"/><Relationship Id="rId43" Type="http://schemas.openxmlformats.org/officeDocument/2006/relationships/hyperlink" Target="https://www.vishay.com/quality/pcn-doc/PCN-TC-002-2017-Rev-0/002-2017.pdf/" TargetMode="External"/><Relationship Id="rId48" Type="http://schemas.openxmlformats.org/officeDocument/2006/relationships/hyperlink" Target="https://www.vishay.com/quality/pcn-doc/PCN-TC-008-2009-Rev-0/PCN%20TC%20-08%20-%202009%20Rev%200.pdf/" TargetMode="External"/><Relationship Id="rId64" Type="http://schemas.openxmlformats.org/officeDocument/2006/relationships/hyperlink" Target="https://www.vishay.com/quality/pcn-doc/PTN-CC-00001-2020-Rev-0/PTN-CC-001-2020.pdf/" TargetMode="External"/><Relationship Id="rId69" Type="http://schemas.openxmlformats.org/officeDocument/2006/relationships/hyperlink" Target="https://www.vishay.com/quality/pcn-doc/PTN-FC-00001-2021-Rev-0/PTN-FC-001-2021Rev0.pdf/" TargetMode="External"/><Relationship Id="rId80" Type="http://schemas.openxmlformats.org/officeDocument/2006/relationships/hyperlink" Target="https://www.vishay.com/quality/pcn-doc/PTN-MLC-00004-2019-Rev-0/PTN-MLC-00004-2019%20Changes%20to%20Available%20Ratings%20of%20VJ31X%20ROHS%20Automotive%20Series.pdf/" TargetMode="External"/><Relationship Id="rId85" Type="http://schemas.openxmlformats.org/officeDocument/2006/relationships/hyperlink" Target="https://www.vishay.com/quality/pcn-doc/PTN-MLC-00009-2019-Rev-0/PTN-MLC-00009-2019%20Remove%20ratings%20VJ9059H394MXXAR00L%20and%20VJ9059H394MXXAT00L%20from%20offering.pdf/" TargetMode="External"/><Relationship Id="rId12" Type="http://schemas.openxmlformats.org/officeDocument/2006/relationships/hyperlink" Target="https://www.vishay.com/quality/pcn-doc/PCN-FC-005-2011-Rev-0/PCN-FC-005-2011%20EOL%20F1790.pdf/" TargetMode="External"/><Relationship Id="rId17" Type="http://schemas.openxmlformats.org/officeDocument/2006/relationships/hyperlink" Target="https://www.vishay.com/quality/pcn-doc/PCN-FC-003-2011-Rev-0/PCN-FC-003-2011%20EOL%20KC_MKC_TYPES.pdf/" TargetMode="External"/><Relationship Id="rId33" Type="http://schemas.openxmlformats.org/officeDocument/2006/relationships/hyperlink" Target="https://www.vishay.com/quality/pcn-doc/PCN-MLC-002-2017-Rev-0/PTN-MLC-002-2017%20VJ%20Non%20Magnetic%20Epoxy%20Bonding%20Series%20remove%20high%20voltage%20ratings%20size%201812%20DF.pdf/" TargetMode="External"/><Relationship Id="rId38" Type="http://schemas.openxmlformats.org/officeDocument/2006/relationships/hyperlink" Target="https://www.vishay.com/quality/pcn-doc/PCN-MLC-001-2014-Rev-0/PCN-MLC-001-2014%20VJ31_VJ34%20Automotive%20Series%20Streamline%200805%20X5R%20Ceramic.pdf/" TargetMode="External"/><Relationship Id="rId59" Type="http://schemas.openxmlformats.org/officeDocument/2006/relationships/hyperlink" Target="https://www.vishay.com/quality/pcn-doc/PTN-AC-00502-2021-Rev-0/PTN-AC-00502-2021-Rev0_PhaseOut_BCc-EKC-136RVI.pdf/" TargetMode="External"/><Relationship Id="rId103" Type="http://schemas.openxmlformats.org/officeDocument/2006/relationships/hyperlink" Target="https://www.vishay.com/quality/pcn-doc/PTN-TC-00008-2017-Rev-0/PTN%20TC008-2017.pdf/" TargetMode="External"/><Relationship Id="rId20" Type="http://schemas.openxmlformats.org/officeDocument/2006/relationships/hyperlink" Target="https://www.vishay.com/quality/pcn-doc/PCN-FC-002-2011-Rev-0/PCN-FC-002-2011%20EOL%20MKT304.pdf/" TargetMode="External"/><Relationship Id="rId41" Type="http://schemas.openxmlformats.org/officeDocument/2006/relationships/hyperlink" Target="https://www.vishay.com/quality/pcn-doc/PCN-TC-001-2017-Rev-0/001-2017.pdf/" TargetMode="External"/><Relationship Id="rId54" Type="http://schemas.openxmlformats.org/officeDocument/2006/relationships/hyperlink" Target="https://www.vishay.com/quality/pcn-doc/PCN-TC-014-2014-Rev-0/Notification%20letter%20Data%20sheet%20update%20Automotive.pdf/" TargetMode="External"/><Relationship Id="rId62" Type="http://schemas.openxmlformats.org/officeDocument/2006/relationships/hyperlink" Target="https://www.vishay.com/quality/pcn-doc/PTN-AC-00003-2018-Rev-0/PTN-AC-00003-2018%20Rev%200.pdf/" TargetMode="External"/><Relationship Id="rId70" Type="http://schemas.openxmlformats.org/officeDocument/2006/relationships/hyperlink" Target="https://www.vishay.com/quality/pcn-doc/PTN-FC-00002-2018-Rev-0/PTN-FC-002-2018Rev0.pdf/" TargetMode="External"/><Relationship Id="rId75" Type="http://schemas.openxmlformats.org/officeDocument/2006/relationships/hyperlink" Target="https://www.vishay.com/quality/pcn-doc/PTN-MLC-00001-2019-Rev-0/PTN-MLC-00001-2019%20Change%20of%20available%20VJ...W1BC%20Y5V%20Hi-Cap%20ratings.pdf/" TargetMode="External"/><Relationship Id="rId83" Type="http://schemas.openxmlformats.org/officeDocument/2006/relationships/hyperlink" Target="https://www.vishay.com/quality/pcn-doc/PTN-MLC-00008-2018-Rev-0/PTN-MLC-00008-2018%20Change%20of%20available%20VJ...W1BC%20Y5V%20Hi-Cap%20ratings.pdf/" TargetMode="External"/><Relationship Id="rId88" Type="http://schemas.openxmlformats.org/officeDocument/2006/relationships/hyperlink" Target="https://www.vishay.com/quality/pcn-doc/PTN-MLC-00010-2019-Rev-0/PTN-MLC-00010-2019%20Changes%20to%20Available%20Ratings%20Size%201808%20of%20VJ%20Commercial%20Series.pdf/" TargetMode="External"/><Relationship Id="rId91" Type="http://schemas.openxmlformats.org/officeDocument/2006/relationships/hyperlink" Target="https://www.vishay.com/quality/pcn-doc/PTN-MLC-00012-2017-Rev-0/PTN-MLC-012-2017%20Remove%20large%20reel%20R%20offer%20for%20size%202220%202225%20from%20VJ%20OMD%20Series.pdf/" TargetMode="External"/><Relationship Id="rId96" Type="http://schemas.openxmlformats.org/officeDocument/2006/relationships/hyperlink" Target="https://www.vishay.com/quality/pcn-doc/PTN-MLC-00015-2018-Rev-0/PTN-MLC-00015-2018%20Discontinuation%20of%20MLCC%20Chip%20Array%20VJ06C4....W1BC.pdf/" TargetMode="External"/><Relationship Id="rId1" Type="http://schemas.openxmlformats.org/officeDocument/2006/relationships/hyperlink" Target="https://www.vishay.com/quality/pcn-doc/PCN-AC-001-2015-Rev-0/PCN-AC-001-2015_Rev0.pdf/" TargetMode="External"/><Relationship Id="rId6" Type="http://schemas.openxmlformats.org/officeDocument/2006/relationships/hyperlink" Target="https://www.vishay.com/quality/pcn-doc/PCN-AC-901-2010-Rev-0/PCN-AC-901-2010.pdf/" TargetMode="External"/><Relationship Id="rId15" Type="http://schemas.openxmlformats.org/officeDocument/2006/relationships/hyperlink" Target="https://www.vishay.com/quality/pcn-doc/PCN-FC-003-2013-Rev-0/PCN-FC-003-2013%20Rev%200.pdf/" TargetMode="External"/><Relationship Id="rId23" Type="http://schemas.openxmlformats.org/officeDocument/2006/relationships/hyperlink" Target="https://www.vishay.com/quality/pcn-doc/PCN-MLC-003-2017-Rev-0/PTN-MLC-003-2017%20VJ%20Non%20Magnetic%20Reflow%20Series%20remove%20high%20voltage%20ratings%20size%201812%20DF.pdf/" TargetMode="External"/><Relationship Id="rId28" Type="http://schemas.openxmlformats.org/officeDocument/2006/relationships/hyperlink" Target="https://www.vishay.com/quality/pcn-doc/PCN-MLC-006-2013-Rev-0/PCN-MLC-006-2013%20VJ2220A272KXHAT7U%20Removed%20from%20offering.pdf/" TargetMode="External"/><Relationship Id="rId36" Type="http://schemas.openxmlformats.org/officeDocument/2006/relationships/hyperlink" Target="https://www.vishay.com/quality/pcn-doc/PCN-MLC-002-2011-Rev-0/PCN-MLC-002-2011%20Rev%200%20MLCC%20HVARCGUARD%20X7R%20110127.pdf/" TargetMode="External"/><Relationship Id="rId49" Type="http://schemas.openxmlformats.org/officeDocument/2006/relationships/hyperlink" Target="https://www.vishay.com/quality/pcn-doc/PCN-TC-009-2010-Rev-0/PCN%20TC-09-2010-Rev0.pdf/" TargetMode="External"/><Relationship Id="rId57" Type="http://schemas.openxmlformats.org/officeDocument/2006/relationships/hyperlink" Target="https://www.vishay.com/quality/pcn-doc/PTN-AC-00501-2021-Rev-1/PTN-AC-00501-2021-Rev1_PhaseOut_BCc-097RLP7-134RLP5.pdf/" TargetMode="External"/><Relationship Id="rId106" Type="http://schemas.openxmlformats.org/officeDocument/2006/relationships/drawing" Target="../drawings/drawing3.xml"/><Relationship Id="rId10" Type="http://schemas.openxmlformats.org/officeDocument/2006/relationships/hyperlink" Target="https://www.vishay.com/quality/pcn-doc/PCN-FC-007-2012-Rev-0/PCN-FC-007-2012%20EOL%20F1778pcm37%205.pdf/" TargetMode="External"/><Relationship Id="rId31" Type="http://schemas.openxmlformats.org/officeDocument/2006/relationships/hyperlink" Target="https://www.vishay.com/quality/pcn-doc/PCN-MLC-003-2014-Rev-0/PCN-MLC-003-2014%20VJ%20Commercial%20Series%20Streamline%200805%20Size%20X5R.pdf/" TargetMode="External"/><Relationship Id="rId44" Type="http://schemas.openxmlformats.org/officeDocument/2006/relationships/hyperlink" Target="https://www.vishay.com/quality/pcn-doc/PCN-TC-004-2014-Rev-0/PTN%20TC%20004%202014%20Rev%200.pdf/" TargetMode="External"/><Relationship Id="rId52" Type="http://schemas.openxmlformats.org/officeDocument/2006/relationships/hyperlink" Target="https://www.vishay.com/quality/pcn-doc/PCN-TC-011-2014-Rev-0/PTN%20TC011-2014%20Built-In-Fuse%20Molded%20Chip%20Capacitors%20discontinuation%20with%20lead%20bearing%20t...pdf/" TargetMode="External"/><Relationship Id="rId60" Type="http://schemas.openxmlformats.org/officeDocument/2006/relationships/hyperlink" Target="https://www.vishay.com/quality/pcn-doc/PTN-AC-00501-2019-Rev-0/PCN-AC-00501-2019%20Rev%200_PhaseOut_45F-Cells_196HVC.pdf/" TargetMode="External"/><Relationship Id="rId65" Type="http://schemas.openxmlformats.org/officeDocument/2006/relationships/hyperlink" Target="https://www.vishay.com/quality/pcn-doc/PTN-CC-00002-2020-Rev-0/PTN-CC-002-2020%20Rev0.pdf/" TargetMode="External"/><Relationship Id="rId73" Type="http://schemas.openxmlformats.org/officeDocument/2006/relationships/hyperlink" Target="https://www.vishay.com/quality/pcn-doc/PTN-FC-00004-2018-Rev-0/PTN-FC-004-2018Rev0.pdf/" TargetMode="External"/><Relationship Id="rId78" Type="http://schemas.openxmlformats.org/officeDocument/2006/relationships/hyperlink" Target="https://www.vishay.com/quality/pcn-doc/PTN-MLC-00003-2019-Rev-0/PTN-MLC-00003-2019%20Changes%20to%20Available%20Ratings%20of%20VJ31%20VJ34%20Automotive%20Series.pdf/" TargetMode="External"/><Relationship Id="rId81" Type="http://schemas.openxmlformats.org/officeDocument/2006/relationships/hyperlink" Target="https://www.vishay.com/quality/pcn-doc/PTN-MLC-00005-2019-Rev-0/PTN-MLC-00005-2019%20Changes%20to%20Available%20Ratings%20of%20GA31G%20Automotive%20Series.pdf/" TargetMode="External"/><Relationship Id="rId86" Type="http://schemas.openxmlformats.org/officeDocument/2006/relationships/hyperlink" Target="https://www.vishay.com/quality/pcn-doc/PTN-MLC-00010-2017-Rev-0/PTN-MLC-010-2017%20Remove%20large%20reel%20R%20offering%20from%20Safety%20Cap%20Series.pdf/" TargetMode="External"/><Relationship Id="rId94" Type="http://schemas.openxmlformats.org/officeDocument/2006/relationships/hyperlink" Target="https://www.vishay.com/quality/pcn-doc/PTN-MLC-00014-2017-Rev-0/PTN-MLC-014-2017%20Remove%20large%20reel%20R%20offer%20for%20size%202220%202225%20from%20HV%20High%20Voltage.pdf/" TargetMode="External"/><Relationship Id="rId99" Type="http://schemas.openxmlformats.org/officeDocument/2006/relationships/hyperlink" Target="https://www.vishay.com/quality/pcn-doc/PTN-MLC-00030-2019-Rev-0/PTN-MLC-00030-2019%20Changes%20to%20Available%20Ratings%20of%20CDR36%20and%20CDR37%20Products.pdf/" TargetMode="External"/><Relationship Id="rId101" Type="http://schemas.openxmlformats.org/officeDocument/2006/relationships/hyperlink" Target="https://www.vishay.com/quality/pcn-doc/PTN-TC-00005-2018-Rev-0/PTN%20TC005-2018_CT9.pdf/" TargetMode="External"/><Relationship Id="rId4" Type="http://schemas.openxmlformats.org/officeDocument/2006/relationships/hyperlink" Target="https://www.vishay.com/quality/pcn-doc/PCN-AC-901-2016-Rev-0/PCN-AC-901-2016-Rev%200%20-%2094SVP%2025V%20discontinue.pdf/" TargetMode="External"/><Relationship Id="rId9" Type="http://schemas.openxmlformats.org/officeDocument/2006/relationships/hyperlink" Target="https://www.vishay.com/quality/pcn-doc/PCN-CC-001-2014-Rev-00/PCN-CC-001-2014%20Rev0.pdf/" TargetMode="External"/><Relationship Id="rId13" Type="http://schemas.openxmlformats.org/officeDocument/2006/relationships/hyperlink" Target="https://www.vishay.com/quality/pcn-doc/PCN-FC-004-2014-Rev-0/PCN-FC-004-2014%20EOL%20F1750%20Suppression%20Inductors.pdf/" TargetMode="External"/><Relationship Id="rId18" Type="http://schemas.openxmlformats.org/officeDocument/2006/relationships/hyperlink" Target="https://www.vishay.com/quality/pcn-doc/PCN-FC-003-2010-Rev-0/PCN-FC-003-2010%20EOL%20F1762%20F1764.pdf/" TargetMode="External"/><Relationship Id="rId39" Type="http://schemas.openxmlformats.org/officeDocument/2006/relationships/hyperlink" Target="https://www.vishay.com/quality/pcn-doc/PCN-MLC-001-2011-Rev-0/PCN-MLC-001-2011%20Rev%200%20MLCC%20DSCC%20110126.pdf/" TargetMode="External"/><Relationship Id="rId34" Type="http://schemas.openxmlformats.org/officeDocument/2006/relationships/hyperlink" Target="https://www.vishay.com/quality/pcn-doc/PCN-MLC-002-2014-Rev-0/PCN-MLC-002-2014%20VJ%20X8R%20Series%20Streamline%201210%20Size.pdf/" TargetMode="External"/><Relationship Id="rId50" Type="http://schemas.openxmlformats.org/officeDocument/2006/relationships/hyperlink" Target="https://www.vishay.com/quality/pcn-doc/PCN-TC-010-2014-Rev-0/PCN%20TC010-2014%20Rev%200.pdf/" TargetMode="External"/><Relationship Id="rId55" Type="http://schemas.openxmlformats.org/officeDocument/2006/relationships/hyperlink" Target="https://www.vishay.com/quality/pcn-doc/PTN-AC-00002-2020-Rev-0/PTN-AC-00002-2020%20End%20of%20Life%20some%20Large%20can%20Roederstein%20series.pdf/" TargetMode="External"/><Relationship Id="rId76" Type="http://schemas.openxmlformats.org/officeDocument/2006/relationships/hyperlink" Target="https://www.vishay.com/quality/pcn-doc/PTN-MLC-00001-2020-Rev-0/PTN-MLC-00001-2020%20Changes%20to%20Available%20Terminations%20at%20VJ%20HIFREQ%20HT%20Series.pdf/" TargetMode="External"/><Relationship Id="rId97" Type="http://schemas.openxmlformats.org/officeDocument/2006/relationships/hyperlink" Target="https://www.vishay.com/quality/pcn-doc/PTN-MLC-00020-2019-Rev-0/PTN-MLC-00020-2019%20Changes%20to%20Available%20Ratings%20of%20HV%20High%20Voltage%20Series.pdf/" TargetMode="External"/><Relationship Id="rId104" Type="http://schemas.openxmlformats.org/officeDocument/2006/relationships/hyperlink" Target="https://www.vishay.com/quality/pcn-doc/PTN-TC-00012-2017-Rev-0/PTN%20TC012-2017.pdf/" TargetMode="External"/><Relationship Id="rId7" Type="http://schemas.openxmlformats.org/officeDocument/2006/relationships/hyperlink" Target="https://www.vishay.com/quality/pcn-doc/PCN-AC-902-2001-Rev-0/PCN-AC-902-2012%20Discontinuation%201%20PN%20Oscon.pdf/" TargetMode="External"/><Relationship Id="rId71" Type="http://schemas.openxmlformats.org/officeDocument/2006/relationships/hyperlink" Target="https://www.vishay.com/quality/pcn-doc/PTN-FC-00002-2019-Rev-0/PTN-FC-002-2019Rev0.pdf/" TargetMode="External"/><Relationship Id="rId92" Type="http://schemas.openxmlformats.org/officeDocument/2006/relationships/hyperlink" Target="https://www.vishay.com/quality/pcn-doc/PTN-MLC-00013-2017-Rev-0/PTN-MLC-013-2017%20Remove%20large%20reel%20R%20offer%20for%20size%202220%202225%20from%20VJ%20HVArc%20Guard.pdf/" TargetMode="External"/><Relationship Id="rId2" Type="http://schemas.openxmlformats.org/officeDocument/2006/relationships/hyperlink" Target="https://www.vishay.com/quality/pcn-doc/PCN-AC-005-2011-Rev-1/PCN-AC-005-2011_Rev1.pdf/" TargetMode="External"/><Relationship Id="rId29" Type="http://schemas.openxmlformats.org/officeDocument/2006/relationships/hyperlink" Target="https://www.vishay.com/quality/pcn-doc/PCN-MLC-006-2017-Rev-0/PTN-MLC-006-2017%20VJ31X%20ROHS%20Automotive%20Series%20remove%20high%20voltage%20ratings%20size%201812.pdf/" TargetMode="External"/><Relationship Id="rId24" Type="http://schemas.openxmlformats.org/officeDocument/2006/relationships/hyperlink" Target="https://www.vishay.com/quality/pcn-doc/PCN-MLC-004-2013-Rev-0/PCN-MLC-004-2013%20VJ%20HVArcGuard%20Series%20Streamlining.pdf/" TargetMode="External"/><Relationship Id="rId40" Type="http://schemas.openxmlformats.org/officeDocument/2006/relationships/hyperlink" Target="https://www.vishay.com/quality/pcn-doc/PCN-TC-001-2010-Rev-1/PCN%20TC-001-2010-Rev%201.pdf/" TargetMode="External"/><Relationship Id="rId45" Type="http://schemas.openxmlformats.org/officeDocument/2006/relationships/hyperlink" Target="https://www.vishay.com/quality/pcn-doc/PCN-TC-007-2009-Rev-0/PCN-TC-007-2009-Rev%200.pdf/" TargetMode="External"/><Relationship Id="rId66" Type="http://schemas.openxmlformats.org/officeDocument/2006/relationships/hyperlink" Target="https://www.vishay.com/quality/pcn-doc/PTN-CC-00005-2020-Rev-0/PTN-CC-00005-2020-Rev0.pdf/" TargetMode="External"/><Relationship Id="rId87" Type="http://schemas.openxmlformats.org/officeDocument/2006/relationships/hyperlink" Target="https://www.vishay.com/quality/pcn-doc/PTN-MLC-00010-2018-Rev-0/PTN-MLC-00010-2018%20High%20Q%20series_180903.pdf/" TargetMode="External"/><Relationship Id="rId61" Type="http://schemas.openxmlformats.org/officeDocument/2006/relationships/hyperlink" Target="https://www.vishay.com/quality/pcn-doc/PTN-AC-00501-2018-Rev-0/PCN-AC-501-2018%20Rev%200_PhaseOut_ROE_SI_EYN_EYH.pdf/" TargetMode="External"/><Relationship Id="rId82" Type="http://schemas.openxmlformats.org/officeDocument/2006/relationships/hyperlink" Target="https://www.vishay.com/quality/pcn-doc/PTN-MLC-00006-2019-Rev-0/PTN-MLC-00006-2019%20Changes%20to%20Available%20Ratings%20of%20GA34G%20Automotive%20Series.pdf/" TargetMode="External"/><Relationship Id="rId19" Type="http://schemas.openxmlformats.org/officeDocument/2006/relationships/hyperlink" Target="https://www.vishay.com/quality/pcn-doc/PCN-FC-002-2012-Rev-0/PCN-FC-002-2012%20EOL%20F1710-305V.pdf/" TargetMode="External"/><Relationship Id="rId14" Type="http://schemas.openxmlformats.org/officeDocument/2006/relationships/hyperlink" Target="https://www.vishay.com/quality/pcn-doc/PCN-FC-004-2012-Rev-0/PCN-FC-004-2012%20EOL%20F1774.pdf/" TargetMode="External"/><Relationship Id="rId30" Type="http://schemas.openxmlformats.org/officeDocument/2006/relationships/hyperlink" Target="https://www.vishay.com/quality/pcn-doc/PCN-MLC-007-2017-Rev-0/PTN-MLC-007-2017%20GA34G%20Automotive%20Series%20remove%20high%20voltage%20ratings%20size%201812.pdf/" TargetMode="External"/><Relationship Id="rId35" Type="http://schemas.openxmlformats.org/officeDocument/2006/relationships/hyperlink" Target="https://www.vishay.com/quality/pcn-doc/PCN-MLC-002-2013-Rev-0/PCN-MLC-002-2013%20VJ%20HiRel%20Series%20Streamlining.pdf/" TargetMode="External"/><Relationship Id="rId56" Type="http://schemas.openxmlformats.org/officeDocument/2006/relationships/hyperlink" Target="https://www.vishay.com/quality/pcn-doc/PTN-AC-00501-2020-Rev-0/PCN-AC-00501-2020-Rev0_PhaseOut_BCc-097RLP7-low_capacitance_types.pdf/" TargetMode="External"/><Relationship Id="rId77" Type="http://schemas.openxmlformats.org/officeDocument/2006/relationships/hyperlink" Target="https://www.vishay.com/quality/pcn-doc/PTN-MLC-00002-2019-Rev-0/PTN-MLC-00002-2019%20Change%20of%20available%20VJ...W1BC%20High%20voltage%20and%20large%20body%20size%20ratings.pdf/" TargetMode="External"/><Relationship Id="rId100" Type="http://schemas.openxmlformats.org/officeDocument/2006/relationships/hyperlink" Target="https://www.vishay.com/quality/pcn-doc/PTN-MLC-00030-2019-Rev-1/PTN-MLC-00030-2019%20Rev.1%20Changes%20to%20Available%20Ratings%20of%20CDR36%20and%20CDR37%20Products.pdf/" TargetMode="External"/><Relationship Id="rId105" Type="http://schemas.openxmlformats.org/officeDocument/2006/relationships/hyperlink" Target="https://www.vishay.com/quality/pcn-doc/PCN-AC-003-2010-Rev-0/PCN-AC-003-2010%20Rev%200.pdf/" TargetMode="External"/><Relationship Id="rId8" Type="http://schemas.openxmlformats.org/officeDocument/2006/relationships/hyperlink" Target="https://www.vishay.com/quality/pcn-doc/PCN-AC-905-2010/PCN-AC-905-2010.pdf/" TargetMode="External"/><Relationship Id="rId51" Type="http://schemas.openxmlformats.org/officeDocument/2006/relationships/hyperlink" Target="https://www.vishay.com/quality/pcn-doc/PCN-TC-011-2011-Rev-1/PTN%20TC011-2014%20Built-In-Fuse%20Molded%20Chip%20Capacitors%20discontinuation%20with%20lead%20bearing%20Rev%201.pdf/" TargetMode="External"/><Relationship Id="rId72" Type="http://schemas.openxmlformats.org/officeDocument/2006/relationships/hyperlink" Target="https://www.vishay.com/quality/pcn-doc/PTN-FC-00003-2018-Rev-0/PTN-FC-003-2018Rev0.pdf/" TargetMode="External"/><Relationship Id="rId93" Type="http://schemas.openxmlformats.org/officeDocument/2006/relationships/hyperlink" Target="https://www.vishay.com/quality/pcn-doc/PTN-MLC-00013-2019-Rev-0/PTN-MLC-00013-2019%20Changes%20to%20Available%20Ratings%20of%20SMD%20Safety%20Capacitor%20Series.pdf/" TargetMode="External"/><Relationship Id="rId98" Type="http://schemas.openxmlformats.org/officeDocument/2006/relationships/hyperlink" Target="https://www.vishay.com/quality/pcn-doc/PTN-MLC-00029-2019-Rev-0/PTN-MLC-00029-2019%20Changes%20to%20Available%20Ratings%20of%20VJ%20Hi-Rel%20Series%20NP0%20C0G.pdf/" TargetMode="External"/><Relationship Id="rId3" Type="http://schemas.openxmlformats.org/officeDocument/2006/relationships/hyperlink" Target="https://www.vishay.com/quality/pcn-doc/PCN-AC-502-2013-Rev-0/PCN-AC-502-2013-rev-0.pdf/" TargetMode="External"/><Relationship Id="rId25" Type="http://schemas.openxmlformats.org/officeDocument/2006/relationships/hyperlink" Target="https://www.vishay.com/quality/pcn-doc/PCN-MLC-004-2017-Rev-0/PTN-MLC-004-2017%20VJ%20OMD%20Series%20remove%20high%20voltage%20ratings%20size%201812.pdf/" TargetMode="External"/><Relationship Id="rId46" Type="http://schemas.openxmlformats.org/officeDocument/2006/relationships/hyperlink" Target="https://www.vishay.com/quality/pcn-doc/PCN-TC-007-2014-Rev-0/PTN%20TC%20007%202014%20Rev%200.pdf/" TargetMode="External"/><Relationship Id="rId67" Type="http://schemas.openxmlformats.org/officeDocument/2006/relationships/hyperlink" Target="https://www.vishay.com/quality/pcn-doc/PTN-FC-00001-2018-Rev-0/PTN-FC-001-2018Rev0.pdf/" TargetMode="External"/></Relationships>
</file>

<file path=xl/worksheets/_rels/sheet5.xml.rels><?xml version="1.0" encoding="UTF-8" standalone="yes"?>
<Relationships xmlns="http://schemas.openxmlformats.org/package/2006/relationships"><Relationship Id="rId13" Type="http://schemas.openxmlformats.org/officeDocument/2006/relationships/hyperlink" Target="https://www.vishay.com/quality/pcn-doc/PCN-DD-013-2016-Rev-0/DD-013-2016%20Rev%200.pdf/" TargetMode="External"/><Relationship Id="rId18" Type="http://schemas.openxmlformats.org/officeDocument/2006/relationships/hyperlink" Target="https://www.vishay.com/quality/pcn-doc/PCN-DD-019-2015-Rev-00/DD-019-2015%20rev.0.pdf/" TargetMode="External"/><Relationship Id="rId26" Type="http://schemas.openxmlformats.org/officeDocument/2006/relationships/hyperlink" Target="https://www.vishay.com/quality/pcn-doc/PCN-HPP-007-2010-Rev-00/PCN-HPP%20007-2010%20Rev0.pdf/" TargetMode="External"/><Relationship Id="rId39" Type="http://schemas.openxmlformats.org/officeDocument/2006/relationships/hyperlink" Target="https://www.vishay.com/quality/pcn-doc/PTN-DD-00015-2019-Rev-0/DD-015-2019%20Rev%200.pdf/" TargetMode="External"/><Relationship Id="rId21" Type="http://schemas.openxmlformats.org/officeDocument/2006/relationships/hyperlink" Target="https://www.vishay.com/quality/pcn-doc/PCN-DD-021-2012-Rev-00/DD-021-2012%20Rev0.pdf/" TargetMode="External"/><Relationship Id="rId34" Type="http://schemas.openxmlformats.org/officeDocument/2006/relationships/hyperlink" Target="https://www.vishay.com/quality/pcn-doc/PTN-DD-00003-2018-Rev-0/DD-003-2018%20Rev%200.pdf/" TargetMode="External"/><Relationship Id="rId42" Type="http://schemas.openxmlformats.org/officeDocument/2006/relationships/hyperlink" Target="https://www.vishay.com/quality/pcn-doc/PTN-DD-00020-2019-Rev-00/DD-020-2019%20Rev%200.pdf/" TargetMode="External"/><Relationship Id="rId7" Type="http://schemas.openxmlformats.org/officeDocument/2006/relationships/hyperlink" Target="https://www.vishay.com/quality/pcn-doc/PCN-DD-005-2016-Rev-0/DD-005-2016%20Rev0.pdf/" TargetMode="External"/><Relationship Id="rId2" Type="http://schemas.openxmlformats.org/officeDocument/2006/relationships/hyperlink" Target="https://www.vishay.com/quality/pcn-doc/PCN-DD-013-2016-Rev-01/DD-013-2016%20Rev%201.pdf/" TargetMode="External"/><Relationship Id="rId16" Type="http://schemas.openxmlformats.org/officeDocument/2006/relationships/hyperlink" Target="https://www.vishay.com/quality/pcn-doc/PCN-DD-017-2015-Rev-00/DD-017-2015%20Rev0.pdf/" TargetMode="External"/><Relationship Id="rId29" Type="http://schemas.openxmlformats.org/officeDocument/2006/relationships/hyperlink" Target="https://www.vishay.com/quality/pcn-doc/PCN-HPP-012-2009-Rev-00/PCN-HPP%20012-2009%20Rev0.pdf/" TargetMode="External"/><Relationship Id="rId1" Type="http://schemas.openxmlformats.org/officeDocument/2006/relationships/hyperlink" Target="https://www.vishay.com/docs/93693/vs-30pf0_m3series.pdf" TargetMode="External"/><Relationship Id="rId6" Type="http://schemas.openxmlformats.org/officeDocument/2006/relationships/hyperlink" Target="https://www.vishay.com/quality/pcn-doc/PCN-DD-003-2012-Rev-00/DD-003-2012%20Rev0.pdf/" TargetMode="External"/><Relationship Id="rId11" Type="http://schemas.openxmlformats.org/officeDocument/2006/relationships/hyperlink" Target="https://www.vishay.com/quality/pcn-doc/PCN-DD-011-2016-Rev-1/DD-011-2016%20Rev%201.pdf/" TargetMode="External"/><Relationship Id="rId24" Type="http://schemas.openxmlformats.org/officeDocument/2006/relationships/hyperlink" Target="https://www.vishay.com/quality/pcn-doc/PCN-HPP-001-2011-Rev-00/PCN-HPP%20001-2011%20Rev0.pdf/" TargetMode="External"/><Relationship Id="rId32" Type="http://schemas.openxmlformats.org/officeDocument/2006/relationships/hyperlink" Target="https://www.vishay.com/quality/pcn-doc/PCN-SSP-443-2010-Rev-1/ssp_443_2010_rev1.pdf/" TargetMode="External"/><Relationship Id="rId37" Type="http://schemas.openxmlformats.org/officeDocument/2006/relationships/hyperlink" Target="https://www.vishay.com/quality/pcn-doc/PTN-DD-00013-2020-Rev-0/DD-013-2020%20Rev%200.pdf/" TargetMode="External"/><Relationship Id="rId40" Type="http://schemas.openxmlformats.org/officeDocument/2006/relationships/hyperlink" Target="https://www.vishay.com/quality/pcn-doc/PTN-DD-00019-2021-Rev-0/DD-019-2021%20Rev%200.pdf/" TargetMode="External"/><Relationship Id="rId45" Type="http://schemas.openxmlformats.org/officeDocument/2006/relationships/drawing" Target="../drawings/drawing4.xml"/><Relationship Id="rId5" Type="http://schemas.openxmlformats.org/officeDocument/2006/relationships/hyperlink" Target="https://www.vishay.com/quality/pcn-doc/PCN-DD-002-2015-Rev-0/PCN-DD-002-2015%20Rev%200_Product%20Discontinuation%20for%20Surface%20Mount%20Schottky%20Products.pdf/" TargetMode="External"/><Relationship Id="rId15" Type="http://schemas.openxmlformats.org/officeDocument/2006/relationships/hyperlink" Target="https://www.vishay.com/quality/pcn-doc/PCN-DD-016-2015-Rev-0/PCN-DD-016-2015%20Rev%200_Discontinuation%20of%20P4KA%20and%20P6KA%20PAR%20TVS.pdf/" TargetMode="External"/><Relationship Id="rId23" Type="http://schemas.openxmlformats.org/officeDocument/2006/relationships/hyperlink" Target="https://www.vishay.com/quality/pcn-doc/PCN-DD-023-2012-Rev-0/PCN-DD-023-2012%20Rev%200_Discontinuation%20of%20Commercial%20Grade%20PAR%20TVS.pdf/" TargetMode="External"/><Relationship Id="rId28" Type="http://schemas.openxmlformats.org/officeDocument/2006/relationships/hyperlink" Target="https://www.vishay.com/quality/pcn-doc/PCN-HPP-011-2009-Rev-00/PCN-HPP%20011-2009%20Rev0.pdf/" TargetMode="External"/><Relationship Id="rId36" Type="http://schemas.openxmlformats.org/officeDocument/2006/relationships/hyperlink" Target="https://www.vishay.com/quality/pcn-doc/PTN-DD-00010-2020-Rev-0/DD-010-2020%20Rev%200.pdf/" TargetMode="External"/><Relationship Id="rId10" Type="http://schemas.openxmlformats.org/officeDocument/2006/relationships/hyperlink" Target="https://www.vishay.com/quality/pcn-doc/PCN-DD-011-2013-Rev-0/PCN-DD-011-2013%20Rev%200_Product%20Discontinuation.pdf/" TargetMode="External"/><Relationship Id="rId19" Type="http://schemas.openxmlformats.org/officeDocument/2006/relationships/hyperlink" Target="https://www.vishay.com/quality/pcn-doc/PCN-DD-020-2012-Rev-00/DD-020-2012%20Rev0.pdf/" TargetMode="External"/><Relationship Id="rId31" Type="http://schemas.openxmlformats.org/officeDocument/2006/relationships/hyperlink" Target="https://www.vishay.com/quality/pcn-doc/PCN-HPP-013-2011-Rev-00/HPP-013-2011%20Rev.0.pdf/" TargetMode="External"/><Relationship Id="rId44" Type="http://schemas.openxmlformats.org/officeDocument/2006/relationships/hyperlink" Target="https://www.vishay.com/quality/pcn-doc/PTN-DD-00022-2020-Rev-0/DD-022-2020%20Rev%200.pdf/" TargetMode="External"/><Relationship Id="rId4" Type="http://schemas.openxmlformats.org/officeDocument/2006/relationships/hyperlink" Target="https://www.vishay.com/quality/pcn-doc/PCN-DD-002-2012-Rev-00/DD-002-2012%20Rev0.pdf/" TargetMode="External"/><Relationship Id="rId9" Type="http://schemas.openxmlformats.org/officeDocument/2006/relationships/hyperlink" Target="https://www.vishay.com/quality/pcn-doc/PCN-DD-010-2012-Rev-00/DD-010-2012%20Rev%200.pdf/" TargetMode="External"/><Relationship Id="rId14" Type="http://schemas.openxmlformats.org/officeDocument/2006/relationships/hyperlink" Target="https://www.vishay.com/quality/pcn-doc/PCN-DD-015-2012-Rev-00/DD-015-2012%20rev%200.pdf/" TargetMode="External"/><Relationship Id="rId22" Type="http://schemas.openxmlformats.org/officeDocument/2006/relationships/hyperlink" Target="https://www.vishay.com/quality/pcn-doc/PCN-DD-021-2016-Rev-0/PCN-DD-021-2016%20Rev%200_Product%20Discontinuance%20Notice%20of%20TVS%20and%20Rectifier%20Products.pdf/" TargetMode="External"/><Relationship Id="rId27" Type="http://schemas.openxmlformats.org/officeDocument/2006/relationships/hyperlink" Target="https://www.vishay.com/quality/pcn-doc/PCN-HPP-007-2011-Rev-00/HPP-007-2011%20Rev0.pdf/" TargetMode="External"/><Relationship Id="rId30" Type="http://schemas.openxmlformats.org/officeDocument/2006/relationships/hyperlink" Target="https://www.vishay.com/quality/pcn-doc/PCN-HPP-012-2011-Rev-00/HPP-012-2011%20Rev0.pdf/" TargetMode="External"/><Relationship Id="rId35" Type="http://schemas.openxmlformats.org/officeDocument/2006/relationships/hyperlink" Target="https://www.vishay.com/quality/pcn-doc/PTN-DD-00004-2021-Rev-0/PCN-DD-004-2021%20Rev%200_Product%20Discontinuation%20of%20RCT%20and%20TVS%20Products.pdf/" TargetMode="External"/><Relationship Id="rId43" Type="http://schemas.openxmlformats.org/officeDocument/2006/relationships/hyperlink" Target="https://www.vishay.com/quality/pcn-doc/PTN-DD-00021-2021-Rev-0/DD-021-2021%20Rev%200.pdf/" TargetMode="External"/><Relationship Id="rId8" Type="http://schemas.openxmlformats.org/officeDocument/2006/relationships/hyperlink" Target="https://www.vishay.com/quality/pcn-doc/PCN-DD-008-2015-Rev-0/DD-008-2015%20Rev0.pdf/" TargetMode="External"/><Relationship Id="rId3" Type="http://schemas.openxmlformats.org/officeDocument/2006/relationships/hyperlink" Target="https://www.vishay.com/quality/pcn-doc/PCN-DD-001-2012-Rev-00/DD-001-2012%20Rev0.pdf/" TargetMode="External"/><Relationship Id="rId12" Type="http://schemas.openxmlformats.org/officeDocument/2006/relationships/hyperlink" Target="https://www.vishay.com/quality/pcn-doc/PCN-DD-012-2015-Rev-0/PCN-DD-012-2015%20Rev%200_Product%20Discontinuance%20Notice%20of%20Rectifier%20Products.pdf/" TargetMode="External"/><Relationship Id="rId17" Type="http://schemas.openxmlformats.org/officeDocument/2006/relationships/hyperlink" Target="https://www.vishay.com/quality/pcn-doc/PCN-DD-017-2016-Rev-0/DD-017-2016%20Rev_0.pdf/" TargetMode="External"/><Relationship Id="rId25" Type="http://schemas.openxmlformats.org/officeDocument/2006/relationships/hyperlink" Target="https://www.vishay.com/quality/pcn-doc/PCN-HPP-006-2010-Rev-00/PCN-HPP%20006-2010%20Rev0%20.pdf/" TargetMode="External"/><Relationship Id="rId33" Type="http://schemas.openxmlformats.org/officeDocument/2006/relationships/hyperlink" Target="https://www.vishay.com/quality/pcn-doc/PTN-DD-00002-2021-Rev-0/DD-002-2021%20Rev%2000.pdf/" TargetMode="External"/><Relationship Id="rId38" Type="http://schemas.openxmlformats.org/officeDocument/2006/relationships/hyperlink" Target="https://www.vishay.com/quality/pcn-doc/PTN-DD-00015-2017-Rev-0/PCN-DD-015-2017%20Rev%200_Product%20Discontinuation%20for%20Ultrafast%20Diodes.pdf/" TargetMode="External"/><Relationship Id="rId20" Type="http://schemas.openxmlformats.org/officeDocument/2006/relationships/hyperlink" Target="https://www.vishay.com/quality/pcn-doc/PCN-DD-020-2015-Rev-00/DD-020-2015%20Rev_0.pdf/" TargetMode="External"/><Relationship Id="rId41" Type="http://schemas.openxmlformats.org/officeDocument/2006/relationships/hyperlink" Target="https://www.vishay.com/quality/pcn-doc/PTN-DD-00020-2018-Rev-00/DD-020-2018%20Rev%200.pdf/"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8" Type="http://schemas.openxmlformats.org/officeDocument/2006/relationships/hyperlink" Target="https://www.vishay.com/quality/pcn-doc/PCN-DI-271-2016-Rev-0/PCN-DI-271-2016.pdf/" TargetMode="External"/><Relationship Id="rId3" Type="http://schemas.openxmlformats.org/officeDocument/2006/relationships/hyperlink" Target="https://www.vishay.com/quality/pcn-doc/PTN-DI-00388-2018-Rev-0/PCN-DI-00388-2018-IFSC1008ABER6R0M01.pdf/" TargetMode="External"/><Relationship Id="rId7" Type="http://schemas.openxmlformats.org/officeDocument/2006/relationships/hyperlink" Target="https://www.vishay.com/quality/pcn-doc/PCN-SF-129-2013-Rev-0/PCN_Range_TRB021%20et%20TRB023.pdf/" TargetMode="External"/><Relationship Id="rId2" Type="http://schemas.openxmlformats.org/officeDocument/2006/relationships/hyperlink" Target="https://www.vishay.com/quality/pcn-doc/PTN-DI-00447-2019-Rev-0/PCN-DI-00447-2019.pdf/" TargetMode="External"/><Relationship Id="rId1" Type="http://schemas.openxmlformats.org/officeDocument/2006/relationships/hyperlink" Target="https://www.vishay.com/quality/pcn-doc/PTN-DI-00502-2021-Rev-0/PCN-DI-00502-2021.pdf/" TargetMode="External"/><Relationship Id="rId6" Type="http://schemas.openxmlformats.org/officeDocument/2006/relationships/hyperlink" Target="https://www.vishay.com/quality/pcn-doc/PCN-SF-151-2015-Rev-0/PCN_SF151_2015_Rev%200%20Thales%20A000064.pdf/" TargetMode="External"/><Relationship Id="rId11" Type="http://schemas.openxmlformats.org/officeDocument/2006/relationships/drawing" Target="../drawings/drawing8.xml"/><Relationship Id="rId5" Type="http://schemas.openxmlformats.org/officeDocument/2006/relationships/hyperlink" Target="https://www.vishay.com/quality/pcn-doc/PTN-DI-00379-2017-Rev-0/PCN-DI-00379-2017%20ICM-2824-3528-4743.pdf/" TargetMode="External"/><Relationship Id="rId10" Type="http://schemas.openxmlformats.org/officeDocument/2006/relationships/hyperlink" Target="https://www.vishay.com/quality/pcn-doc/PCN-DI-145-2012-Rev-0/PCN-DI-145-2012.pdf/" TargetMode="External"/><Relationship Id="rId4" Type="http://schemas.openxmlformats.org/officeDocument/2006/relationships/hyperlink" Target="https://www.vishay.com/quality/pcn-doc/PTN-DI-00380-2017-Rev-0/PCN-DI-00380-2017%20IFL%20and%20IFLS%20series.pdf/" TargetMode="External"/><Relationship Id="rId9" Type="http://schemas.openxmlformats.org/officeDocument/2006/relationships/hyperlink" Target="https://www.vishay.com/quality/pcn-doc/PCN-DI-185-2013-Rev-0/PCN-DI-185-2013.pdf/"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vishay.com/quality/pcn-doc/PCN-SIL-059-2013-Rev-0/PCN-SIL-0592013%20PRD1045A_PRD1071%20Obsolescence.pdf/" TargetMode="External"/><Relationship Id="rId13" Type="http://schemas.openxmlformats.org/officeDocument/2006/relationships/hyperlink" Target="https://www.vishay.com/quality/pcn-doc/PTN-SIL-00404-2020-Rev-0/PCN-SIL-4042020_Obs_PDIP18-20-28.pdf/" TargetMode="External"/><Relationship Id="rId3" Type="http://schemas.openxmlformats.org/officeDocument/2006/relationships/hyperlink" Target="https://www.vishay.com/quality/pcn-doc/PCN-SIL-024-2016-Rev-0/PCN-SIL-0242016%20EOL_SCLA_LICs.pdf/" TargetMode="External"/><Relationship Id="rId7" Type="http://schemas.openxmlformats.org/officeDocument/2006/relationships/hyperlink" Target="https://www.vishay.com/quality/pcn-doc/PCN-SIL-054-2013-Rev-0/PCN-SIL-0542013%20Si9241AEY_Si9243AEY%20Obsolesence.pdf/" TargetMode="External"/><Relationship Id="rId12" Type="http://schemas.openxmlformats.org/officeDocument/2006/relationships/hyperlink" Target="https://www.vishay.com/quality/pcn-doc/PCN-SIL-075-2014-Rev-0/PCN-SIL-0752014%20Power%20IC%20Obsolescence.pdf/" TargetMode="External"/><Relationship Id="rId2" Type="http://schemas.openxmlformats.org/officeDocument/2006/relationships/hyperlink" Target="https://www.vishay.com/quality/pcn-doc/PCN-SIL-0232010/PCN-SIL-0232010B%20Rev0.pdf/" TargetMode="External"/><Relationship Id="rId1" Type="http://schemas.openxmlformats.org/officeDocument/2006/relationships/hyperlink" Target="https://www.vishay.com/quality/pcn-doc/PCN-SIL-008-2014-Rev-0/PCN-SIL-0082014%20Obsolescence%20of%20MICROFOOT.pdf/" TargetMode="External"/><Relationship Id="rId6" Type="http://schemas.openxmlformats.org/officeDocument/2006/relationships/hyperlink" Target="https://www.vishay.com/quality/pcn-doc/PCN-SIL-037-2015-Rev-0/PCN-SIL-0372015_Obsolescence_SCLA_ASM.pdf/" TargetMode="External"/><Relationship Id="rId11" Type="http://schemas.openxmlformats.org/officeDocument/2006/relationships/hyperlink" Target="https://www.vishay.com/quality/pcn-doc/PCN-SIL-074-2014-Rev-1/PCN-SIL-0742014%20Custom%20Power%20IC%20Obsolescence_Rev1.pdf/" TargetMode="External"/><Relationship Id="rId5" Type="http://schemas.openxmlformats.org/officeDocument/2006/relationships/hyperlink" Target="https://www.vishay.com/quality/pcn-doc/PCN-SIL-030-2016-Rev-1/PCN-SIL-0302016Rev1%20EOL_SCLA_LICs.pdf/" TargetMode="External"/><Relationship Id="rId15" Type="http://schemas.openxmlformats.org/officeDocument/2006/relationships/drawing" Target="../drawings/drawing9.xml"/><Relationship Id="rId10" Type="http://schemas.openxmlformats.org/officeDocument/2006/relationships/hyperlink" Target="https://www.vishay.com/quality/pcn-doc/PCN-SIL-074-2014-Rev-0/PCN-SIL-0742014%20Custom%20Power%20IC%20Obsolescence.pdf/" TargetMode="External"/><Relationship Id="rId4" Type="http://schemas.openxmlformats.org/officeDocument/2006/relationships/hyperlink" Target="https://www.vishay.com/quality/pcn-doc/PCN-SIL-030-2016-Rev-0/PCN-SIL-0302016%20EOL_SCLA_LICs.pdf/" TargetMode="External"/><Relationship Id="rId9" Type="http://schemas.openxmlformats.org/officeDocument/2006/relationships/hyperlink" Target="https://www.vishay.com/quality/pcn-doc/PCN-SIL-068-2014-Rev-0/PCN-SIL-0682014%20Automotive%20Obsolescence_Rev0.pdf/" TargetMode="External"/><Relationship Id="rId14" Type="http://schemas.openxmlformats.org/officeDocument/2006/relationships/hyperlink" Target="https://www.vishay.com/quality/pcn-doc/PTN-SIL-00408-2017-Rev-0/PCN-SIL-4082017%20EOL_SCLA_LICs.pdf/"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vishay.com/quality/pcn-doc/PCN-HPP-015-2009-Rev-00/PCN-HPP%20015-2009%20Rev0%20.pdf/" TargetMode="External"/><Relationship Id="rId13" Type="http://schemas.openxmlformats.org/officeDocument/2006/relationships/hyperlink" Target="https://www.vishay.com/quality/pcn-doc/PTN-DD-00011-2020-Rev-0/DD-011-2020%20Rev%200.pdf/" TargetMode="External"/><Relationship Id="rId18" Type="http://schemas.openxmlformats.org/officeDocument/2006/relationships/hyperlink" Target="https://www.vishay.com/quality/pcn-doc/PTN-OMV-01009-2017-Rev-0/pcn_omv_1009_2017_rev0.pdf/" TargetMode="External"/><Relationship Id="rId3" Type="http://schemas.openxmlformats.org/officeDocument/2006/relationships/hyperlink" Target="https://www.vishay.com/quality/pcn-doc/PTN-DD-00008-2018-Rev-00/DD-008-2018%20Rev%200.pdf/" TargetMode="External"/><Relationship Id="rId21" Type="http://schemas.openxmlformats.org/officeDocument/2006/relationships/drawing" Target="../drawings/drawing10.xml"/><Relationship Id="rId7" Type="http://schemas.openxmlformats.org/officeDocument/2006/relationships/hyperlink" Target="https://www.vishay.com/quality/pcn-doc/PCN-HPP-002-2010-Rev-00/PCN-HPP%20002-2010%20Rev0%20.pdf/" TargetMode="External"/><Relationship Id="rId12" Type="http://schemas.openxmlformats.org/officeDocument/2006/relationships/hyperlink" Target="https://www.vishay.com/quality/pcn-doc/PTN-DD-00009-2019-Rev-0/DD-009-2019%20Rev%200.pdf/" TargetMode="External"/><Relationship Id="rId17" Type="http://schemas.openxmlformats.org/officeDocument/2006/relationships/hyperlink" Target="https://www.vishay.com/quality/pcn-doc/PTN-DD-00028-2019-Rev-00/DD-028-2019%20Rev%200.pdf/" TargetMode="External"/><Relationship Id="rId2" Type="http://schemas.openxmlformats.org/officeDocument/2006/relationships/hyperlink" Target="https://www.vishay.com/quality/pcn-doc/PTN-DD-00007-2019-Rev-00/DD-007-2019%20Rev%200.pdf/" TargetMode="External"/><Relationship Id="rId16" Type="http://schemas.openxmlformats.org/officeDocument/2006/relationships/hyperlink" Target="https://www.vishay.com/quality/pcn-doc/PTN-DD-00027-2019-Rev-0/DD-027-2019%20Rev%200.pdf/" TargetMode="External"/><Relationship Id="rId20" Type="http://schemas.openxmlformats.org/officeDocument/2006/relationships/hyperlink" Target="https://www.vishay.com/quality/pcn-doc/PTN-OMV-01011-2017-Rev-0/pcn_omv_1011_2017_rev0.pdf/" TargetMode="External"/><Relationship Id="rId1" Type="http://schemas.openxmlformats.org/officeDocument/2006/relationships/hyperlink" Target="https://www.vishay.com/quality/pcn-doc/PCN-DD-003-2014-Rev-00/DD-003-2014%20Rev.0.pdf/" TargetMode="External"/><Relationship Id="rId6" Type="http://schemas.openxmlformats.org/officeDocument/2006/relationships/hyperlink" Target="https://www.vishay.com/quality/pcn-doc/PCN-HPP-005-2011-Rev-00/HPP-005-2011%20rev0.pdf/" TargetMode="External"/><Relationship Id="rId11" Type="http://schemas.openxmlformats.org/officeDocument/2006/relationships/hyperlink" Target="https://www.vishay.com/quality/pcn-doc/PTN-DD-00002-2020-Rev-0/DD-002-2020%20Rev%200.pdf/" TargetMode="External"/><Relationship Id="rId5" Type="http://schemas.openxmlformats.org/officeDocument/2006/relationships/hyperlink" Target="https://www.vishay.com/quality/pcn-doc/PCN-HPP-001-2010-Rev-01/PCN-HPP%20001-2010%20Rev0%20.pdf/" TargetMode="External"/><Relationship Id="rId15" Type="http://schemas.openxmlformats.org/officeDocument/2006/relationships/hyperlink" Target="https://www.vishay.com/quality/pcn-doc/PTN-DD-00013-2021-Rev-0/DD-013-2021%20Rev%200.pdf/" TargetMode="External"/><Relationship Id="rId10" Type="http://schemas.openxmlformats.org/officeDocument/2006/relationships/hyperlink" Target="https://www.vishay.com/quality/pcn-doc/PTN-DD-00001-2020-Rev-0/DD-001-2020%20Rev%200.pdf/" TargetMode="External"/><Relationship Id="rId19" Type="http://schemas.openxmlformats.org/officeDocument/2006/relationships/hyperlink" Target="https://www.vishay.com/quality/pcn-doc/PTN-OMV-01010-2017-Rev-0/pcn_omv_1010_2017_rev0.pdf/" TargetMode="External"/><Relationship Id="rId4" Type="http://schemas.openxmlformats.org/officeDocument/2006/relationships/hyperlink" Target="https://www.vishay.com/quality/pcn-doc/PCN-DD-016-2014-Rev-00/DD-016-2014%20Rev%200.pdf/" TargetMode="External"/><Relationship Id="rId9" Type="http://schemas.openxmlformats.org/officeDocument/2006/relationships/hyperlink" Target="https://www.vishay.com/quality/pcn-doc/PCN-OMV-793-2014-Rev-0/ptn_omv_793_2014_rev0.pdf/" TargetMode="External"/><Relationship Id="rId14" Type="http://schemas.openxmlformats.org/officeDocument/2006/relationships/hyperlink" Target="https://www.vishay.com/quality/pcn-doc/PTN-DD-00013-2019-Rev-0/DD-013-2019%20Rev%200.pdf/" TargetMode="External"/></Relationships>
</file>

<file path=xl/worksheets/_rels/sheet12.xml.rels><?xml version="1.0" encoding="UTF-8" standalone="yes"?>
<Relationships xmlns="http://schemas.openxmlformats.org/package/2006/relationships"><Relationship Id="rId3" Type="http://schemas.openxmlformats.org/officeDocument/2006/relationships/hyperlink" Target="https://www.vishay.com/quality/pcn-doc/PTN-MLC-00009-2021-REV-0/PTN-MLC-00009-2021-REV-0-VERSION-4488.pdf/" TargetMode="External"/><Relationship Id="rId7" Type="http://schemas.openxmlformats.org/officeDocument/2006/relationships/drawing" Target="../drawings/drawing11.xml"/><Relationship Id="rId2" Type="http://schemas.openxmlformats.org/officeDocument/2006/relationships/hyperlink" Target="https://www.vishay.com/quality/pcn-doc/PTN-MLC-00006-2021-REV-0/PTN-MLC-00006-2021-REV-0-VERSION-4463.pdf/" TargetMode="External"/><Relationship Id="rId1" Type="http://schemas.openxmlformats.org/officeDocument/2006/relationships/hyperlink" Target="https://www.vishay.com/quality/pcn-doc/PTN-MLC-00004-2021-REV-0/PTN-MLC-00004-2021-REV-0.pdf/" TargetMode="External"/><Relationship Id="rId6" Type="http://schemas.openxmlformats.org/officeDocument/2006/relationships/hyperlink" Target="https://www.vishay.com/quality/pcn-doc/PTN-MLC-00013-2021-REV-0/PTN-MLC-00013-2021-REV-0.pdf/" TargetMode="External"/><Relationship Id="rId5" Type="http://schemas.openxmlformats.org/officeDocument/2006/relationships/hyperlink" Target="https://www.vishay.com/quality/pcn-doc/PTN-MLC-00011-2021-REV-0/PTN-MLC-00011-2021-REV-0-VERSION-4641.pdf/" TargetMode="External"/><Relationship Id="rId4" Type="http://schemas.openxmlformats.org/officeDocument/2006/relationships/hyperlink" Target="https://www.vishay.com/quality/pcn-doc/PTN-MLC-00010-2021-REV-0/PTN-MLC-00010-2021-REV-0.pdf/" TargetMode="External"/></Relationships>
</file>

<file path=xl/worksheets/_rels/sheet13.xml.rels><?xml version="1.0" encoding="UTF-8" standalone="yes"?>
<Relationships xmlns="http://schemas.openxmlformats.org/package/2006/relationships"><Relationship Id="rId26" Type="http://schemas.openxmlformats.org/officeDocument/2006/relationships/hyperlink" Target="https://www.vishay.com/quality/pcn-doc/PCN-OMV-697-2013-Rev-0/ptn_omv_697_2013_rev0.pdf/" TargetMode="External"/><Relationship Id="rId21" Type="http://schemas.openxmlformats.org/officeDocument/2006/relationships/hyperlink" Target="https://www.vishay.com/quality/pcn-doc/PCN-OMV-685-2013-Rev-0/pcn_omv_685_2013_rev0.pdf/" TargetMode="External"/><Relationship Id="rId42" Type="http://schemas.openxmlformats.org/officeDocument/2006/relationships/hyperlink" Target="https://www.vishay.com/quality/pcn-doc/PCN-OMV-905-2016-Rev-0/ptn_omv_905_2016_rev0.pdf/" TargetMode="External"/><Relationship Id="rId47" Type="http://schemas.openxmlformats.org/officeDocument/2006/relationships/hyperlink" Target="https://www.vishay.com/quality/pcn-doc/PCN-OMV-952-2017-Rev-0/ptn_omv_952_2017_rev0.pdf/" TargetMode="External"/><Relationship Id="rId63" Type="http://schemas.openxmlformats.org/officeDocument/2006/relationships/hyperlink" Target="https://www.vishay.com/quality/pcn-doc/PCN-OSI-615-2012-Rev-0/pcn_osi_615_2012_rev0.pdf/" TargetMode="External"/><Relationship Id="rId68" Type="http://schemas.openxmlformats.org/officeDocument/2006/relationships/hyperlink" Target="https://www.vishay.com/quality/pcn-doc/PCN-OSI-713-2013-Rev-0/ptn_osi_713_2013_rev0.pdf/" TargetMode="External"/><Relationship Id="rId84" Type="http://schemas.openxmlformats.org/officeDocument/2006/relationships/hyperlink" Target="https://www.vishay.com/quality/pcn-doc/PTN-OSI-01093-2019-Rev-0/ptn_osi_1093_2019_rev0.pdf/" TargetMode="External"/><Relationship Id="rId89" Type="http://schemas.openxmlformats.org/officeDocument/2006/relationships/hyperlink" Target="https://www.vishay.com/quality/pcn-doc/PTN-OSI-01188-2021-Rev-0/ptn_osi_1188_2021_rev0.pdf/" TargetMode="External"/><Relationship Id="rId16" Type="http://schemas.openxmlformats.org/officeDocument/2006/relationships/hyperlink" Target="https://www.vishay.com/quality/pcn-doc/PCN-OMV-601-2012-Rev-0/pcn_omv_601_2012_rev0.pdf/" TargetMode="External"/><Relationship Id="rId107" Type="http://schemas.openxmlformats.org/officeDocument/2006/relationships/hyperlink" Target="https://www.vishay.com/quality/pcn-doc/PTN-OMV-01180-2021-Rev-0/ptn_omv_1180_2021_rev0.pdf/" TargetMode="External"/><Relationship Id="rId11" Type="http://schemas.openxmlformats.org/officeDocument/2006/relationships/hyperlink" Target="https://www.vishay.com/quality/pcn-doc/PCN-OMV-581-2012-Rev-0/pcn_omv_581_2012_rev0.pdf/" TargetMode="External"/><Relationship Id="rId32" Type="http://schemas.openxmlformats.org/officeDocument/2006/relationships/hyperlink" Target="https://www.vishay.com/quality/pcn-doc/PCN-OMV-735-2014-Rev-0/ptn_omv_735_2014_rev0.pdf/" TargetMode="External"/><Relationship Id="rId37" Type="http://schemas.openxmlformats.org/officeDocument/2006/relationships/hyperlink" Target="https://www.vishay.com/quality/pcn-doc/PCN-OMV-843-2015-Rev-0/ptn_omv_843_2015_rev0.pdf/" TargetMode="External"/><Relationship Id="rId53" Type="http://schemas.openxmlformats.org/officeDocument/2006/relationships/hyperlink" Target="https://www.vishay.com/quality/pcn-doc/PCN-OSI-364-2009-Rev-0/osi_364_2009_rev0.pdf/" TargetMode="External"/><Relationship Id="rId58" Type="http://schemas.openxmlformats.org/officeDocument/2006/relationships/hyperlink" Target="https://www.vishay.com/quality/pcn-doc/PCN-OSI-489-2011-Rev-0/ptn_osi_489_2011_rev0.pdf/" TargetMode="External"/><Relationship Id="rId74" Type="http://schemas.openxmlformats.org/officeDocument/2006/relationships/hyperlink" Target="https://www.vishay.com/quality/pcn-doc/PCN-OSI-851-2015-Rev-0/ptn_osi_851_2015_rev0.pdf/" TargetMode="External"/><Relationship Id="rId79" Type="http://schemas.openxmlformats.org/officeDocument/2006/relationships/hyperlink" Target="https://www.vishay.com/quality/pcn-doc/PCN-OSI-957-2017-Rev-0/ptn_osi_957_2017_rev0.pdf/" TargetMode="External"/><Relationship Id="rId102" Type="http://schemas.openxmlformats.org/officeDocument/2006/relationships/hyperlink" Target="https://www.vishay.com/quality/pcn-doc/PTN-OMV-01100-2019-Rev-0/ptn_omv_1100_2019_rev0.pdf/" TargetMode="External"/><Relationship Id="rId5" Type="http://schemas.openxmlformats.org/officeDocument/2006/relationships/hyperlink" Target="https://www.vishay.com/quality/pcn-doc/PCN-OMV-449-2010-Rev-0/omv_449_2010_rev0.pdf/" TargetMode="External"/><Relationship Id="rId90" Type="http://schemas.openxmlformats.org/officeDocument/2006/relationships/hyperlink" Target="https://www.vishay.com/quality/pcn-doc/PTN-OSI-01189-2021-Rev-0/ptn_osi_1189_2021_rev0.pdf/" TargetMode="External"/><Relationship Id="rId95" Type="http://schemas.openxmlformats.org/officeDocument/2006/relationships/hyperlink" Target="https://www.vishay.com/quality/pcn-doc/PTN-OMV-01043-2018-Rev-0/ptn_omv_1043_2018_rev0.pdf/" TargetMode="External"/><Relationship Id="rId22" Type="http://schemas.openxmlformats.org/officeDocument/2006/relationships/hyperlink" Target="https://www.vishay.com/quality/pcn-doc/PCN-OMV-688-2013-Rev-0/pcn_omv_688_2013_rev0.pdf/" TargetMode="External"/><Relationship Id="rId27" Type="http://schemas.openxmlformats.org/officeDocument/2006/relationships/hyperlink" Target="https://www.vishay.com/quality/pcn-doc/PCN-OMV-707-2013-Rev-0/ptn_omv_707_2013_rev0.pdf/" TargetMode="External"/><Relationship Id="rId43" Type="http://schemas.openxmlformats.org/officeDocument/2006/relationships/hyperlink" Target="https://www.vishay.com/quality/pcn-doc/PCN-OMV-907-2016-Rev-0/ptn_omv_907_2016_rev0.pdf/" TargetMode="External"/><Relationship Id="rId48" Type="http://schemas.openxmlformats.org/officeDocument/2006/relationships/hyperlink" Target="https://www.vishay.com/quality/pcn-doc/PCN-OMV-953-2017-Rev-0/ptn_omv_953_2017_rev0.pdf/" TargetMode="External"/><Relationship Id="rId64" Type="http://schemas.openxmlformats.org/officeDocument/2006/relationships/hyperlink" Target="https://www.vishay.com/quality/pcn-doc/PCN-OSI-649-2013-Rev-0/pcn_osi_649_2013_rev0.pdf/" TargetMode="External"/><Relationship Id="rId69" Type="http://schemas.openxmlformats.org/officeDocument/2006/relationships/hyperlink" Target="https://www.vishay.com/quality/pcn-doc/PCN-OSI-757-2014-Rev-0/ptn_osi_757_2014_rev0.pdf/" TargetMode="External"/><Relationship Id="rId80" Type="http://schemas.openxmlformats.org/officeDocument/2006/relationships/hyperlink" Target="https://www.vishay.com/quality/pcn-doc/PCN-OSI-958-2017-Rev-0/ptn_osi_958_2017_rev0.pdf/" TargetMode="External"/><Relationship Id="rId85" Type="http://schemas.openxmlformats.org/officeDocument/2006/relationships/hyperlink" Target="https://www.vishay.com/quality/pcn-doc/PTN-OSI-01098-2019-Rev-0/ptn_osi_1098_2019_rev0.pdf/" TargetMode="External"/><Relationship Id="rId12" Type="http://schemas.openxmlformats.org/officeDocument/2006/relationships/hyperlink" Target="https://www.vishay.com/quality/pcn-doc/PCN-OMV-585-2012-Rev-0/pcn_omv_585_2012_rev0.pdf/" TargetMode="External"/><Relationship Id="rId17" Type="http://schemas.openxmlformats.org/officeDocument/2006/relationships/hyperlink" Target="https://www.vishay.com/quality/pcn-doc/PCN-OMV-603-2012-Rev-0/pcn_omv_603_2012_rev0.pdf/" TargetMode="External"/><Relationship Id="rId33" Type="http://schemas.openxmlformats.org/officeDocument/2006/relationships/hyperlink" Target="https://www.vishay.com/quality/pcn-doc/PCN-OMV-749-2014-Rev-0/ptn_omv_749_2014_rev0.pdf/" TargetMode="External"/><Relationship Id="rId38" Type="http://schemas.openxmlformats.org/officeDocument/2006/relationships/hyperlink" Target="https://www.vishay.com/quality/pcn-doc/PCN-OMV-847-2015-Rev-0/ptn_omv_847_2015_rev0.pdf/" TargetMode="External"/><Relationship Id="rId59" Type="http://schemas.openxmlformats.org/officeDocument/2006/relationships/hyperlink" Target="https://www.vishay.com/quality/pcn-doc/PCN-OSI-550-2011-Rev-0/pcn_osi_550_2011_rev0.pdf/" TargetMode="External"/><Relationship Id="rId103" Type="http://schemas.openxmlformats.org/officeDocument/2006/relationships/hyperlink" Target="https://www.vishay.com/quality/pcn-doc/PTN-OMV-01111-2020-Rev-0/ptn_omv_1111_2020_rev0.pdf/" TargetMode="External"/><Relationship Id="rId108" Type="http://schemas.openxmlformats.org/officeDocument/2006/relationships/drawing" Target="../drawings/drawing12.xml"/><Relationship Id="rId20" Type="http://schemas.openxmlformats.org/officeDocument/2006/relationships/hyperlink" Target="https://www.vishay.com/quality/pcn-doc/PCN-OMV-683-2013-Rev-0/pcn_omv_683_2013_rev0.pdf/" TargetMode="External"/><Relationship Id="rId41" Type="http://schemas.openxmlformats.org/officeDocument/2006/relationships/hyperlink" Target="https://www.vishay.com/quality/pcn-doc/PCN-OMV-883-2016-Rev-0/ptn_omv_883_2016_rev0.pdf/" TargetMode="External"/><Relationship Id="rId54" Type="http://schemas.openxmlformats.org/officeDocument/2006/relationships/hyperlink" Target="https://www.vishay.com/quality/pcn-doc/PCN-OSI-365-2009-Rev-0/osi_365_2009_rev0.pdf/" TargetMode="External"/><Relationship Id="rId62" Type="http://schemas.openxmlformats.org/officeDocument/2006/relationships/hyperlink" Target="https://www.vishay.com/quality/pcn-doc/PCN-OSI-611-2012-Rev-0/pcn_osi_611_2012_rev0.pdf/" TargetMode="External"/><Relationship Id="rId70" Type="http://schemas.openxmlformats.org/officeDocument/2006/relationships/hyperlink" Target="https://www.vishay.com/quality/pcn-doc/PCN-OSI-769-2014-Rev-0/ptn_osi_769_2014_rev0.pdf/" TargetMode="External"/><Relationship Id="rId75" Type="http://schemas.openxmlformats.org/officeDocument/2006/relationships/hyperlink" Target="https://www.vishay.com/quality/pcn-doc/PCN-OSI-859-2015-Rev-0/ptn_osi_859_2015_rev0.pdf/" TargetMode="External"/><Relationship Id="rId83" Type="http://schemas.openxmlformats.org/officeDocument/2006/relationships/hyperlink" Target="https://www.vishay.com/quality/pcn-doc/PTN-OSI-01061-2019-Rev-0/ptn_osi_1061_2019_rev0.pdf/" TargetMode="External"/><Relationship Id="rId88" Type="http://schemas.openxmlformats.org/officeDocument/2006/relationships/hyperlink" Target="https://www.vishay.com/quality/pcn-doc/PTN-OSI-01127-2020-Rev-0/ptn_osi_1127_2020_rev0.pdf/" TargetMode="External"/><Relationship Id="rId91" Type="http://schemas.openxmlformats.org/officeDocument/2006/relationships/hyperlink" Target="https://www.vishay.com/quality/pcn-doc/PTN-OMV-01000-2017-Rev-0/ptn_omv_1000_2017_rev0.pdf/" TargetMode="External"/><Relationship Id="rId96" Type="http://schemas.openxmlformats.org/officeDocument/2006/relationships/hyperlink" Target="https://www.vishay.com/quality/pcn-doc/PTN-OMV-01044-2018-Rev-0/ptn_omv_1044_2018_rev0.pdf/" TargetMode="External"/><Relationship Id="rId1" Type="http://schemas.openxmlformats.org/officeDocument/2006/relationships/hyperlink" Target="https://www.vishay.com/quality/pcn-doc/PCN-DR-004-2011/PCN-DR-004%20Rev%202%20Bar%20Graph.pdf/" TargetMode="External"/><Relationship Id="rId6" Type="http://schemas.openxmlformats.org/officeDocument/2006/relationships/hyperlink" Target="https://www.vishay.com/quality/pcn-doc/PCN-OMV-479-2011-Rev-0/omv_479_2011_rev0.pdf/" TargetMode="External"/><Relationship Id="rId15" Type="http://schemas.openxmlformats.org/officeDocument/2006/relationships/hyperlink" Target="https://www.vishay.com/quality/pcn-doc/PCN-OMV-595-2012-Rev-0/pcn_omv_595_2012_rev0.pdf/" TargetMode="External"/><Relationship Id="rId23" Type="http://schemas.openxmlformats.org/officeDocument/2006/relationships/hyperlink" Target="https://www.vishay.com/quality/pcn-doc/PCN-OMV-689-2013-Rev-0/pcn_omv_689_2013_rev0.pdf/" TargetMode="External"/><Relationship Id="rId28" Type="http://schemas.openxmlformats.org/officeDocument/2006/relationships/hyperlink" Target="https://www.vishay.com/quality/pcn-doc/PCN-OMV-709-2013-Rev-0/ptn_omv_709_2013_rev0.pdf/" TargetMode="External"/><Relationship Id="rId36" Type="http://schemas.openxmlformats.org/officeDocument/2006/relationships/hyperlink" Target="https://www.vishay.com/quality/pcn-doc/PCN-OMV-827-2015-Rev-0/pcn_omv_827_2015_rev0.pdf/" TargetMode="External"/><Relationship Id="rId49" Type="http://schemas.openxmlformats.org/officeDocument/2006/relationships/hyperlink" Target="https://www.vishay.com/quality/pcn-doc/PCN-OMV-963-2017-Rev-0/ptn_omv_963_2017_rev0.pdf/" TargetMode="External"/><Relationship Id="rId57" Type="http://schemas.openxmlformats.org/officeDocument/2006/relationships/hyperlink" Target="https://www.vishay.com/quality/pcn-doc/PCN-OSI-477-2011-Rev-0/ptn_osi_477_2011_rev0.pdf/" TargetMode="External"/><Relationship Id="rId106" Type="http://schemas.openxmlformats.org/officeDocument/2006/relationships/hyperlink" Target="https://www.vishay.com/quality/pcn-doc/PTN-OMV-01172-2021-Rev-0/ptn_omv_1172_2021_rev0.pdf/" TargetMode="External"/><Relationship Id="rId10" Type="http://schemas.openxmlformats.org/officeDocument/2006/relationships/hyperlink" Target="https://www.vishay.com/quality/pcn-doc/PCN-OMV-575-2012-Rev-0/ptn_omv_575_2012_rev0.pdf/" TargetMode="External"/><Relationship Id="rId31" Type="http://schemas.openxmlformats.org/officeDocument/2006/relationships/hyperlink" Target="https://www.vishay.com/quality/pcn-doc/PCN-OMV-733-2014-Rev-0/ptn_omv_733_2014_rev0.pdf/" TargetMode="External"/><Relationship Id="rId44" Type="http://schemas.openxmlformats.org/officeDocument/2006/relationships/hyperlink" Target="https://www.vishay.com/quality/pcn-doc/PCN-OMV-913-2016-Rev-0/ptn_omv_913_2016_rev0.pdf/" TargetMode="External"/><Relationship Id="rId52" Type="http://schemas.openxmlformats.org/officeDocument/2006/relationships/hyperlink" Target="https://www.vishay.com/quality/pcn-doc/PCN-OSI-353-2009-Rev-0/osi_353_2009_rev0.pdf/" TargetMode="External"/><Relationship Id="rId60" Type="http://schemas.openxmlformats.org/officeDocument/2006/relationships/hyperlink" Target="https://www.vishay.com/quality/pcn-doc/PCN-OSI-579-2012-Rev-0/pcn_osi_579_2012_rev0.pdf/" TargetMode="External"/><Relationship Id="rId65" Type="http://schemas.openxmlformats.org/officeDocument/2006/relationships/hyperlink" Target="https://www.vishay.com/quality/pcn-doc/PCN-OSI-675-2013-Rev-0/pcn_osi_675_2013_rev0.pdf/" TargetMode="External"/><Relationship Id="rId73" Type="http://schemas.openxmlformats.org/officeDocument/2006/relationships/hyperlink" Target="https://www.vishay.com/quality/pcn-doc/PCN-OSI-817-2015-Rev-0/ptn_osi_817_2015_rev0.pdf/" TargetMode="External"/><Relationship Id="rId78" Type="http://schemas.openxmlformats.org/officeDocument/2006/relationships/hyperlink" Target="https://www.vishay.com/quality/pcn-doc/PCN-OSI-956-2017-Rev-0/ptn_osi_956_2017_rev0.pdf/" TargetMode="External"/><Relationship Id="rId81" Type="http://schemas.openxmlformats.org/officeDocument/2006/relationships/hyperlink" Target="https://www.vishay.com/quality/pcn-doc/PTN-OSI-01007-2017-Rev-0/pcn_osi_1007_2017_rev0.pdf/" TargetMode="External"/><Relationship Id="rId86" Type="http://schemas.openxmlformats.org/officeDocument/2006/relationships/hyperlink" Target="https://www.vishay.com/quality/pcn-doc/PTN-OSI-01103-2019-Rev-0/ptn_osi_1103_2019_rev0.pdf/" TargetMode="External"/><Relationship Id="rId94" Type="http://schemas.openxmlformats.org/officeDocument/2006/relationships/hyperlink" Target="https://www.vishay.com/quality/pcn-doc/PTN-OMV-01040-2018-Rev-0/ptn_omv_1040_2018_rev0.pdf/" TargetMode="External"/><Relationship Id="rId99" Type="http://schemas.openxmlformats.org/officeDocument/2006/relationships/hyperlink" Target="https://www.vishay.com/quality/pcn-doc/PTN-OMV-01071-2019-Rev-0/ptn_omv_1071_2019_rev0.pdf/" TargetMode="External"/><Relationship Id="rId101" Type="http://schemas.openxmlformats.org/officeDocument/2006/relationships/hyperlink" Target="https://www.vishay.com/quality/pcn-doc/PTN-OMV-01091-2019-Rev-0/ptn_omv_1091_2019_rev0.pdf/" TargetMode="External"/><Relationship Id="rId4" Type="http://schemas.openxmlformats.org/officeDocument/2006/relationships/hyperlink" Target="https://www.vishay.com/quality/pcn-doc/PCN-OMV-446-2010-Rev-0/omv_446_2010_rev0.pdf/" TargetMode="External"/><Relationship Id="rId9" Type="http://schemas.openxmlformats.org/officeDocument/2006/relationships/hyperlink" Target="https://www.vishay.com/quality/pcn-doc/PCN-OMV-565-2012-Rev-0/pcn_omv_565_2012_rev0.pdf/" TargetMode="External"/><Relationship Id="rId13" Type="http://schemas.openxmlformats.org/officeDocument/2006/relationships/hyperlink" Target="https://www.vishay.com/quality/pcn-doc/PCN-OMV-591-2012-Rev-0/pcn_omv_591_2012_rev0.pdf/" TargetMode="External"/><Relationship Id="rId18" Type="http://schemas.openxmlformats.org/officeDocument/2006/relationships/hyperlink" Target="https://www.vishay.com/quality/pcn-doc/PCN-OMV-607-2012-Rev-0/pcn_omv_607_2012_rev0.pdf/" TargetMode="External"/><Relationship Id="rId39" Type="http://schemas.openxmlformats.org/officeDocument/2006/relationships/hyperlink" Target="https://www.vishay.com/quality/pcn-doc/PCN-OMV-863-2015-Rev-0/ptn_omv_863_2015_rev0.pdf/" TargetMode="External"/><Relationship Id="rId34" Type="http://schemas.openxmlformats.org/officeDocument/2006/relationships/hyperlink" Target="https://www.vishay.com/quality/pcn-doc/PCN-OMV-777-2014-Rev-0/ptn_omv_777_2014_rev0.pdf/" TargetMode="External"/><Relationship Id="rId50" Type="http://schemas.openxmlformats.org/officeDocument/2006/relationships/hyperlink" Target="https://www.vishay.com/quality/pcn-doc/PCN-OMV-969-2017-Rev-0/ptn_omv_969_2017_rev0.pdf/" TargetMode="External"/><Relationship Id="rId55" Type="http://schemas.openxmlformats.org/officeDocument/2006/relationships/hyperlink" Target="https://www.vishay.com/quality/pcn-doc/PCN-OSI-428-2010-Rev-1/pcn_osi_428_2010_rev1.pdf/" TargetMode="External"/><Relationship Id="rId76" Type="http://schemas.openxmlformats.org/officeDocument/2006/relationships/hyperlink" Target="https://www.vishay.com/quality/pcn-doc/PCN-OSI-898-2016-Rev-0/ptn_osi_898_2016_rev0.pdf/" TargetMode="External"/><Relationship Id="rId97" Type="http://schemas.openxmlformats.org/officeDocument/2006/relationships/hyperlink" Target="https://www.vishay.com/quality/pcn-doc/PTN-OMV-01046-2018-Rev-0/ptn_omv_1046_2018_rev0.pdf/" TargetMode="External"/><Relationship Id="rId104" Type="http://schemas.openxmlformats.org/officeDocument/2006/relationships/hyperlink" Target="https://www.vishay.com/quality/pcn-doc/PTN-OMV-01116-2020-Rev-0/ptn_omv_1116_2020_rev0.pdf/" TargetMode="External"/><Relationship Id="rId7" Type="http://schemas.openxmlformats.org/officeDocument/2006/relationships/hyperlink" Target="https://www.vishay.com/quality/pcn-doc/PCN-OMV-483-2011-Rev-0/ptn_omv_483_2011_rev0.pdf/" TargetMode="External"/><Relationship Id="rId71" Type="http://schemas.openxmlformats.org/officeDocument/2006/relationships/hyperlink" Target="https://www.vishay.com/quality/pcn-doc/PCN-OSI-789-2014-Rev-0/ptn_osi_789_2014_rev0.pdf/" TargetMode="External"/><Relationship Id="rId92" Type="http://schemas.openxmlformats.org/officeDocument/2006/relationships/hyperlink" Target="https://www.vishay.com/quality/pcn-doc/PTN-OMV-01004-2017-Rev-0/pcn_omv_1004_2017_rev0.pdf/" TargetMode="External"/><Relationship Id="rId2" Type="http://schemas.openxmlformats.org/officeDocument/2006/relationships/hyperlink" Target="https://www.vishay.com/quality/pcn-doc/PCN-OMV-414-2010-Rev-0/omv_414_2010_rev0.pdf/" TargetMode="External"/><Relationship Id="rId29" Type="http://schemas.openxmlformats.org/officeDocument/2006/relationships/hyperlink" Target="https://www.vishay.com/quality/pcn-doc/PCN-OMV-723-2014-Rev-0/ptn_omv_723_2014_rev0.pdf/" TargetMode="External"/><Relationship Id="rId24" Type="http://schemas.openxmlformats.org/officeDocument/2006/relationships/hyperlink" Target="https://www.vishay.com/quality/pcn-doc/PCN-OMV-691-2013-Rev-0/ptn_omv_691_2013_rev0.pdf/" TargetMode="External"/><Relationship Id="rId40" Type="http://schemas.openxmlformats.org/officeDocument/2006/relationships/hyperlink" Target="https://www.vishay.com/quality/pcn-doc/PCN-OMV-878-2015-Rev-0/ptn_omv_878_2015_rev0.pdf/" TargetMode="External"/><Relationship Id="rId45" Type="http://schemas.openxmlformats.org/officeDocument/2006/relationships/hyperlink" Target="https://www.vishay.com/quality/pcn-doc/PCN-OMV-913-2016-Rev-1/ptn_omv_913_2016_rev1.pdf/" TargetMode="External"/><Relationship Id="rId66" Type="http://schemas.openxmlformats.org/officeDocument/2006/relationships/hyperlink" Target="https://www.vishay.com/quality/pcn-doc/PCN-OSI-677-2013-Rev-0/pcn_osi_677_2013_rev0.pdf/" TargetMode="External"/><Relationship Id="rId87" Type="http://schemas.openxmlformats.org/officeDocument/2006/relationships/hyperlink" Target="https://www.vishay.com/quality/pcn-doc/PTN-OSI-01125-2020-Rev-0/ptn_osi_1125_2020_rev0.pdf/" TargetMode="External"/><Relationship Id="rId61" Type="http://schemas.openxmlformats.org/officeDocument/2006/relationships/hyperlink" Target="https://www.vishay.com/quality/pcn-doc/PCN-OSI-584-2012-Rev-0/pcn_osi_584_2012_rev0.pdf/" TargetMode="External"/><Relationship Id="rId82" Type="http://schemas.openxmlformats.org/officeDocument/2006/relationships/hyperlink" Target="https://www.vishay.com/quality/pcn-doc/PTN-OSI-01059-2019-Rev-0/ptn_osi_1059_2019_rev0.pdf/" TargetMode="External"/><Relationship Id="rId19" Type="http://schemas.openxmlformats.org/officeDocument/2006/relationships/hyperlink" Target="https://www.vishay.com/quality/pcn-doc/PCN-OMV-679-2013-Rev-0/pcn_omv_679_2013_rev0.pdf/" TargetMode="External"/><Relationship Id="rId14" Type="http://schemas.openxmlformats.org/officeDocument/2006/relationships/hyperlink" Target="https://www.vishay.com/quality/pcn-doc/PCN-OMV-592-2012-Rev-0/pcn_omv_592_2012_rev0.pdf/" TargetMode="External"/><Relationship Id="rId30" Type="http://schemas.openxmlformats.org/officeDocument/2006/relationships/hyperlink" Target="https://www.vishay.com/quality/pcn-doc/PCN-OMV-731-2014-Rev-0/ptn_omv_731_2014_rev0.pdf/" TargetMode="External"/><Relationship Id="rId35" Type="http://schemas.openxmlformats.org/officeDocument/2006/relationships/hyperlink" Target="https://www.vishay.com/quality/pcn-doc/PCN-OMV-787-2014-Rev-0/ptn_omv_787_2014_rev0.pdf/" TargetMode="External"/><Relationship Id="rId56" Type="http://schemas.openxmlformats.org/officeDocument/2006/relationships/hyperlink" Target="https://www.vishay.com/quality/pcn-doc/PCN-OSI-448-2010-Rev-0/osi_448_2010_rev0.pdf/" TargetMode="External"/><Relationship Id="rId77" Type="http://schemas.openxmlformats.org/officeDocument/2006/relationships/hyperlink" Target="https://www.vishay.com/quality/pcn-doc/PCN-OSI-945-2007-Rev-0/ptn_osi_945_2017_rev0.pdf/" TargetMode="External"/><Relationship Id="rId100" Type="http://schemas.openxmlformats.org/officeDocument/2006/relationships/hyperlink" Target="https://www.vishay.com/quality/pcn-doc/PTN-OMV-01073-2019-Rev-0/ptn_omv_1073_2019_rev0.pdf/" TargetMode="External"/><Relationship Id="rId105" Type="http://schemas.openxmlformats.org/officeDocument/2006/relationships/hyperlink" Target="https://www.vishay.com/quality/pcn-doc/PTN-OMV-01160-2020-Rev-0/ptn_omv_1160_2020_rev0.pdf/" TargetMode="External"/><Relationship Id="rId8" Type="http://schemas.openxmlformats.org/officeDocument/2006/relationships/hyperlink" Target="https://www.vishay.com/quality/pcn-doc/PCN-OMV-553-2011-Rev-0/pcn_omv_553_2011_rev0.pdf/" TargetMode="External"/><Relationship Id="rId51" Type="http://schemas.openxmlformats.org/officeDocument/2006/relationships/hyperlink" Target="https://www.vishay.com/quality/pcn-doc/PCN-OMV-977-2017-Rev-0/ptn_omv_977_2017_rev0.pdf/" TargetMode="External"/><Relationship Id="rId72" Type="http://schemas.openxmlformats.org/officeDocument/2006/relationships/hyperlink" Target="https://www.vishay.com/quality/pcn-doc/PCN-OSI-799-2014-Rev-0/ptn_osi_799_2014_rev0.pdf/" TargetMode="External"/><Relationship Id="rId93" Type="http://schemas.openxmlformats.org/officeDocument/2006/relationships/hyperlink" Target="https://www.vishay.com/quality/pcn-doc/PTN-OMV-01013-2018-Rev-0/pcn_omv_1013_2018_rev0.pdf/" TargetMode="External"/><Relationship Id="rId98" Type="http://schemas.openxmlformats.org/officeDocument/2006/relationships/hyperlink" Target="https://www.vishay.com/quality/pcn-doc/PTN-OMV-01070-2019-Rev-0/ptn_omv_1070_2019_rev0.pdf/" TargetMode="External"/><Relationship Id="rId3" Type="http://schemas.openxmlformats.org/officeDocument/2006/relationships/hyperlink" Target="https://www.vishay.com/quality/pcn-doc/PCN-OMV-441-2010-Rev-0/omv_441_2010_rev0.pdf/" TargetMode="External"/><Relationship Id="rId25" Type="http://schemas.openxmlformats.org/officeDocument/2006/relationships/hyperlink" Target="https://www.vishay.com/quality/pcn-doc/PCN-OMV-693-2013-Rev-0/ptn_omv_693_2013_rev0.pdf/" TargetMode="External"/><Relationship Id="rId46" Type="http://schemas.openxmlformats.org/officeDocument/2006/relationships/hyperlink" Target="https://www.vishay.com/quality/pcn-doc/PCN-OMV-947-2017-Rev-0/ptn_omv_947_2017_rev0.pdf/" TargetMode="External"/><Relationship Id="rId67" Type="http://schemas.openxmlformats.org/officeDocument/2006/relationships/hyperlink" Target="https://www.vishay.com/quality/pcn-doc/PCN-OSI-705-2013-Rev-0/ptn_osi_705_2013_rev0.pdf/" TargetMode="External"/></Relationships>
</file>

<file path=xl/worksheets/_rels/sheet14.xml.rels><?xml version="1.0" encoding="UTF-8" standalone="yes"?>
<Relationships xmlns="http://schemas.openxmlformats.org/package/2006/relationships"><Relationship Id="rId13" Type="http://schemas.openxmlformats.org/officeDocument/2006/relationships/hyperlink" Target="https://www.vishay.com/quality/pcn-doc/PCN-DBR-005-2016-Rev-0/PCN-DBR-005-2016%20Rev0.pdf/" TargetMode="External"/><Relationship Id="rId18" Type="http://schemas.openxmlformats.org/officeDocument/2006/relationships/hyperlink" Target="https://www.vishay.com/quality/pcn-doc/PCN-DR-004-2014-Rev-0/PTN-DR-004-2014%20Rev%200.pdf/" TargetMode="External"/><Relationship Id="rId26" Type="http://schemas.openxmlformats.org/officeDocument/2006/relationships/hyperlink" Target="https://www.vishay.com/quality/pcn-doc/PCN-DR-018-2015-Rev-0/PTN-DR-018-2015.pdf/" TargetMode="External"/><Relationship Id="rId3" Type="http://schemas.openxmlformats.org/officeDocument/2006/relationships/hyperlink" Target="https://www.vishay.com/quality/pcn-doc/PCN-DBR-035-2009-Rev-0/PCN-DBR-035-2009.pdf/" TargetMode="External"/><Relationship Id="rId21" Type="http://schemas.openxmlformats.org/officeDocument/2006/relationships/hyperlink" Target="https://www.vishay.com/quality/pcn-doc/PCN-DR-011-2016-Rev-0/PTN-DR-011-2016%20Rev%200.pdf/" TargetMode="External"/><Relationship Id="rId34" Type="http://schemas.openxmlformats.org/officeDocument/2006/relationships/hyperlink" Target="https://www.vishay.com/quality/pcn-doc/PCN-SF-089-2009-Rev-0/PCN%20SF%20FL089%202009%20T19P.pdf/" TargetMode="External"/><Relationship Id="rId7" Type="http://schemas.openxmlformats.org/officeDocument/2006/relationships/hyperlink" Target="https://www.vishay.com/quality/pcn-doc/PCN-DBR-004-2010-Rev-1/PCN-DBR-004-2010.pdf/" TargetMode="External"/><Relationship Id="rId12" Type="http://schemas.openxmlformats.org/officeDocument/2006/relationships/hyperlink" Target="https://www.vishay.com/quality/pcn-doc/PCN-DBR-005-2010-Rev-2/PCN-DBR-005-2010-REVB.pdf/" TargetMode="External"/><Relationship Id="rId17" Type="http://schemas.openxmlformats.org/officeDocument/2006/relationships/hyperlink" Target="https://www.vishay.com/quality/pcn-doc/PCN-DBR-009-2010-Rev-0/PCN-DBR-009-2010.pdf/" TargetMode="External"/><Relationship Id="rId25" Type="http://schemas.openxmlformats.org/officeDocument/2006/relationships/hyperlink" Target="https://www.vishay.com/quality/pcn-doc/PCN-DR-017-2015-Rev-0/PTN-DR-017-2015.pdf/" TargetMode="External"/><Relationship Id="rId33" Type="http://schemas.openxmlformats.org/officeDocument/2006/relationships/hyperlink" Target="https://www.vishay.com/quality/pcn-doc/PCN-SF-088-2009-Rev-1/PCN%20SF%20088.pdf/" TargetMode="External"/><Relationship Id="rId2" Type="http://schemas.openxmlformats.org/officeDocument/2006/relationships/hyperlink" Target="https://www.vishay.com/quality/pcn-doc/PCN-DBR-034-2009-Rev-1/PCN-DBR-034-2009.pdf/" TargetMode="External"/><Relationship Id="rId16" Type="http://schemas.openxmlformats.org/officeDocument/2006/relationships/hyperlink" Target="https://www.vishay.com/quality/pcn-doc/PCN-DBR-008-2009-Rev-2/PCN-DBR-008-2009-REVB.pdf/" TargetMode="External"/><Relationship Id="rId20" Type="http://schemas.openxmlformats.org/officeDocument/2006/relationships/hyperlink" Target="https://www.vishay.com/quality/pcn-doc/PCN-DR-010-2015-Rev-0/PTN-DR-010-2015%20Rev0.pdf/" TargetMode="External"/><Relationship Id="rId29" Type="http://schemas.openxmlformats.org/officeDocument/2006/relationships/hyperlink" Target="https://www.vishay.com/quality/pcn-doc/PCN-DR-022-2015-Rev-0/PTN-DR-022-2015.pdf/" TargetMode="External"/><Relationship Id="rId1" Type="http://schemas.openxmlformats.org/officeDocument/2006/relationships/hyperlink" Target="https://www.vishay.com/quality/pcn-doc/PCN-DBR-033-2009-Rev-1/PCN-DBR-033-2009.pdf/" TargetMode="External"/><Relationship Id="rId6" Type="http://schemas.openxmlformats.org/officeDocument/2006/relationships/hyperlink" Target="https://www.vishay.com/quality/pcn-doc/PTN-NLR-00003-2019-Rev-0/PTN-NLR-003-2019%20Withdrawal%20of%20MCT%20series%20curve%207.pdf/" TargetMode="External"/><Relationship Id="rId11" Type="http://schemas.openxmlformats.org/officeDocument/2006/relationships/hyperlink" Target="https://www.vishay.com/quality/pcn-doc/PCN-DBR-005-2010-Rev-01/PCN-DBR-005-2010%20RevB.pdf/" TargetMode="External"/><Relationship Id="rId24" Type="http://schemas.openxmlformats.org/officeDocument/2006/relationships/hyperlink" Target="https://www.vishay.com/quality/pcn-doc/PCN-DR-016-2015-Rev-0/PCN-DR-016-2015%20Rev%200.pdf/" TargetMode="External"/><Relationship Id="rId32" Type="http://schemas.openxmlformats.org/officeDocument/2006/relationships/hyperlink" Target="https://www.vishay.com/quality/pcn-doc/PCN-NLR-005-2016-Rev-0/PTN-NLR-005-2016%20Rev0.pdf/" TargetMode="External"/><Relationship Id="rId5" Type="http://schemas.openxmlformats.org/officeDocument/2006/relationships/hyperlink" Target="https://www.vishay.com/quality/pcn-doc/PCN-DR-017-2016-Rev-0/PTN-DR-017-2016%20Rev%200.pdf/" TargetMode="External"/><Relationship Id="rId15" Type="http://schemas.openxmlformats.org/officeDocument/2006/relationships/hyperlink" Target="https://www.vishay.com/quality/pcn-doc/PCN-DBR-007-2010-Rev-0/PCN-DBR-007-2010.pdf/" TargetMode="External"/><Relationship Id="rId23" Type="http://schemas.openxmlformats.org/officeDocument/2006/relationships/hyperlink" Target="https://www.vishay.com/quality/pcn-doc/PCN-DR-015-2016-Rev-0/PTN-DR-015-2016%20(11.10.2016).pdf/" TargetMode="External"/><Relationship Id="rId28" Type="http://schemas.openxmlformats.org/officeDocument/2006/relationships/hyperlink" Target="https://www.vishay.com/quality/pcn-doc/PCN-DR-021-2015-Rev-0/PTN-DR-021-2015.pdf/" TargetMode="External"/><Relationship Id="rId36" Type="http://schemas.openxmlformats.org/officeDocument/2006/relationships/drawing" Target="../drawings/drawing13.xml"/><Relationship Id="rId10" Type="http://schemas.openxmlformats.org/officeDocument/2006/relationships/hyperlink" Target="https://www.vishay.com/docs/20011/dcrcwhr.pdf" TargetMode="External"/><Relationship Id="rId19" Type="http://schemas.openxmlformats.org/officeDocument/2006/relationships/hyperlink" Target="https://www.vishay.com/quality/pcn-doc/PCN-DR-008-2016-Rev-0/CRCA%20CRCC%20EOL%20PCN_rl060116.pdf/" TargetMode="External"/><Relationship Id="rId31" Type="http://schemas.openxmlformats.org/officeDocument/2006/relationships/hyperlink" Target="https://www.vishay.com/quality/pcn-doc/PCN-NLR-001-2016-Rev-0/PTN-NLR-001-2016%20Rev0.pdf/" TargetMode="External"/><Relationship Id="rId4" Type="http://schemas.openxmlformats.org/officeDocument/2006/relationships/hyperlink" Target="https://www.vishay.com/quality/pcn-doc/PCN-DR-001-2013-Rev-0/PCN-DR-001-2013%20Rev%200.pdf/" TargetMode="External"/><Relationship Id="rId9" Type="http://schemas.openxmlformats.org/officeDocument/2006/relationships/hyperlink" Target="https://www.vishay.com/quality/pcn-doc/PCN-DBR-004-2016-Rev-0/PTN-DBR-004-2016%20Rev0.pdf/" TargetMode="External"/><Relationship Id="rId14" Type="http://schemas.openxmlformats.org/officeDocument/2006/relationships/hyperlink" Target="https://www.vishay.com/quality/pcn-doc/PCN-DBR-006-2016-Rev-0/PTN-DBR-006-2016%20Rev0.pdf/" TargetMode="External"/><Relationship Id="rId22" Type="http://schemas.openxmlformats.org/officeDocument/2006/relationships/hyperlink" Target="https://www.vishay.com/quality/pcn-doc/PCN-DR-013-2015-Rev-0/PCN-DR-013-2015%20Rev%200.pdf/" TargetMode="External"/><Relationship Id="rId27" Type="http://schemas.openxmlformats.org/officeDocument/2006/relationships/hyperlink" Target="https://www.vishay.com/quality/pcn-doc/PCN-DR-019-2015-Rev-0/PTN-DR-019-2015%20Rev%200.pdf/" TargetMode="External"/><Relationship Id="rId30" Type="http://schemas.openxmlformats.org/officeDocument/2006/relationships/hyperlink" Target="https://www.vishay.com/quality/pcn-doc/PCN-DR-028-2015-Rev-0/PTN-DR-028-2015%20Rev%200%20WSH2818.pdf/" TargetMode="External"/><Relationship Id="rId35" Type="http://schemas.openxmlformats.org/officeDocument/2006/relationships/hyperlink" Target="https://www.vishay.com/quality/pcn-doc/PCN-SF-101-2011-Rev-1/PCN%20SF101%20Rev%201.pdf/" TargetMode="External"/><Relationship Id="rId8" Type="http://schemas.openxmlformats.org/officeDocument/2006/relationships/hyperlink" Target="https://www.vishay.com/docs/31013/ccf07.pdf" TargetMode="External"/></Relationships>
</file>

<file path=xl/worksheets/_rels/sheet15.xml.rels><?xml version="1.0" encoding="UTF-8" standalone="yes"?>
<Relationships xmlns="http://schemas.openxmlformats.org/package/2006/relationships"><Relationship Id="rId26" Type="http://schemas.openxmlformats.org/officeDocument/2006/relationships/hyperlink" Target="https://www.vishay.com/quality/pcn-doc/PCN-SIL-019-2014-Rev-1/PCN-SIL-0192014%20EOL%20with%20Replacement.pdf/" TargetMode="External"/><Relationship Id="rId21" Type="http://schemas.openxmlformats.org/officeDocument/2006/relationships/hyperlink" Target="https://www.mouser.fr/datasheet/2/427/sq7414en-1766528.pdf" TargetMode="External"/><Relationship Id="rId42" Type="http://schemas.openxmlformats.org/officeDocument/2006/relationships/hyperlink" Target="https://www.mouser.fr/datasheet/2/427/sihfl014-1768651.pdf" TargetMode="External"/><Relationship Id="rId47" Type="http://schemas.openxmlformats.org/officeDocument/2006/relationships/hyperlink" Target="https://www.vishay.com/quality/pcn-doc/PCN-SIL-0292010/PCN-SIL-0292010%20AUK%20SC75_SC89%20EOL.pdf/" TargetMode="External"/><Relationship Id="rId63" Type="http://schemas.openxmlformats.org/officeDocument/2006/relationships/hyperlink" Target="https://www.vishay.com/quality/pcn-doc/PCN-SIL-048-2012-Rev-2/PCN-SIL-0482012%20EOL%20SOT-223,%20DPAK,%20IPAK%20Sn-PB%20ProductsRev2.pdf/" TargetMode="External"/><Relationship Id="rId68" Type="http://schemas.openxmlformats.org/officeDocument/2006/relationships/hyperlink" Target="https://www.mouser.fr/datasheet/2/427/sqd50n03-1765171.pdf" TargetMode="External"/><Relationship Id="rId84" Type="http://schemas.openxmlformats.org/officeDocument/2006/relationships/hyperlink" Target="https://www.vishay.com/quality/pcn-doc/PTN-SIL-00003-2008-Rev-0/PCN-SIL-0032018%20Commercial%20LVM%20End%20of%20Life.pdf/" TargetMode="External"/><Relationship Id="rId89" Type="http://schemas.openxmlformats.org/officeDocument/2006/relationships/hyperlink" Target="https://www.vishay.com/quality/pcn-doc/PTN-SIL-00017-2019-Rev-0/PCN%20SIL-0172019%20EOL%20V50383-E3.pdf/" TargetMode="External"/><Relationship Id="rId16" Type="http://schemas.openxmlformats.org/officeDocument/2006/relationships/hyperlink" Target="https://www.vishay.com/quality/pcn-doc/PCN-SIL-0132010/PCN-SIL-0132010%20EOL%20for%20SI5853CDC-T1-E3.pdf/" TargetMode="External"/><Relationship Id="rId107" Type="http://schemas.openxmlformats.org/officeDocument/2006/relationships/drawing" Target="../drawings/drawing14.xml"/><Relationship Id="rId11" Type="http://schemas.openxmlformats.org/officeDocument/2006/relationships/hyperlink" Target="https://www.vishay.com/quality/pcn-doc/PCN-SIL-012-2012-Rev-1/PCN-SIL-0122012%20Commerical%20Power%20MOSFET%20Obsolescence%20Rev1.pdf/" TargetMode="External"/><Relationship Id="rId32" Type="http://schemas.openxmlformats.org/officeDocument/2006/relationships/hyperlink" Target="https://www.vishay.com/quality/pcn-doc/PCN-SIL-023-2014-Rev-2/PCN-SIL-0232014%20Rev2%20EOL%20with%20Replacement.pdf/" TargetMode="External"/><Relationship Id="rId37" Type="http://schemas.openxmlformats.org/officeDocument/2006/relationships/hyperlink" Target="https://www.vishay.com/quality/pcn-doc/PCN-SIL-0252010/PCN-SIL-0252010%20Commerical%20Power%20MOSFET%20Obsolescence.pdf/" TargetMode="External"/><Relationship Id="rId53" Type="http://schemas.openxmlformats.org/officeDocument/2006/relationships/hyperlink" Target="https://www.mouser.fr/datasheet/2/427/sud50n04-1764970.pdf" TargetMode="External"/><Relationship Id="rId58" Type="http://schemas.openxmlformats.org/officeDocument/2006/relationships/hyperlink" Target="https://www.vishay.com/quality/pcn-doc/PCN-SIL-043-2014-Rev-2/PCN-SIL-0432014%20Rev2%20EOL%20with%2045M%20Replacement.pdf/" TargetMode="External"/><Relationship Id="rId74" Type="http://schemas.openxmlformats.org/officeDocument/2006/relationships/hyperlink" Target="https://www.mouser.fr/datasheet/2/427/72019-1765886.pdf" TargetMode="External"/><Relationship Id="rId79" Type="http://schemas.openxmlformats.org/officeDocument/2006/relationships/hyperlink" Target="https://www.vishay.com/quality/pcn-doc/PCN-SIL-085-2014-Rev-3/PCN-SIL-0852014%20Rev3%20Auto%20SQ2361EES%20PTN.pdf/" TargetMode="External"/><Relationship Id="rId102" Type="http://schemas.openxmlformats.org/officeDocument/2006/relationships/hyperlink" Target="https://www.vishay.com/quality/pcn-doc/PTN-SIL-032-2021-REV-0/PTN-SIL-032-2021-REV-0.pdf/" TargetMode="External"/><Relationship Id="rId5" Type="http://schemas.openxmlformats.org/officeDocument/2006/relationships/hyperlink" Target="https://www.vishay.com/quality/pcn-doc/PCN-SIL-0072010/PCN-SIL-0072010%20V50300%20EOL.pdf/" TargetMode="External"/><Relationship Id="rId90" Type="http://schemas.openxmlformats.org/officeDocument/2006/relationships/hyperlink" Target="https://www.vishay.com/quality/pcn-doc/PTN-SIL-00018-2019-Rev-0/PCN%20SIL-0182019%20EOL%20V961-0007-E3.pdf/" TargetMode="External"/><Relationship Id="rId95" Type="http://schemas.openxmlformats.org/officeDocument/2006/relationships/hyperlink" Target="https://www.mouser.fr/datasheet/2/427/VISH_S_A0001811137_1-2567652.pdf" TargetMode="External"/><Relationship Id="rId22" Type="http://schemas.openxmlformats.org/officeDocument/2006/relationships/hyperlink" Target="https://www.vishay.com/quality/pcn-doc/PCN-SIL-017-2014-Rev-2/PCN-SIL-0172014%20Rev2%20EOL%20SQ7414EN%20with%20Replacement.pdf/" TargetMode="External"/><Relationship Id="rId27" Type="http://schemas.openxmlformats.org/officeDocument/2006/relationships/hyperlink" Target="https://www.vishay.com/quality/pcn-doc/PCN-SIL-019-2016-Rev-0/MIL-JFET%20OBSOLETE.pdf/" TargetMode="External"/><Relationship Id="rId43" Type="http://schemas.openxmlformats.org/officeDocument/2006/relationships/hyperlink" Target="https://www.vishay.com/quality/pcn-doc/PCN-SIL-027-2015-Rev-0/PCN-SIL-0272015%20EOL%20TO-223%20Tube%20Pack%20Option.pdf/" TargetMode="External"/><Relationship Id="rId48" Type="http://schemas.openxmlformats.org/officeDocument/2006/relationships/hyperlink" Target="https://www.vishay.com/quality/pcn-doc/PCN-SIL-033-2014-Rev-3/PCN-SIL-0332014%20Rev3%20EOL%20without%20replacement.pdf/" TargetMode="External"/><Relationship Id="rId64" Type="http://schemas.openxmlformats.org/officeDocument/2006/relationships/hyperlink" Target="https://www.vishay.com/docs/65531/sq1912ee.pdf" TargetMode="External"/><Relationship Id="rId69" Type="http://schemas.openxmlformats.org/officeDocument/2006/relationships/hyperlink" Target="https://www.vishay.com/quality/pcn-doc/PCN-SIL-055-2014-Rev-1/PCN-SIL-0552014%20EOL%20with%20SQD50N04-5M6%20Replacement.pdf/" TargetMode="External"/><Relationship Id="rId80" Type="http://schemas.openxmlformats.org/officeDocument/2006/relationships/hyperlink" Target="https://www.vishay.com/quality/pcn-doc/PCN-SIL-091-2014-Rev-0/PCN-SIL-0912014%20EOL%20TNCB2DWF.pdf/" TargetMode="External"/><Relationship Id="rId85" Type="http://schemas.openxmlformats.org/officeDocument/2006/relationships/hyperlink" Target="https://www.mouser.fr/datasheet/2/427/VISH_S_A0001142048_1-2567156.pdf" TargetMode="External"/><Relationship Id="rId12" Type="http://schemas.openxmlformats.org/officeDocument/2006/relationships/hyperlink" Target="https://www.mouser.fr/datasheet/2/427/si2302ad-1765796.pdf" TargetMode="External"/><Relationship Id="rId17" Type="http://schemas.openxmlformats.org/officeDocument/2006/relationships/hyperlink" Target="https://www.vishay.com/docs/64731/sqm110n0.pdf" TargetMode="External"/><Relationship Id="rId33" Type="http://schemas.openxmlformats.org/officeDocument/2006/relationships/hyperlink" Target="https://www.vishay.com/quality/pcn-doc/PCN-SIL-024-2014-Rev-2/PCN-SIL-0242014%20Rev2%20EOL%20with%20Replacement.pdf/" TargetMode="External"/><Relationship Id="rId38" Type="http://schemas.openxmlformats.org/officeDocument/2006/relationships/hyperlink" Target="https://www.mouser.fr/datasheet/2/427/70742-1765344.pdf" TargetMode="External"/><Relationship Id="rId59" Type="http://schemas.openxmlformats.org/officeDocument/2006/relationships/hyperlink" Target="https://www.mouser.fr/datasheet/2/427/sq4401dy-1765085.pdf" TargetMode="External"/><Relationship Id="rId103" Type="http://schemas.openxmlformats.org/officeDocument/2006/relationships/hyperlink" Target="https://www.mouser.fr/datasheet/2/427/VISH_S_A0001785392_1-2567659.pdf" TargetMode="External"/><Relationship Id="rId20" Type="http://schemas.openxmlformats.org/officeDocument/2006/relationships/hyperlink" Target="https://www.vishay.com/quality/pcn-doc/PCN-SIL-015-2014-Rev-2/PCN-SIL-0152014%20EOL%20with%20Replacement%20Rev2.pdf/" TargetMode="External"/><Relationship Id="rId41" Type="http://schemas.openxmlformats.org/officeDocument/2006/relationships/hyperlink" Target="https://www.vishay.com/quality/pcn-doc/PCN-SIL-027-2014-Rev-1/PCN-SIL-0272014%20EOL%20with%20Replacement.pdf/" TargetMode="External"/><Relationship Id="rId54" Type="http://schemas.openxmlformats.org/officeDocument/2006/relationships/hyperlink" Target="https://www.vishay.com/quality/pcn-doc/PCN-SIL-0382010/PCN-SIL-0382010.pdf/" TargetMode="External"/><Relationship Id="rId62" Type="http://schemas.openxmlformats.org/officeDocument/2006/relationships/hyperlink" Target="https://www.vishay.com/quality/pcn-doc/PCN-SIL-047-2014-Rev-1/PCN-SIL-0472014%20Rev1%20EOL%20with%20300M%20Replacement.pdf/" TargetMode="External"/><Relationship Id="rId70" Type="http://schemas.openxmlformats.org/officeDocument/2006/relationships/hyperlink" Target="https://www.mouser.fr/datasheet/2/427/VISH_S_A0001222646_1-2567301.pdf" TargetMode="External"/><Relationship Id="rId75" Type="http://schemas.openxmlformats.org/officeDocument/2006/relationships/hyperlink" Target="https://www.vishay.com/quality/pcn-doc/PCN-SIL-072-2014-Rev-0/PCN-SIL-0722014%20Commercial%20LVM%20End%20of%20Life.pdf/" TargetMode="External"/><Relationship Id="rId83" Type="http://schemas.openxmlformats.org/officeDocument/2006/relationships/hyperlink" Target="https://www.mouser.fr/datasheet/2/427/VISH_S_A0001121990_1-2567183.pdf" TargetMode="External"/><Relationship Id="rId88" Type="http://schemas.openxmlformats.org/officeDocument/2006/relationships/hyperlink" Target="https://www.vishay.com/quality/pcn-doc/PTN-SIL-00016-2017-Rev-0/PCN-SIL-0162017%20Commercial%20LVM%20End%20of%20Life.pdf/" TargetMode="External"/><Relationship Id="rId91" Type="http://schemas.openxmlformats.org/officeDocument/2006/relationships/hyperlink" Target="https://www.mouser.fr/datasheet/2/427/VISH_S_A0003419864_1-2568941.pdf" TargetMode="External"/><Relationship Id="rId96" Type="http://schemas.openxmlformats.org/officeDocument/2006/relationships/hyperlink" Target="https://www.vishay.com/quality/pcn-doc/PTN-SIL-014-2021-REV-0/PTN-SIL-014-2021-REV-0.pdf/" TargetMode="External"/><Relationship Id="rId1" Type="http://schemas.openxmlformats.org/officeDocument/2006/relationships/hyperlink" Target="https://www.vishay.com/quality/pcn-doc/PCN-SIL-004-2011-Rev-0/PCN-SIL-0042011%20Commerical%20Power%20MOSFET%20Obsolescence.pdf/" TargetMode="External"/><Relationship Id="rId6" Type="http://schemas.openxmlformats.org/officeDocument/2006/relationships/hyperlink" Target="https://www.vishay.com/quality/pcn-doc/PCN-SIL-0042010/PCN-SIL-0042010%20TO92%20Obsolescence.pdf/" TargetMode="External"/><Relationship Id="rId15" Type="http://schemas.openxmlformats.org/officeDocument/2006/relationships/hyperlink" Target="https://www.mouser.fr/datasheet/2/427/SI5853CD-1765240.pdf" TargetMode="External"/><Relationship Id="rId23" Type="http://schemas.openxmlformats.org/officeDocument/2006/relationships/hyperlink" Target="https://www.mouser.fr/datasheet/2/427/sihg47n60s-1768754.pdf" TargetMode="External"/><Relationship Id="rId28" Type="http://schemas.openxmlformats.org/officeDocument/2006/relationships/hyperlink" Target="https://www.vishay.com/quality/pcn-doc/PCN-SIL-020-2016-Rev-0/MIL-AS%20OBSOLETE.pdf/" TargetMode="External"/><Relationship Id="rId36" Type="http://schemas.openxmlformats.org/officeDocument/2006/relationships/hyperlink" Target="https://www.mouser.fr/datasheet/2/427/si4563dy-1766107.pdf" TargetMode="External"/><Relationship Id="rId49" Type="http://schemas.openxmlformats.org/officeDocument/2006/relationships/hyperlink" Target="https://www.mouser.fr/datasheet/2/427/SI1402DH-1766097.pdf" TargetMode="External"/><Relationship Id="rId57" Type="http://schemas.openxmlformats.org/officeDocument/2006/relationships/hyperlink" Target="https://www.mouser.fr/datasheet/2/427/sqd35n05-1765280.pdf" TargetMode="External"/><Relationship Id="rId106" Type="http://schemas.openxmlformats.org/officeDocument/2006/relationships/hyperlink" Target="https://www.vishay.com/quality/pcn-doc/PTN-SIL-036-2021-REV-0/PTN-SIL-036-2021-REV-0.pdf/" TargetMode="External"/><Relationship Id="rId10" Type="http://schemas.openxmlformats.org/officeDocument/2006/relationships/hyperlink" Target="https://www.mouser.fr/datasheet/2/427/72987-1765929.pdf" TargetMode="External"/><Relationship Id="rId31" Type="http://schemas.openxmlformats.org/officeDocument/2006/relationships/hyperlink" Target="https://www.vishay.com/quality/pcn-doc/PCN-SIL-0212010/PCN-SIL-0212010%20GTBF%20EOL.pdf/" TargetMode="External"/><Relationship Id="rId44" Type="http://schemas.openxmlformats.org/officeDocument/2006/relationships/hyperlink" Target="https://www.vishay.com/docs/67006/sqm120n0.pdf" TargetMode="External"/><Relationship Id="rId52" Type="http://schemas.openxmlformats.org/officeDocument/2006/relationships/hyperlink" Target="https://www.vishay.com/quality/pcn-doc/PCN-SIL-037-2014-Rev-1/PCN-SIL-0372014%20EOL%20with%20Replacement.pdf/" TargetMode="External"/><Relationship Id="rId60" Type="http://schemas.openxmlformats.org/officeDocument/2006/relationships/hyperlink" Target="https://www.vishay.com/quality/pcn-doc/PCN-SIL-045-2014-Rev-3/PCN-SIL-0452014%20Rev3%20EOL%20with%2090M%20Replacement.pdf/" TargetMode="External"/><Relationship Id="rId65" Type="http://schemas.openxmlformats.org/officeDocument/2006/relationships/hyperlink" Target="https://www.vishay.com/quality/pcn-doc/PCN-SIL-051-2014-Rev-1/PCN-SIL-0512014%20EOL%20with%20300M%20Replacement.pdf/" TargetMode="External"/><Relationship Id="rId73" Type="http://schemas.openxmlformats.org/officeDocument/2006/relationships/hyperlink" Target="https://www.vishay.com/quality/pcn-doc/PCN-SIL-058-2013-Rev-0/PCN-SIL-0582013%20Commercial%20LVM%20End%20of%20Life.pdf/" TargetMode="External"/><Relationship Id="rId78" Type="http://schemas.openxmlformats.org/officeDocument/2006/relationships/hyperlink" Target="https://www.mouser.fr/datasheet/2/427/sq2361ees-1765392.pdf" TargetMode="External"/><Relationship Id="rId81" Type="http://schemas.openxmlformats.org/officeDocument/2006/relationships/hyperlink" Target="https://www.mouser.fr/datasheet/2/427/si1539dl-1765561.pdf" TargetMode="External"/><Relationship Id="rId86" Type="http://schemas.openxmlformats.org/officeDocument/2006/relationships/hyperlink" Target="https://www.vishay.com/quality/pcn-doc/PTN-SIL-00015-2008-Rev-0/PCN-SIL-0152018%20Commercial%20LVM%20End%20of%20Life%20rev1.pdf/" TargetMode="External"/><Relationship Id="rId94" Type="http://schemas.openxmlformats.org/officeDocument/2006/relationships/hyperlink" Target="https://www.vishay.com/quality/pcn-doc/PTN-SIL-013-2021-REV-0/PTN-SIL-013-2021-REV-0-VERSION-2403.pdf/" TargetMode="External"/><Relationship Id="rId99" Type="http://schemas.openxmlformats.org/officeDocument/2006/relationships/hyperlink" Target="https://www.mouser.fr/datasheet/2/427/VISH_S_A0003419857_1-2568873.pdf" TargetMode="External"/><Relationship Id="rId101" Type="http://schemas.openxmlformats.org/officeDocument/2006/relationships/hyperlink" Target="https://www.mouser.fr/datasheet/2/427/VISH_S_A0001185333_1-2567160.pdf" TargetMode="External"/><Relationship Id="rId4" Type="http://schemas.openxmlformats.org/officeDocument/2006/relationships/hyperlink" Target="https://www.vishay.com/quality/pcn-doc/PCN-SIL-005-2015-Rev-1/PCN-SIL-0052015%20Auto%20SQ3427EEV%20PTN.pdf/" TargetMode="External"/><Relationship Id="rId9" Type="http://schemas.openxmlformats.org/officeDocument/2006/relationships/hyperlink" Target="https://www.vishay.com/quality/pcn-doc/PCN-SIL-0112010/PCN-SIL-0112010%20PPAK2x5%20Obsolescence.pdf/" TargetMode="External"/><Relationship Id="rId13" Type="http://schemas.openxmlformats.org/officeDocument/2006/relationships/hyperlink" Target="https://www.vishay.com/quality/pcn-doc/PCN-SIL-013-2015-Rev-1/PCN-SIL-0132015%20Commercial%20LVM%20End%20of%20Life%20rev1.pdf/" TargetMode="External"/><Relationship Id="rId18" Type="http://schemas.openxmlformats.org/officeDocument/2006/relationships/hyperlink" Target="https://www.vishay.com/quality/pcn-doc/PCN-SIL-014-2014-Rev-1/PCN-SIL-0142014%20Change%20to%20SQM120N04-1m7L-GE3%20Rev1.pdf/" TargetMode="External"/><Relationship Id="rId39" Type="http://schemas.openxmlformats.org/officeDocument/2006/relationships/hyperlink" Target="https://www.vishay.com/quality/pcn-doc/PCN-SIL-0262010/PCN-SIL-0262010%20Automotive%20MOSFET%208M%2012M%20EOL.pdf/" TargetMode="External"/><Relationship Id="rId34" Type="http://schemas.openxmlformats.org/officeDocument/2006/relationships/hyperlink" Target="https://www.vishay.com/quality/pcn-doc/PCN-SIL-025-2014-Rev-1/PCN-SIL-0252014%20EOL%20with%20Replacement.pdf/" TargetMode="External"/><Relationship Id="rId50" Type="http://schemas.openxmlformats.org/officeDocument/2006/relationships/hyperlink" Target="https://www.vishay.com/quality/pcn-doc/PCN-SIL-035-2011-Rev-0/PCN-SIL-0352011%20Commerical%20Power%20MOSFET%20Obsolescence.pdf/" TargetMode="External"/><Relationship Id="rId55" Type="http://schemas.openxmlformats.org/officeDocument/2006/relationships/hyperlink" Target="https://www.mouser.fr/datasheet/2/427/71937-1765798.pdf" TargetMode="External"/><Relationship Id="rId76" Type="http://schemas.openxmlformats.org/officeDocument/2006/relationships/hyperlink" Target="https://www.mouser.fr/datasheet/2/427/sqm110n0-1765082.pdf" TargetMode="External"/><Relationship Id="rId97" Type="http://schemas.openxmlformats.org/officeDocument/2006/relationships/hyperlink" Target="https://www.mouser.fr/datasheet/2/427/VISH_S_A0001234431_1-2567492.pdf" TargetMode="External"/><Relationship Id="rId104" Type="http://schemas.openxmlformats.org/officeDocument/2006/relationships/hyperlink" Target="https://www.vishay.com/quality/pcn-doc/PTN-SIL-035-2021-REV-0/PTN-SIL-035-2021-REV-0.pdf/" TargetMode="External"/><Relationship Id="rId7" Type="http://schemas.openxmlformats.org/officeDocument/2006/relationships/hyperlink" Target="https://www.vishay.com/quality/pcn-doc/PCN-SIL-009-2016-Rev-1/PCN-SIL-0092016%20Commercial%20LVM%20End%20of%20Liferev1.pdf/" TargetMode="External"/><Relationship Id="rId71" Type="http://schemas.openxmlformats.org/officeDocument/2006/relationships/hyperlink" Target="https://www.vishay.com/quality/pcn-doc/PCN-SIL-057-2013-Rev-0/PCN-SIL-0572013%20Product%20Obsolescence.pdf/" TargetMode="External"/><Relationship Id="rId92" Type="http://schemas.openxmlformats.org/officeDocument/2006/relationships/hyperlink" Target="https://www.vishay.com/quality/pcn-doc/PTN-SIL-003-2021-REV-0/PTN-SIL-003-2021-REV-0.pdf/" TargetMode="External"/><Relationship Id="rId2" Type="http://schemas.openxmlformats.org/officeDocument/2006/relationships/hyperlink" Target="https://www.mouser.fr/datasheet/2/427/72064-1765636.pdf" TargetMode="External"/><Relationship Id="rId29" Type="http://schemas.openxmlformats.org/officeDocument/2006/relationships/hyperlink" Target="https://www.vishay.com/quality/pcn-doc/PCN-SIL-021-2014-Rev-1/PCN-SIL-0212014%20EOL%20with%20Replacement.pdf/" TargetMode="External"/><Relationship Id="rId24" Type="http://schemas.openxmlformats.org/officeDocument/2006/relationships/hyperlink" Target="https://www.vishay.com/quality/pcn-doc/PCN-SIL-017-2015-Rev-0/PCN-SIL-0172015%20Commercial%20HVM%20End%20of%20Life.pdf/" TargetMode="External"/><Relationship Id="rId40" Type="http://schemas.openxmlformats.org/officeDocument/2006/relationships/hyperlink" Target="https://www.mouser.fr/datasheet/2/427/sq4946ey-1766526.pdf" TargetMode="External"/><Relationship Id="rId45" Type="http://schemas.openxmlformats.org/officeDocument/2006/relationships/hyperlink" Target="https://www.vishay.com/quality/pcn-doc/PCN-SIL-029-2014-Rev-1/PCN-SIL-0292014%20EOL%20with%20Replacement%20SQM120N04-1m9.pdf/" TargetMode="External"/><Relationship Id="rId66" Type="http://schemas.openxmlformats.org/officeDocument/2006/relationships/hyperlink" Target="https://www.vishay.com/docs/71481/sqs466ee.pdf" TargetMode="External"/><Relationship Id="rId87" Type="http://schemas.openxmlformats.org/officeDocument/2006/relationships/hyperlink" Target="https://www.mouser.fr/datasheet/2/427/SI1400DL-1765743.pdf" TargetMode="External"/><Relationship Id="rId61" Type="http://schemas.openxmlformats.org/officeDocument/2006/relationships/hyperlink" Target="https://www.mouser.fr/datasheet/2/427/sq4936ey-1764823.pdf" TargetMode="External"/><Relationship Id="rId82" Type="http://schemas.openxmlformats.org/officeDocument/2006/relationships/hyperlink" Target="https://www.vishay.com/quality/pcn-doc/PCN-SIL-107-2014-Rev-0/PCN-SIL-1072014%20Commercial%20LVM%20End%20of%20Life.pdf/" TargetMode="External"/><Relationship Id="rId19" Type="http://schemas.openxmlformats.org/officeDocument/2006/relationships/hyperlink" Target="https://www.vishay.com/quality/pcn-doc/PCN-SIL-015-2014-Rev-1/PCN-SIL-0152014%20EOL%20with%20Replacement%20Rev1.pdf/" TargetMode="External"/><Relationship Id="rId14" Type="http://schemas.openxmlformats.org/officeDocument/2006/relationships/hyperlink" Target="https://www.mouser.fr/datasheet/2/427/si7356ad-1766103.pdf" TargetMode="External"/><Relationship Id="rId30" Type="http://schemas.openxmlformats.org/officeDocument/2006/relationships/hyperlink" Target="https://www.vishay.com/docs/74401/50np0462.pdf" TargetMode="External"/><Relationship Id="rId35" Type="http://schemas.openxmlformats.org/officeDocument/2006/relationships/hyperlink" Target="https://www.vishay.com/quality/pcn-doc/PCN-SIL-025-2015-Rev-0/PCN-SIL-0252015%20Commercial%20LVM%20End%20of%20Life%20revA.pdf/" TargetMode="External"/><Relationship Id="rId56" Type="http://schemas.openxmlformats.org/officeDocument/2006/relationships/hyperlink" Target="https://www.vishay.com/quality/pcn-doc/PCN-SIL-039-2016-Rev-0/PCN-SIL-0392016%20Commercial%20LVM%20End%20of%20Life.pdf/" TargetMode="External"/><Relationship Id="rId77" Type="http://schemas.openxmlformats.org/officeDocument/2006/relationships/hyperlink" Target="https://www.vishay.com/quality/pcn-doc/PCN-SIL-081-2014-Rev-1/PCN-SIL-0812014%20Auto%20PTN%20with%20300M%20Replacement.pdf/" TargetMode="External"/><Relationship Id="rId100" Type="http://schemas.openxmlformats.org/officeDocument/2006/relationships/hyperlink" Target="https://www.vishay.com/quality/pcn-doc/PTN-SIL-030-2021-REV-0/PTN-SIL-030-2021-REV-0.pdf/" TargetMode="External"/><Relationship Id="rId105" Type="http://schemas.openxmlformats.org/officeDocument/2006/relationships/hyperlink" Target="https://www.mouser.fr/datasheet/2/427/VISH_S_A0001221802_1-2567260.pdf" TargetMode="External"/><Relationship Id="rId8" Type="http://schemas.openxmlformats.org/officeDocument/2006/relationships/hyperlink" Target="https://www.mouser.fr/datasheet/2/427/si1411dh-1766242.pdf" TargetMode="External"/><Relationship Id="rId51" Type="http://schemas.openxmlformats.org/officeDocument/2006/relationships/hyperlink" Target="https://www.vishay.com/quality/pcn-doc/PCN-SIL-035-2014-Rev-1/PCN-SIL-0352014%20EOL%20with%20Replacement.pdf/" TargetMode="External"/><Relationship Id="rId72" Type="http://schemas.openxmlformats.org/officeDocument/2006/relationships/hyperlink" Target="https://www.mouser.fr/datasheet/2/427/si1046r-1766529.pdf" TargetMode="External"/><Relationship Id="rId93" Type="http://schemas.openxmlformats.org/officeDocument/2006/relationships/hyperlink" Target="https://www.mouser.fr/datasheet/2/427/VISH_S_A0001185100_1-2567244.pdf" TargetMode="External"/><Relationship Id="rId98" Type="http://schemas.openxmlformats.org/officeDocument/2006/relationships/hyperlink" Target="https://www.vishay.com/quality/pcn-doc/PTN-SIL-020-2021-REV-0/PTN-SIL-020-2021-REV-0.pdf/" TargetMode="External"/><Relationship Id="rId3" Type="http://schemas.openxmlformats.org/officeDocument/2006/relationships/hyperlink" Target="https://www.vishay.com/docs/72705/2n70000k.pdf" TargetMode="External"/><Relationship Id="rId25" Type="http://schemas.openxmlformats.org/officeDocument/2006/relationships/hyperlink" Target="https://www.vishay.com/quality/pcn-doc/PCN-SIL-018-2015-Rev-0/PCN-SIL-0182015%20EOL%20Q2%20Pb%20Lead%20Finish%20Rev0.pdf/" TargetMode="External"/><Relationship Id="rId46" Type="http://schemas.openxmlformats.org/officeDocument/2006/relationships/hyperlink" Target="https://www.mouser.fr/datasheet/2/427/71166-1765704.pdf" TargetMode="External"/><Relationship Id="rId67" Type="http://schemas.openxmlformats.org/officeDocument/2006/relationships/hyperlink" Target="https://www.vishay.com/quality/pcn-doc/PCN-SIL-053-2014-Rev-1/PCN-SIL-0532014%20Auto%20PTN%20with%2045M%20Replacement.pdf/" TargetMode="Externa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46"/>
  <sheetViews>
    <sheetView topLeftCell="A29" zoomScaleNormal="100" workbookViewId="0">
      <selection activeCell="C48" sqref="C48"/>
    </sheetView>
  </sheetViews>
  <sheetFormatPr baseColWidth="10" defaultRowHeight="14.4"/>
  <cols>
    <col min="1" max="1" width="11.578125" customWidth="1"/>
  </cols>
  <sheetData>
    <row r="1" spans="1:5">
      <c r="A1" s="214" t="s">
        <v>4887</v>
      </c>
    </row>
    <row r="2" spans="1:5">
      <c r="B2" t="s">
        <v>4888</v>
      </c>
    </row>
    <row r="3" spans="1:5">
      <c r="B3" t="s">
        <v>4889</v>
      </c>
    </row>
    <row r="4" spans="1:5">
      <c r="B4" t="s">
        <v>4890</v>
      </c>
    </row>
    <row r="5" spans="1:5">
      <c r="B5" t="s">
        <v>4891</v>
      </c>
    </row>
    <row r="7" spans="1:5">
      <c r="A7" s="9" t="s">
        <v>4852</v>
      </c>
    </row>
    <row r="8" spans="1:5">
      <c r="B8" t="s">
        <v>4853</v>
      </c>
    </row>
    <row r="9" spans="1:5">
      <c r="C9" t="s">
        <v>4854</v>
      </c>
    </row>
    <row r="10" spans="1:5">
      <c r="C10" t="s">
        <v>4855</v>
      </c>
    </row>
    <row r="11" spans="1:5">
      <c r="C11" t="s">
        <v>4856</v>
      </c>
    </row>
    <row r="12" spans="1:5">
      <c r="C12" t="s">
        <v>4857</v>
      </c>
    </row>
    <row r="13" spans="1:5">
      <c r="C13" t="s">
        <v>4858</v>
      </c>
    </row>
    <row r="14" spans="1:5">
      <c r="B14" t="s">
        <v>4860</v>
      </c>
    </row>
    <row r="15" spans="1:5">
      <c r="C15" s="211" t="s">
        <v>4859</v>
      </c>
    </row>
    <row r="16" spans="1:5">
      <c r="C16" s="9" t="s">
        <v>4861</v>
      </c>
      <c r="E16" s="213"/>
    </row>
    <row r="17" spans="1:5">
      <c r="C17" s="9" t="s">
        <v>4862</v>
      </c>
      <c r="E17" s="213"/>
    </row>
    <row r="18" spans="1:5">
      <c r="C18" s="211" t="s">
        <v>4863</v>
      </c>
      <c r="E18" s="213"/>
    </row>
    <row r="19" spans="1:5">
      <c r="C19" s="9" t="s">
        <v>4864</v>
      </c>
      <c r="E19" s="213"/>
    </row>
    <row r="20" spans="1:5">
      <c r="C20" s="9" t="s">
        <v>4865</v>
      </c>
      <c r="E20" s="213"/>
    </row>
    <row r="21" spans="1:5">
      <c r="C21" s="9" t="s">
        <v>4866</v>
      </c>
      <c r="E21" s="213"/>
    </row>
    <row r="22" spans="1:5">
      <c r="C22" s="211" t="s">
        <v>4867</v>
      </c>
      <c r="E22" s="213"/>
    </row>
    <row r="23" spans="1:5">
      <c r="C23" s="9" t="s">
        <v>4868</v>
      </c>
      <c r="E23" s="213"/>
    </row>
    <row r="24" spans="1:5">
      <c r="C24" s="9" t="s">
        <v>4869</v>
      </c>
      <c r="E24" s="213"/>
    </row>
    <row r="25" spans="1:5">
      <c r="C25" s="9" t="s">
        <v>4870</v>
      </c>
      <c r="E25" s="213"/>
    </row>
    <row r="27" spans="1:5">
      <c r="A27" s="211" t="s">
        <v>4859</v>
      </c>
    </row>
    <row r="28" spans="1:5">
      <c r="B28" t="s">
        <v>4871</v>
      </c>
    </row>
    <row r="29" spans="1:5">
      <c r="B29" t="s">
        <v>4873</v>
      </c>
    </row>
    <row r="30" spans="1:5">
      <c r="B30" t="s">
        <v>4872</v>
      </c>
    </row>
    <row r="31" spans="1:5">
      <c r="B31" t="s">
        <v>4874</v>
      </c>
    </row>
    <row r="32" spans="1:5">
      <c r="C32" s="211" t="s">
        <v>4875</v>
      </c>
    </row>
    <row r="33" spans="1:4">
      <c r="B33" t="s">
        <v>4876</v>
      </c>
    </row>
    <row r="34" spans="1:4">
      <c r="B34" t="s">
        <v>4877</v>
      </c>
    </row>
    <row r="36" spans="1:4">
      <c r="A36" t="s">
        <v>4878</v>
      </c>
      <c r="B36" s="9" t="s">
        <v>4861</v>
      </c>
      <c r="C36" s="212" t="s">
        <v>4879</v>
      </c>
      <c r="D36" s="9" t="s">
        <v>4870</v>
      </c>
    </row>
    <row r="37" spans="1:4">
      <c r="B37" t="s">
        <v>4881</v>
      </c>
    </row>
    <row r="38" spans="1:4">
      <c r="B38" t="s">
        <v>4880</v>
      </c>
    </row>
    <row r="40" spans="1:4">
      <c r="B40" t="s">
        <v>4882</v>
      </c>
    </row>
    <row r="41" spans="1:4">
      <c r="B41" t="s">
        <v>4883</v>
      </c>
    </row>
    <row r="42" spans="1:4">
      <c r="B42" t="s">
        <v>4884</v>
      </c>
    </row>
    <row r="43" spans="1:4">
      <c r="B43" t="s">
        <v>4885</v>
      </c>
    </row>
    <row r="45" spans="1:4">
      <c r="A45" s="211" t="s">
        <v>4875</v>
      </c>
    </row>
    <row r="46" spans="1:4">
      <c r="B46" t="s">
        <v>4886</v>
      </c>
    </row>
  </sheetData>
  <hyperlinks>
    <hyperlink ref="A7" location="Graphiques!A1" display="Graphiques!A1"/>
    <hyperlink ref="A27" location="'VISHAY Composant'!A1" display="'VISHAY Composant'!A1"/>
    <hyperlink ref="C15" location="'VISHAY Composant'!A1" display="'VISHAY Composant'!A1"/>
    <hyperlink ref="C16" location="Capacitors!A1" display="Capacitors!A1"/>
    <hyperlink ref="C17" location="Connectors!A1" display="Connectors!A1"/>
    <hyperlink ref="C18" location="'Diode '!A1" display="'Diode '!A1"/>
    <hyperlink ref="C19" location="ICS!A1" display="ICS!A1"/>
    <hyperlink ref="C20" location="Inductors!A1" display="Inductors!A1"/>
    <hyperlink ref="C21" location="Modules!A1" display="Modules!A1"/>
    <hyperlink ref="C22" location="'Multilayer smd'!A1" display="'Multilayer smd'!A1"/>
    <hyperlink ref="C23" location="Optoelectronics!A1" display="Optoelectronics!A1"/>
    <hyperlink ref="C24" location="Résistance!A1" display="Résistance!A1"/>
    <hyperlink ref="C25" location="Transistor!A1" display="Transistor!A1"/>
    <hyperlink ref="C32" location="'VISHAY Extraction Ui Path'!A1" display="'VISHAY Extraction Ui Path'!A1"/>
    <hyperlink ref="B36" location="Capacitors!A1" display="Capacitors!A1"/>
    <hyperlink ref="D36" location="Transistor!A1" display="Transistor!A1"/>
    <hyperlink ref="A45" location="'VISHAY Extraction Ui Path'!A1" display="'VISHAY Extraction Ui Path'!A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U1"/>
  <sheetViews>
    <sheetView topLeftCell="AI1" zoomScale="85" zoomScaleNormal="85" workbookViewId="0">
      <selection activeCell="AS86" sqref="AS85:AS86"/>
    </sheetView>
  </sheetViews>
  <sheetFormatPr baseColWidth="10" defaultRowHeight="14.4"/>
  <cols>
    <col min="1" max="1" width="10.83984375" customWidth="1"/>
  </cols>
  <sheetData>
    <row r="1" spans="1:99">
      <c r="A1" s="246" t="s">
        <v>4847</v>
      </c>
      <c r="B1" s="246"/>
      <c r="C1" s="246"/>
      <c r="D1" s="246"/>
      <c r="E1" s="246"/>
      <c r="F1" s="246"/>
      <c r="G1" s="246"/>
      <c r="H1" s="246"/>
      <c r="I1" s="246"/>
      <c r="J1" s="246" t="s">
        <v>529</v>
      </c>
      <c r="K1" s="246"/>
      <c r="L1" s="246"/>
      <c r="M1" s="246"/>
      <c r="N1" s="246"/>
      <c r="O1" s="246"/>
      <c r="P1" s="246"/>
      <c r="Q1" s="246"/>
      <c r="R1" s="246"/>
      <c r="S1" s="246" t="s">
        <v>952</v>
      </c>
      <c r="T1" s="246"/>
      <c r="U1" s="246"/>
      <c r="V1" s="246"/>
      <c r="W1" s="246"/>
      <c r="X1" s="246"/>
      <c r="Y1" s="246"/>
      <c r="Z1" s="246"/>
      <c r="AA1" s="246"/>
      <c r="AB1" s="246" t="s">
        <v>21</v>
      </c>
      <c r="AC1" s="246"/>
      <c r="AD1" s="246"/>
      <c r="AE1" s="246"/>
      <c r="AF1" s="246"/>
      <c r="AG1" s="246"/>
      <c r="AH1" s="246"/>
      <c r="AI1" s="246"/>
      <c r="AJ1" s="246"/>
      <c r="AK1" s="246" t="s">
        <v>1971</v>
      </c>
      <c r="AL1" s="246"/>
      <c r="AM1" s="246"/>
      <c r="AN1" s="246"/>
      <c r="AO1" s="246"/>
      <c r="AP1" s="246"/>
      <c r="AQ1" s="246"/>
      <c r="AR1" s="246"/>
      <c r="AS1" s="246"/>
      <c r="AT1" s="246" t="s">
        <v>909</v>
      </c>
      <c r="AU1" s="246"/>
      <c r="AV1" s="246"/>
      <c r="AW1" s="246"/>
      <c r="AX1" s="246"/>
      <c r="AY1" s="246"/>
      <c r="AZ1" s="246"/>
      <c r="BA1" s="246"/>
      <c r="BB1" s="246"/>
      <c r="BC1" s="246" t="s">
        <v>763</v>
      </c>
      <c r="BD1" s="246"/>
      <c r="BE1" s="246"/>
      <c r="BF1" s="246"/>
      <c r="BG1" s="246"/>
      <c r="BH1" s="246"/>
      <c r="BI1" s="246"/>
      <c r="BJ1" s="246"/>
      <c r="BK1" s="246"/>
      <c r="BL1" s="246" t="s">
        <v>4848</v>
      </c>
      <c r="BM1" s="246"/>
      <c r="BN1" s="246"/>
      <c r="BO1" s="246"/>
      <c r="BP1" s="246"/>
      <c r="BQ1" s="246"/>
      <c r="BR1" s="246"/>
      <c r="BS1" s="246"/>
      <c r="BT1" s="246"/>
      <c r="BU1" s="246" t="s">
        <v>1149</v>
      </c>
      <c r="BV1" s="246"/>
      <c r="BW1" s="246"/>
      <c r="BX1" s="246"/>
      <c r="BY1" s="246"/>
      <c r="BZ1" s="246"/>
      <c r="CA1" s="246"/>
      <c r="CB1" s="246"/>
      <c r="CC1" s="246"/>
      <c r="CD1" s="246" t="s">
        <v>4849</v>
      </c>
      <c r="CE1" s="246"/>
      <c r="CF1" s="246"/>
      <c r="CG1" s="246"/>
      <c r="CH1" s="246"/>
      <c r="CI1" s="246"/>
      <c r="CJ1" s="246"/>
      <c r="CK1" s="246"/>
      <c r="CL1" s="246"/>
      <c r="CM1" s="246" t="s">
        <v>4850</v>
      </c>
      <c r="CN1" s="246"/>
      <c r="CO1" s="246"/>
      <c r="CP1" s="246"/>
      <c r="CQ1" s="246"/>
      <c r="CR1" s="246"/>
      <c r="CS1" s="246"/>
      <c r="CT1" s="246"/>
      <c r="CU1" s="246"/>
    </row>
  </sheetData>
  <mergeCells count="11">
    <mergeCell ref="CD1:CL1"/>
    <mergeCell ref="CM1:CU1"/>
    <mergeCell ref="AB1:AJ1"/>
    <mergeCell ref="AK1:AS1"/>
    <mergeCell ref="AT1:BB1"/>
    <mergeCell ref="BC1:BK1"/>
    <mergeCell ref="A1:I1"/>
    <mergeCell ref="J1:R1"/>
    <mergeCell ref="S1:AA1"/>
    <mergeCell ref="BL1:BT1"/>
    <mergeCell ref="BU1:CC1"/>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Q10000"/>
  <sheetViews>
    <sheetView zoomScale="55" zoomScaleNormal="55" workbookViewId="0">
      <pane xSplit="1" topLeftCell="H1" activePane="topRight" state="frozen"/>
      <selection pane="topRight" activeCell="B2" sqref="B2"/>
    </sheetView>
  </sheetViews>
  <sheetFormatPr baseColWidth="10" defaultColWidth="61.41796875" defaultRowHeight="14.4"/>
  <cols>
    <col min="1" max="1" width="21.41796875" style="111" customWidth="1"/>
    <col min="2" max="2" width="74.41796875" style="81" customWidth="1"/>
    <col min="3" max="3" width="47.578125" style="24" customWidth="1"/>
    <col min="4" max="4" width="40.41796875" style="24" customWidth="1"/>
    <col min="5" max="5" width="107.578125" style="24" customWidth="1"/>
    <col min="6" max="6" width="19" style="41" customWidth="1"/>
    <col min="7" max="7" width="13.83984375" style="151" customWidth="1"/>
    <col min="8" max="8" width="22.578125" style="147" customWidth="1"/>
    <col min="9" max="9" width="21.578125" style="136" customWidth="1"/>
    <col min="10" max="10" width="61.578125" style="133" customWidth="1"/>
    <col min="11" max="11" width="35" style="24" customWidth="1"/>
    <col min="12" max="12" width="26.578125" style="24" customWidth="1"/>
    <col min="13" max="13" width="48.41796875" style="24" customWidth="1"/>
    <col min="14" max="14" width="61.41796875" customWidth="1"/>
    <col min="15" max="15" width="47" customWidth="1"/>
    <col min="16" max="16" width="12" customWidth="1"/>
    <col min="16381" max="16384" width="9.15625" customWidth="1"/>
  </cols>
  <sheetData>
    <row r="1" spans="1:17" ht="26.1" customHeight="1">
      <c r="A1" s="120" t="s">
        <v>518</v>
      </c>
      <c r="B1" s="112" t="s">
        <v>519</v>
      </c>
      <c r="C1" s="102" t="s">
        <v>520</v>
      </c>
      <c r="D1" s="102" t="s">
        <v>521</v>
      </c>
      <c r="E1" s="102" t="s">
        <v>522</v>
      </c>
      <c r="F1" s="127" t="s">
        <v>523</v>
      </c>
      <c r="G1" s="148" t="s">
        <v>524</v>
      </c>
      <c r="H1" s="141" t="s">
        <v>525</v>
      </c>
      <c r="I1" s="137" t="s">
        <v>526</v>
      </c>
      <c r="J1" s="127" t="s">
        <v>12</v>
      </c>
      <c r="K1" s="103" t="s">
        <v>14</v>
      </c>
      <c r="L1" s="103" t="s">
        <v>15</v>
      </c>
      <c r="M1" s="103" t="s">
        <v>16</v>
      </c>
    </row>
    <row r="2" spans="1:17" ht="20.100000000000001" customHeight="1">
      <c r="A2" s="105" t="s">
        <v>527</v>
      </c>
      <c r="B2" s="113" t="s">
        <v>528</v>
      </c>
      <c r="C2" s="104" t="s">
        <v>529</v>
      </c>
      <c r="D2" s="104" t="s">
        <v>530</v>
      </c>
      <c r="E2" s="104" t="s">
        <v>531</v>
      </c>
      <c r="F2" s="139" t="s">
        <v>532</v>
      </c>
      <c r="G2" s="149">
        <v>42203</v>
      </c>
      <c r="H2" s="142" t="s">
        <v>533</v>
      </c>
      <c r="I2" s="108">
        <v>42551</v>
      </c>
      <c r="J2" s="128" t="s">
        <v>534</v>
      </c>
      <c r="K2" s="24" t="s">
        <v>73</v>
      </c>
      <c r="L2" s="24" t="s">
        <v>74</v>
      </c>
      <c r="M2" s="134" t="e">
        <f>DATEDIF(G2,H2,"m")</f>
        <v>#VALUE!</v>
      </c>
      <c r="O2" s="36" t="s">
        <v>14</v>
      </c>
      <c r="P2" s="34"/>
    </row>
    <row r="3" spans="1:17" ht="29.25" customHeight="1">
      <c r="A3" s="105" t="s">
        <v>535</v>
      </c>
      <c r="B3" s="114" t="s">
        <v>536</v>
      </c>
      <c r="C3" s="104" t="s">
        <v>529</v>
      </c>
      <c r="D3" s="104" t="s">
        <v>530</v>
      </c>
      <c r="E3" s="104" t="s">
        <v>537</v>
      </c>
      <c r="F3" s="139" t="s">
        <v>538</v>
      </c>
      <c r="G3" s="149">
        <v>40422</v>
      </c>
      <c r="H3" s="143">
        <v>40602</v>
      </c>
      <c r="I3" s="108">
        <v>40706</v>
      </c>
      <c r="J3" s="128" t="s">
        <v>539</v>
      </c>
      <c r="K3" s="24" t="s">
        <v>73</v>
      </c>
      <c r="L3" s="24" t="s">
        <v>74</v>
      </c>
      <c r="M3" s="134">
        <f>DATEDIF(G3,H3,"m")</f>
        <v>5</v>
      </c>
      <c r="O3" s="5" t="s">
        <v>540</v>
      </c>
      <c r="P3" s="1">
        <f t="shared" ref="P3:P8" si="0">COUNTIF($K$2:$K$620,O3)</f>
        <v>70</v>
      </c>
      <c r="Q3" s="62" t="s">
        <v>541</v>
      </c>
    </row>
    <row r="4" spans="1:17" ht="20.100000000000001" customHeight="1">
      <c r="A4" s="105" t="s">
        <v>542</v>
      </c>
      <c r="B4" s="115" t="s">
        <v>543</v>
      </c>
      <c r="C4" s="104" t="s">
        <v>529</v>
      </c>
      <c r="D4" s="104" t="s">
        <v>530</v>
      </c>
      <c r="E4" s="104" t="s">
        <v>544</v>
      </c>
      <c r="F4" s="139" t="s">
        <v>545</v>
      </c>
      <c r="G4" s="149">
        <v>40893</v>
      </c>
      <c r="H4" s="143" t="s">
        <v>546</v>
      </c>
      <c r="I4" s="108"/>
      <c r="J4" s="128" t="s">
        <v>547</v>
      </c>
      <c r="K4" s="24" t="s">
        <v>73</v>
      </c>
      <c r="L4" s="24" t="s">
        <v>74</v>
      </c>
      <c r="M4" s="134" t="e">
        <f t="shared" ref="M4:M66" si="1">DATEDIF(G4,H4,"m")</f>
        <v>#VALUE!</v>
      </c>
      <c r="O4" s="5" t="s">
        <v>55</v>
      </c>
      <c r="P4" s="1">
        <f t="shared" si="0"/>
        <v>18</v>
      </c>
    </row>
    <row r="5" spans="1:17" ht="20.100000000000001" customHeight="1">
      <c r="A5" s="105" t="s">
        <v>548</v>
      </c>
      <c r="B5" s="116" t="s">
        <v>549</v>
      </c>
      <c r="C5" s="104" t="s">
        <v>529</v>
      </c>
      <c r="D5" s="104" t="s">
        <v>530</v>
      </c>
      <c r="E5" s="104" t="s">
        <v>550</v>
      </c>
      <c r="F5" s="139" t="s">
        <v>551</v>
      </c>
      <c r="G5" s="149">
        <v>41377</v>
      </c>
      <c r="H5" s="143">
        <v>41455</v>
      </c>
      <c r="I5" s="108">
        <v>41486</v>
      </c>
      <c r="J5" s="128" t="s">
        <v>552</v>
      </c>
      <c r="K5" s="24" t="s">
        <v>73</v>
      </c>
      <c r="L5" s="24" t="s">
        <v>74</v>
      </c>
      <c r="M5" s="134">
        <f t="shared" si="1"/>
        <v>2</v>
      </c>
      <c r="O5" s="5" t="s">
        <v>60</v>
      </c>
      <c r="P5" s="1">
        <f t="shared" si="0"/>
        <v>46</v>
      </c>
    </row>
    <row r="6" spans="1:17" ht="20.100000000000001" customHeight="1">
      <c r="A6" s="105" t="s">
        <v>553</v>
      </c>
      <c r="B6" s="123" t="s">
        <v>554</v>
      </c>
      <c r="C6" s="104" t="s">
        <v>529</v>
      </c>
      <c r="D6" s="104" t="s">
        <v>530</v>
      </c>
      <c r="E6" s="104" t="s">
        <v>555</v>
      </c>
      <c r="F6" s="139" t="s">
        <v>556</v>
      </c>
      <c r="G6" s="149">
        <v>40611</v>
      </c>
      <c r="H6" s="143">
        <v>40711</v>
      </c>
      <c r="I6" s="108">
        <v>40755</v>
      </c>
      <c r="J6" t="s">
        <v>557</v>
      </c>
      <c r="K6" s="24" t="s">
        <v>27</v>
      </c>
      <c r="L6" s="24" t="s">
        <v>28</v>
      </c>
      <c r="M6" s="134">
        <f t="shared" si="1"/>
        <v>3</v>
      </c>
      <c r="O6" s="5" t="s">
        <v>36</v>
      </c>
      <c r="P6" s="1">
        <f t="shared" si="0"/>
        <v>79</v>
      </c>
    </row>
    <row r="7" spans="1:17" ht="20.100000000000001" customHeight="1">
      <c r="A7" s="106" t="s">
        <v>558</v>
      </c>
      <c r="B7" s="113" t="s">
        <v>559</v>
      </c>
      <c r="C7" s="104" t="s">
        <v>529</v>
      </c>
      <c r="D7" s="104" t="s">
        <v>560</v>
      </c>
      <c r="E7" s="104" t="s">
        <v>561</v>
      </c>
      <c r="F7" s="139" t="s">
        <v>562</v>
      </c>
      <c r="G7" s="149">
        <v>41821</v>
      </c>
      <c r="H7" s="143">
        <v>42004</v>
      </c>
      <c r="I7" s="108">
        <v>42035</v>
      </c>
      <c r="J7" s="128" t="s">
        <v>552</v>
      </c>
      <c r="K7" s="24" t="s">
        <v>73</v>
      </c>
      <c r="L7" s="24" t="s">
        <v>74</v>
      </c>
      <c r="M7" s="134">
        <f t="shared" si="1"/>
        <v>5</v>
      </c>
      <c r="O7" s="5" t="s">
        <v>75</v>
      </c>
      <c r="P7" s="1">
        <f t="shared" si="0"/>
        <v>29</v>
      </c>
    </row>
    <row r="8" spans="1:17" ht="20.100000000000001" customHeight="1">
      <c r="A8" s="106" t="s">
        <v>563</v>
      </c>
      <c r="B8" s="113" t="s">
        <v>564</v>
      </c>
      <c r="C8" s="104" t="s">
        <v>529</v>
      </c>
      <c r="D8" s="104" t="s">
        <v>530</v>
      </c>
      <c r="E8" s="104" t="s">
        <v>565</v>
      </c>
      <c r="F8" s="139" t="s">
        <v>566</v>
      </c>
      <c r="G8" s="149">
        <v>42552</v>
      </c>
      <c r="H8" s="143">
        <v>42735</v>
      </c>
      <c r="I8" s="108">
        <v>42766</v>
      </c>
      <c r="J8" s="128" t="s">
        <v>567</v>
      </c>
      <c r="K8" s="24" t="s">
        <v>73</v>
      </c>
      <c r="L8" s="24" t="s">
        <v>74</v>
      </c>
      <c r="M8" s="134">
        <f t="shared" si="1"/>
        <v>5</v>
      </c>
      <c r="O8" s="5" t="s">
        <v>27</v>
      </c>
      <c r="P8" s="1">
        <f t="shared" si="0"/>
        <v>119</v>
      </c>
    </row>
    <row r="9" spans="1:17" ht="20.100000000000001" customHeight="1">
      <c r="A9" s="106" t="s">
        <v>568</v>
      </c>
      <c r="B9" s="113" t="s">
        <v>569</v>
      </c>
      <c r="C9" s="104" t="s">
        <v>529</v>
      </c>
      <c r="D9" s="104" t="s">
        <v>570</v>
      </c>
      <c r="E9" s="104" t="s">
        <v>571</v>
      </c>
      <c r="F9" s="139" t="s">
        <v>572</v>
      </c>
      <c r="G9" s="149">
        <v>40442</v>
      </c>
      <c r="H9" s="142">
        <v>40543</v>
      </c>
      <c r="I9" s="109">
        <v>40574</v>
      </c>
      <c r="J9" s="129" t="s">
        <v>552</v>
      </c>
      <c r="K9" s="24" t="s">
        <v>73</v>
      </c>
      <c r="L9" s="24" t="s">
        <v>74</v>
      </c>
      <c r="M9" s="134">
        <f t="shared" si="1"/>
        <v>3</v>
      </c>
      <c r="O9" s="153" t="s">
        <v>73</v>
      </c>
      <c r="P9" s="61">
        <f>COUNTIF($K$2:$K$620,O9)</f>
        <v>218</v>
      </c>
    </row>
    <row r="10" spans="1:17" ht="20.100000000000001" customHeight="1">
      <c r="A10" s="105" t="s">
        <v>573</v>
      </c>
      <c r="B10" s="113" t="s">
        <v>574</v>
      </c>
      <c r="C10" s="104" t="s">
        <v>529</v>
      </c>
      <c r="D10" s="104" t="s">
        <v>530</v>
      </c>
      <c r="E10" s="104" t="s">
        <v>575</v>
      </c>
      <c r="F10" s="139" t="s">
        <v>576</v>
      </c>
      <c r="G10" s="149">
        <v>40639</v>
      </c>
      <c r="H10" s="143">
        <v>40753</v>
      </c>
      <c r="I10" s="108">
        <v>40816</v>
      </c>
      <c r="J10" s="128" t="s">
        <v>577</v>
      </c>
      <c r="K10" s="24" t="s">
        <v>73</v>
      </c>
      <c r="L10" s="24" t="s">
        <v>74</v>
      </c>
      <c r="M10" s="134">
        <f t="shared" si="1"/>
        <v>3</v>
      </c>
      <c r="O10" s="24" t="s">
        <v>578</v>
      </c>
      <c r="P10" s="24">
        <f>COUNTIF($K$2:$K$620,O10)</f>
        <v>5</v>
      </c>
    </row>
    <row r="11" spans="1:17" ht="20.100000000000001" customHeight="1">
      <c r="A11" s="105" t="s">
        <v>579</v>
      </c>
      <c r="B11" s="113" t="s">
        <v>580</v>
      </c>
      <c r="C11" s="104" t="s">
        <v>529</v>
      </c>
      <c r="D11" s="104" t="s">
        <v>570</v>
      </c>
      <c r="E11" s="104" t="s">
        <v>581</v>
      </c>
      <c r="F11" s="139" t="s">
        <v>572</v>
      </c>
      <c r="G11" s="149">
        <v>40442</v>
      </c>
      <c r="H11" s="143">
        <v>40543</v>
      </c>
      <c r="I11" s="108">
        <v>40574</v>
      </c>
      <c r="J11" s="128" t="s">
        <v>582</v>
      </c>
      <c r="K11" s="24" t="s">
        <v>73</v>
      </c>
      <c r="L11" s="24" t="s">
        <v>74</v>
      </c>
      <c r="M11" s="134">
        <f t="shared" si="1"/>
        <v>3</v>
      </c>
      <c r="O11" s="80" t="s">
        <v>80</v>
      </c>
      <c r="P11" s="154">
        <f>SUM(P3:P10)</f>
        <v>584</v>
      </c>
    </row>
    <row r="12" spans="1:17" ht="20.100000000000001" customHeight="1">
      <c r="A12" s="105" t="s">
        <v>583</v>
      </c>
      <c r="B12" s="113" t="s">
        <v>584</v>
      </c>
      <c r="C12" s="104" t="s">
        <v>529</v>
      </c>
      <c r="D12" s="104" t="s">
        <v>570</v>
      </c>
      <c r="E12" s="104" t="s">
        <v>585</v>
      </c>
      <c r="F12" s="139" t="s">
        <v>572</v>
      </c>
      <c r="G12" s="149">
        <v>40442</v>
      </c>
      <c r="H12" s="143">
        <v>40543</v>
      </c>
      <c r="I12" s="108">
        <v>40574</v>
      </c>
      <c r="J12" s="128" t="s">
        <v>582</v>
      </c>
      <c r="K12" s="24" t="s">
        <v>73</v>
      </c>
      <c r="L12" s="24" t="s">
        <v>74</v>
      </c>
      <c r="M12" s="134">
        <f t="shared" si="1"/>
        <v>3</v>
      </c>
    </row>
    <row r="13" spans="1:17" ht="20.100000000000001" customHeight="1">
      <c r="A13" s="105" t="s">
        <v>586</v>
      </c>
      <c r="B13" s="113" t="s">
        <v>587</v>
      </c>
      <c r="C13" s="104" t="s">
        <v>529</v>
      </c>
      <c r="D13" s="104" t="s">
        <v>570</v>
      </c>
      <c r="E13" s="104" t="s">
        <v>588</v>
      </c>
      <c r="F13" s="139" t="s">
        <v>589</v>
      </c>
      <c r="G13" s="149">
        <v>40810</v>
      </c>
      <c r="H13" s="143">
        <v>40894</v>
      </c>
      <c r="I13" s="108">
        <v>40907</v>
      </c>
      <c r="J13" s="128" t="s">
        <v>552</v>
      </c>
      <c r="K13" s="24" t="s">
        <v>73</v>
      </c>
      <c r="L13" s="24" t="s">
        <v>74</v>
      </c>
      <c r="M13" s="134">
        <f t="shared" si="1"/>
        <v>2</v>
      </c>
      <c r="O13" s="36" t="s">
        <v>590</v>
      </c>
      <c r="P13" s="34"/>
    </row>
    <row r="14" spans="1:17" ht="20.100000000000001" customHeight="1">
      <c r="A14" s="106" t="s">
        <v>591</v>
      </c>
      <c r="B14" s="113" t="s">
        <v>592</v>
      </c>
      <c r="C14" s="104" t="s">
        <v>529</v>
      </c>
      <c r="D14" s="104" t="s">
        <v>530</v>
      </c>
      <c r="E14" s="104" t="s">
        <v>593</v>
      </c>
      <c r="F14" s="139" t="s">
        <v>594</v>
      </c>
      <c r="G14" s="149">
        <v>41585</v>
      </c>
      <c r="H14" s="143">
        <v>40711</v>
      </c>
      <c r="I14" s="108">
        <v>40753</v>
      </c>
      <c r="J14" s="128" t="s">
        <v>595</v>
      </c>
      <c r="K14" s="24" t="s">
        <v>27</v>
      </c>
      <c r="L14" s="24" t="s">
        <v>28</v>
      </c>
      <c r="M14" s="134" t="e">
        <f t="shared" si="1"/>
        <v>#NUM!</v>
      </c>
      <c r="O14" s="5" t="s">
        <v>28</v>
      </c>
      <c r="P14" s="1">
        <f>COUNTIF($L$2:$L$620,O14)</f>
        <v>257</v>
      </c>
    </row>
    <row r="15" spans="1:17" ht="20.100000000000001" customHeight="1">
      <c r="A15" s="105" t="s">
        <v>596</v>
      </c>
      <c r="B15" s="113" t="s">
        <v>597</v>
      </c>
      <c r="C15" s="104" t="s">
        <v>529</v>
      </c>
      <c r="D15" s="104" t="s">
        <v>530</v>
      </c>
      <c r="E15" s="104" t="s">
        <v>598</v>
      </c>
      <c r="F15" s="139" t="s">
        <v>599</v>
      </c>
      <c r="G15" s="149">
        <v>40810</v>
      </c>
      <c r="H15" s="143">
        <v>40877</v>
      </c>
      <c r="I15" s="108">
        <v>40907</v>
      </c>
      <c r="J15" s="128" t="s">
        <v>552</v>
      </c>
      <c r="K15" s="24" t="s">
        <v>73</v>
      </c>
      <c r="L15" s="24" t="s">
        <v>74</v>
      </c>
      <c r="M15" s="134">
        <f t="shared" si="1"/>
        <v>2</v>
      </c>
      <c r="O15" s="5" t="s">
        <v>74</v>
      </c>
      <c r="P15" s="1">
        <f t="shared" ref="P15:P17" si="2">COUNTIF($L$2:$L$620,O15)</f>
        <v>217</v>
      </c>
    </row>
    <row r="16" spans="1:17" ht="20.100000000000001" customHeight="1">
      <c r="A16" s="105" t="s">
        <v>600</v>
      </c>
      <c r="B16" s="113" t="s">
        <v>601</v>
      </c>
      <c r="C16" s="104" t="s">
        <v>529</v>
      </c>
      <c r="D16" s="104" t="s">
        <v>570</v>
      </c>
      <c r="E16" s="104" t="s">
        <v>602</v>
      </c>
      <c r="F16" s="139" t="s">
        <v>603</v>
      </c>
      <c r="G16" s="149">
        <v>40837</v>
      </c>
      <c r="H16" s="143">
        <v>40939</v>
      </c>
      <c r="I16" s="108">
        <v>41090</v>
      </c>
      <c r="J16" s="128" t="s">
        <v>582</v>
      </c>
      <c r="K16" s="24" t="s">
        <v>73</v>
      </c>
      <c r="L16" s="24" t="s">
        <v>74</v>
      </c>
      <c r="M16" s="134">
        <f t="shared" si="1"/>
        <v>3</v>
      </c>
      <c r="O16" s="5" t="s">
        <v>103</v>
      </c>
      <c r="P16" s="1">
        <f t="shared" si="2"/>
        <v>40</v>
      </c>
    </row>
    <row r="17" spans="1:16" ht="20.100000000000001" customHeight="1">
      <c r="A17" s="105" t="s">
        <v>604</v>
      </c>
      <c r="B17" s="123" t="s">
        <v>605</v>
      </c>
      <c r="C17" s="104" t="s">
        <v>529</v>
      </c>
      <c r="D17" s="104" t="s">
        <v>606</v>
      </c>
      <c r="E17" s="104" t="s">
        <v>607</v>
      </c>
      <c r="F17" s="139" t="s">
        <v>608</v>
      </c>
      <c r="G17" s="149">
        <v>40267</v>
      </c>
      <c r="H17" s="143">
        <v>40480</v>
      </c>
      <c r="I17" s="108">
        <v>40535</v>
      </c>
      <c r="J17" s="128" t="s">
        <v>609</v>
      </c>
      <c r="K17" s="24" t="s">
        <v>73</v>
      </c>
      <c r="L17" s="24" t="s">
        <v>74</v>
      </c>
      <c r="M17" s="134">
        <f t="shared" si="1"/>
        <v>6</v>
      </c>
      <c r="O17" s="5" t="s">
        <v>0</v>
      </c>
      <c r="P17" s="1">
        <f t="shared" si="2"/>
        <v>70</v>
      </c>
    </row>
    <row r="18" spans="1:16" ht="20.100000000000001" customHeight="1">
      <c r="A18" s="105" t="s">
        <v>610</v>
      </c>
      <c r="B18" s="117" t="s">
        <v>611</v>
      </c>
      <c r="C18" s="104" t="s">
        <v>529</v>
      </c>
      <c r="D18" s="104" t="s">
        <v>606</v>
      </c>
      <c r="E18" s="104" t="s">
        <v>612</v>
      </c>
      <c r="F18" s="139" t="s">
        <v>613</v>
      </c>
      <c r="G18" s="149">
        <v>40647</v>
      </c>
      <c r="H18" s="143" t="s">
        <v>546</v>
      </c>
      <c r="I18" s="108"/>
      <c r="J18" s="128" t="s">
        <v>614</v>
      </c>
      <c r="K18" s="24" t="s">
        <v>27</v>
      </c>
      <c r="L18" s="24" t="s">
        <v>28</v>
      </c>
      <c r="M18" s="134" t="e">
        <f t="shared" si="1"/>
        <v>#VALUE!</v>
      </c>
      <c r="O18" s="36" t="s">
        <v>80</v>
      </c>
      <c r="P18" s="39">
        <f>SUM(P14:P17)</f>
        <v>584</v>
      </c>
    </row>
    <row r="19" spans="1:16" ht="20.100000000000001" customHeight="1">
      <c r="A19" s="105" t="s">
        <v>615</v>
      </c>
      <c r="B19" s="117" t="s">
        <v>616</v>
      </c>
      <c r="C19" s="104" t="s">
        <v>529</v>
      </c>
      <c r="D19" s="104" t="s">
        <v>606</v>
      </c>
      <c r="E19" s="104" t="s">
        <v>617</v>
      </c>
      <c r="F19" s="139" t="s">
        <v>618</v>
      </c>
      <c r="G19" s="149">
        <v>41011</v>
      </c>
      <c r="H19" s="143">
        <v>41017</v>
      </c>
      <c r="I19" s="108">
        <v>41197</v>
      </c>
      <c r="J19" s="128" t="s">
        <v>619</v>
      </c>
      <c r="K19" s="24" t="s">
        <v>540</v>
      </c>
      <c r="L19" s="62" t="s">
        <v>0</v>
      </c>
      <c r="M19" s="134">
        <f t="shared" si="1"/>
        <v>0</v>
      </c>
    </row>
    <row r="20" spans="1:16" ht="20.100000000000001" customHeight="1">
      <c r="A20" s="105" t="s">
        <v>620</v>
      </c>
      <c r="B20" s="123" t="s">
        <v>621</v>
      </c>
      <c r="C20" s="104" t="s">
        <v>529</v>
      </c>
      <c r="D20" s="104" t="s">
        <v>606</v>
      </c>
      <c r="E20" s="104" t="s">
        <v>622</v>
      </c>
      <c r="F20" s="139" t="s">
        <v>623</v>
      </c>
      <c r="G20" s="149">
        <v>42475</v>
      </c>
      <c r="H20" s="143">
        <v>42505</v>
      </c>
      <c r="I20" s="108">
        <v>42735</v>
      </c>
      <c r="J20" s="128" t="s">
        <v>624</v>
      </c>
      <c r="K20" s="24" t="s">
        <v>73</v>
      </c>
      <c r="L20" s="24" t="s">
        <v>74</v>
      </c>
      <c r="M20" s="134">
        <f t="shared" si="1"/>
        <v>1</v>
      </c>
    </row>
    <row r="21" spans="1:16" ht="20.100000000000001" customHeight="1">
      <c r="A21" s="105" t="s">
        <v>625</v>
      </c>
      <c r="B21" s="123" t="s">
        <v>626</v>
      </c>
      <c r="C21" s="104" t="s">
        <v>529</v>
      </c>
      <c r="D21" s="104" t="s">
        <v>627</v>
      </c>
      <c r="E21" s="104" t="s">
        <v>628</v>
      </c>
      <c r="F21" s="139" t="s">
        <v>629</v>
      </c>
      <c r="G21" s="149">
        <v>41093</v>
      </c>
      <c r="H21" s="143">
        <v>41183</v>
      </c>
      <c r="I21" s="108">
        <v>41333</v>
      </c>
      <c r="J21" t="s">
        <v>630</v>
      </c>
      <c r="K21" s="24" t="s">
        <v>540</v>
      </c>
      <c r="L21" s="62" t="s">
        <v>0</v>
      </c>
      <c r="M21" s="134">
        <f t="shared" si="1"/>
        <v>2</v>
      </c>
    </row>
    <row r="22" spans="1:16" ht="20.100000000000001" customHeight="1">
      <c r="A22" s="105" t="s">
        <v>631</v>
      </c>
      <c r="B22" s="117" t="s">
        <v>632</v>
      </c>
      <c r="C22" s="104" t="s">
        <v>529</v>
      </c>
      <c r="D22" s="104" t="s">
        <v>627</v>
      </c>
      <c r="E22" s="104" t="s">
        <v>633</v>
      </c>
      <c r="F22" s="139" t="s">
        <v>634</v>
      </c>
      <c r="G22" s="149">
        <v>40276</v>
      </c>
      <c r="H22" s="143">
        <v>40452</v>
      </c>
      <c r="I22" s="108">
        <v>40515</v>
      </c>
      <c r="J22" s="128" t="s">
        <v>552</v>
      </c>
      <c r="K22" s="24" t="s">
        <v>73</v>
      </c>
      <c r="L22" s="24" t="s">
        <v>74</v>
      </c>
      <c r="M22" s="134">
        <f t="shared" si="1"/>
        <v>5</v>
      </c>
    </row>
    <row r="23" spans="1:16" ht="20.100000000000001" customHeight="1">
      <c r="A23" s="105" t="s">
        <v>635</v>
      </c>
      <c r="B23" s="117" t="s">
        <v>636</v>
      </c>
      <c r="C23" s="104" t="s">
        <v>529</v>
      </c>
      <c r="D23" s="104" t="s">
        <v>627</v>
      </c>
      <c r="E23" s="104" t="s">
        <v>628</v>
      </c>
      <c r="F23" s="139" t="s">
        <v>629</v>
      </c>
      <c r="G23" s="149">
        <v>41094</v>
      </c>
      <c r="H23" s="143">
        <v>41183</v>
      </c>
      <c r="I23" s="108">
        <v>41508</v>
      </c>
      <c r="J23" s="128" t="s">
        <v>619</v>
      </c>
      <c r="K23" s="24" t="s">
        <v>540</v>
      </c>
      <c r="L23" s="62" t="s">
        <v>0</v>
      </c>
      <c r="M23" s="134">
        <f t="shared" si="1"/>
        <v>2</v>
      </c>
    </row>
    <row r="24" spans="1:16" ht="20.100000000000001" customHeight="1">
      <c r="A24" s="105" t="s">
        <v>637</v>
      </c>
      <c r="B24" s="117" t="s">
        <v>638</v>
      </c>
      <c r="C24" s="104" t="s">
        <v>529</v>
      </c>
      <c r="D24" s="104" t="s">
        <v>606</v>
      </c>
      <c r="E24" s="104" t="s">
        <v>639</v>
      </c>
      <c r="F24" s="139" t="s">
        <v>640</v>
      </c>
      <c r="G24" s="149">
        <v>42524</v>
      </c>
      <c r="H24" s="143">
        <v>42553</v>
      </c>
      <c r="I24" s="108">
        <v>42735</v>
      </c>
      <c r="J24" s="128" t="s">
        <v>641</v>
      </c>
      <c r="K24" s="24" t="s">
        <v>73</v>
      </c>
      <c r="L24" s="24" t="s">
        <v>74</v>
      </c>
      <c r="M24" s="134">
        <f t="shared" si="1"/>
        <v>0</v>
      </c>
    </row>
    <row r="25" spans="1:16" ht="20.100000000000001" customHeight="1">
      <c r="A25" s="105" t="s">
        <v>642</v>
      </c>
      <c r="B25" s="117" t="s">
        <v>643</v>
      </c>
      <c r="C25" s="104" t="s">
        <v>529</v>
      </c>
      <c r="D25" s="104" t="s">
        <v>606</v>
      </c>
      <c r="E25" s="104" t="s">
        <v>644</v>
      </c>
      <c r="F25" s="139" t="s">
        <v>572</v>
      </c>
      <c r="G25" s="149">
        <v>40262</v>
      </c>
      <c r="H25" s="152">
        <v>40480</v>
      </c>
      <c r="I25" s="108">
        <v>40535</v>
      </c>
      <c r="J25" s="128" t="s">
        <v>609</v>
      </c>
      <c r="K25" s="24" t="s">
        <v>73</v>
      </c>
      <c r="L25" s="24" t="s">
        <v>74</v>
      </c>
      <c r="M25" s="134">
        <f>DATEDIF(G25,H25,"m")</f>
        <v>7</v>
      </c>
    </row>
    <row r="26" spans="1:16" ht="20.100000000000001" customHeight="1">
      <c r="A26" s="106" t="s">
        <v>645</v>
      </c>
      <c r="B26" s="117" t="s">
        <v>646</v>
      </c>
      <c r="C26" s="104" t="s">
        <v>529</v>
      </c>
      <c r="D26" s="104" t="s">
        <v>606</v>
      </c>
      <c r="E26" s="104" t="s">
        <v>647</v>
      </c>
      <c r="F26" s="139" t="s">
        <v>648</v>
      </c>
      <c r="G26" s="149">
        <v>40682</v>
      </c>
      <c r="H26" s="143" t="s">
        <v>546</v>
      </c>
      <c r="I26" s="108"/>
      <c r="J26" s="128" t="s">
        <v>649</v>
      </c>
      <c r="K26" s="24" t="s">
        <v>75</v>
      </c>
      <c r="L26" s="24" t="s">
        <v>103</v>
      </c>
      <c r="M26" s="134" t="e">
        <f t="shared" si="1"/>
        <v>#VALUE!</v>
      </c>
    </row>
    <row r="27" spans="1:16" ht="20.100000000000001" customHeight="1">
      <c r="A27" s="106" t="s">
        <v>650</v>
      </c>
      <c r="B27" s="117" t="s">
        <v>651</v>
      </c>
      <c r="C27" s="104" t="s">
        <v>529</v>
      </c>
      <c r="D27" s="104" t="s">
        <v>606</v>
      </c>
      <c r="E27" s="104" t="s">
        <v>652</v>
      </c>
      <c r="F27" s="139" t="s">
        <v>653</v>
      </c>
      <c r="G27" s="149">
        <v>42644</v>
      </c>
      <c r="H27" s="143" t="s">
        <v>533</v>
      </c>
      <c r="I27" s="108">
        <v>42734</v>
      </c>
      <c r="J27" s="128" t="s">
        <v>654</v>
      </c>
      <c r="K27" s="24" t="s">
        <v>540</v>
      </c>
      <c r="L27" s="62" t="s">
        <v>0</v>
      </c>
      <c r="M27" s="134" t="e">
        <f t="shared" si="1"/>
        <v>#VALUE!</v>
      </c>
    </row>
    <row r="28" spans="1:16" ht="20.100000000000001" customHeight="1">
      <c r="A28" s="105" t="s">
        <v>655</v>
      </c>
      <c r="B28" s="117" t="s">
        <v>656</v>
      </c>
      <c r="C28" s="104" t="s">
        <v>529</v>
      </c>
      <c r="D28" s="104" t="s">
        <v>606</v>
      </c>
      <c r="E28" s="104" t="s">
        <v>657</v>
      </c>
      <c r="F28" s="139" t="s">
        <v>572</v>
      </c>
      <c r="G28" s="149">
        <v>40410</v>
      </c>
      <c r="H28" s="143" t="s">
        <v>546</v>
      </c>
      <c r="I28" s="108"/>
      <c r="J28" s="128" t="s">
        <v>658</v>
      </c>
      <c r="K28" s="24" t="s">
        <v>73</v>
      </c>
      <c r="L28" s="24" t="s">
        <v>74</v>
      </c>
      <c r="M28" s="134" t="e">
        <f t="shared" si="1"/>
        <v>#VALUE!</v>
      </c>
    </row>
    <row r="29" spans="1:16" ht="20.100000000000001" customHeight="1">
      <c r="A29" s="105" t="s">
        <v>659</v>
      </c>
      <c r="B29" s="123" t="s">
        <v>660</v>
      </c>
      <c r="C29" s="104" t="s">
        <v>529</v>
      </c>
      <c r="D29" s="104" t="s">
        <v>606</v>
      </c>
      <c r="E29" s="104" t="s">
        <v>661</v>
      </c>
      <c r="F29" s="139" t="s">
        <v>572</v>
      </c>
      <c r="G29" s="149">
        <v>40410</v>
      </c>
      <c r="H29" s="143">
        <v>40421</v>
      </c>
      <c r="I29" s="108">
        <v>40421</v>
      </c>
      <c r="J29" s="128" t="s">
        <v>662</v>
      </c>
      <c r="K29" s="24" t="s">
        <v>73</v>
      </c>
      <c r="L29" s="24" t="s">
        <v>28</v>
      </c>
      <c r="M29" s="134">
        <f t="shared" si="1"/>
        <v>0</v>
      </c>
    </row>
    <row r="30" spans="1:16" ht="20.100000000000001" customHeight="1">
      <c r="A30" s="105" t="s">
        <v>663</v>
      </c>
      <c r="B30" s="117" t="s">
        <v>664</v>
      </c>
      <c r="C30" s="104" t="s">
        <v>529</v>
      </c>
      <c r="D30" s="104" t="s">
        <v>606</v>
      </c>
      <c r="E30" s="104" t="s">
        <v>665</v>
      </c>
      <c r="F30" s="139" t="s">
        <v>572</v>
      </c>
      <c r="G30" s="149">
        <v>40414</v>
      </c>
      <c r="H30" s="143" t="s">
        <v>666</v>
      </c>
      <c r="I30" s="108"/>
      <c r="J30" s="128" t="s">
        <v>577</v>
      </c>
      <c r="K30" s="24" t="s">
        <v>73</v>
      </c>
      <c r="L30" s="24" t="s">
        <v>74</v>
      </c>
      <c r="M30" s="134" t="e">
        <f t="shared" si="1"/>
        <v>#VALUE!</v>
      </c>
    </row>
    <row r="31" spans="1:16" ht="20.100000000000001" customHeight="1">
      <c r="A31" s="105" t="s">
        <v>667</v>
      </c>
      <c r="B31" s="117" t="s">
        <v>668</v>
      </c>
      <c r="C31" s="104" t="s">
        <v>529</v>
      </c>
      <c r="D31" s="104" t="s">
        <v>606</v>
      </c>
      <c r="E31" s="104" t="s">
        <v>669</v>
      </c>
      <c r="F31" s="139" t="s">
        <v>572</v>
      </c>
      <c r="G31" s="149">
        <v>40414</v>
      </c>
      <c r="H31" s="143">
        <v>40508</v>
      </c>
      <c r="I31" s="108">
        <v>40543</v>
      </c>
      <c r="J31" s="128" t="s">
        <v>552</v>
      </c>
      <c r="K31" s="24" t="s">
        <v>73</v>
      </c>
      <c r="L31" s="24" t="s">
        <v>74</v>
      </c>
      <c r="M31" s="134">
        <f t="shared" si="1"/>
        <v>3</v>
      </c>
    </row>
    <row r="32" spans="1:16" ht="20.100000000000001" customHeight="1">
      <c r="A32" s="105" t="s">
        <v>670</v>
      </c>
      <c r="B32" s="117" t="s">
        <v>671</v>
      </c>
      <c r="C32" s="104" t="s">
        <v>529</v>
      </c>
      <c r="D32" s="104" t="s">
        <v>606</v>
      </c>
      <c r="E32" s="104" t="s">
        <v>672</v>
      </c>
      <c r="F32" s="139" t="s">
        <v>572</v>
      </c>
      <c r="G32" s="149">
        <v>40422</v>
      </c>
      <c r="H32" s="143">
        <v>40508</v>
      </c>
      <c r="I32" s="108">
        <v>40543</v>
      </c>
      <c r="J32" s="128" t="s">
        <v>582</v>
      </c>
      <c r="K32" s="24" t="s">
        <v>73</v>
      </c>
      <c r="L32" s="24" t="s">
        <v>74</v>
      </c>
      <c r="M32" s="134">
        <f t="shared" si="1"/>
        <v>2</v>
      </c>
    </row>
    <row r="33" spans="1:13" ht="20.100000000000001" customHeight="1">
      <c r="A33" s="105" t="s">
        <v>673</v>
      </c>
      <c r="B33" s="117" t="s">
        <v>674</v>
      </c>
      <c r="C33" s="104" t="s">
        <v>529</v>
      </c>
      <c r="D33" s="104" t="s">
        <v>606</v>
      </c>
      <c r="E33" s="104" t="s">
        <v>675</v>
      </c>
      <c r="F33" s="139" t="s">
        <v>572</v>
      </c>
      <c r="G33" s="149">
        <v>40438</v>
      </c>
      <c r="H33" s="143">
        <v>40508</v>
      </c>
      <c r="I33" s="108">
        <v>40543</v>
      </c>
      <c r="J33" s="128" t="s">
        <v>582</v>
      </c>
      <c r="K33" s="24" t="s">
        <v>73</v>
      </c>
      <c r="L33" s="24" t="s">
        <v>74</v>
      </c>
      <c r="M33" s="134">
        <f t="shared" si="1"/>
        <v>2</v>
      </c>
    </row>
    <row r="34" spans="1:13" ht="20.100000000000001" customHeight="1">
      <c r="A34" s="106" t="s">
        <v>676</v>
      </c>
      <c r="B34" s="123" t="s">
        <v>677</v>
      </c>
      <c r="C34" s="104" t="s">
        <v>529</v>
      </c>
      <c r="D34" s="104" t="s">
        <v>530</v>
      </c>
      <c r="E34" s="104" t="s">
        <v>678</v>
      </c>
      <c r="F34" s="139" t="s">
        <v>679</v>
      </c>
      <c r="G34" s="149">
        <v>41710</v>
      </c>
      <c r="H34" s="143" t="s">
        <v>546</v>
      </c>
      <c r="I34" s="108"/>
      <c r="J34" t="s">
        <v>680</v>
      </c>
      <c r="K34" s="24" t="s">
        <v>540</v>
      </c>
      <c r="L34" s="62" t="s">
        <v>0</v>
      </c>
      <c r="M34" s="134" t="e">
        <f t="shared" si="1"/>
        <v>#VALUE!</v>
      </c>
    </row>
    <row r="35" spans="1:13" ht="20.100000000000001" customHeight="1">
      <c r="A35" s="105" t="s">
        <v>681</v>
      </c>
      <c r="B35" s="117" t="s">
        <v>682</v>
      </c>
      <c r="C35" s="104" t="s">
        <v>529</v>
      </c>
      <c r="D35" s="104" t="s">
        <v>530</v>
      </c>
      <c r="E35" s="104" t="s">
        <v>683</v>
      </c>
      <c r="F35" s="139" t="s">
        <v>684</v>
      </c>
      <c r="G35" s="149">
        <v>40400</v>
      </c>
      <c r="H35" s="143">
        <v>40544</v>
      </c>
      <c r="I35" s="108">
        <v>40602</v>
      </c>
      <c r="J35" s="128" t="s">
        <v>685</v>
      </c>
      <c r="K35" s="24" t="s">
        <v>27</v>
      </c>
      <c r="L35" s="24" t="s">
        <v>28</v>
      </c>
      <c r="M35" s="134">
        <f t="shared" si="1"/>
        <v>4</v>
      </c>
    </row>
    <row r="36" spans="1:13" ht="20.100000000000001" customHeight="1">
      <c r="A36" s="105" t="s">
        <v>686</v>
      </c>
      <c r="B36" s="117" t="s">
        <v>687</v>
      </c>
      <c r="C36" s="104" t="s">
        <v>529</v>
      </c>
      <c r="D36" s="104" t="s">
        <v>530</v>
      </c>
      <c r="E36" s="104" t="s">
        <v>688</v>
      </c>
      <c r="F36" s="139" t="s">
        <v>689</v>
      </c>
      <c r="G36" s="149">
        <v>41461</v>
      </c>
      <c r="H36" s="143">
        <v>41578</v>
      </c>
      <c r="I36" s="108">
        <v>41639</v>
      </c>
      <c r="J36" s="128" t="s">
        <v>690</v>
      </c>
      <c r="K36" s="24" t="s">
        <v>540</v>
      </c>
      <c r="L36" s="62" t="s">
        <v>0</v>
      </c>
      <c r="M36" s="134">
        <f t="shared" si="1"/>
        <v>3</v>
      </c>
    </row>
    <row r="37" spans="1:13" ht="20.100000000000001" customHeight="1">
      <c r="A37" s="106" t="s">
        <v>691</v>
      </c>
      <c r="B37" s="117" t="s">
        <v>692</v>
      </c>
      <c r="C37" s="104" t="s">
        <v>529</v>
      </c>
      <c r="D37" s="104" t="s">
        <v>693</v>
      </c>
      <c r="E37" s="104" t="s">
        <v>694</v>
      </c>
      <c r="F37" s="139" t="s">
        <v>695</v>
      </c>
      <c r="G37" s="149">
        <v>41912</v>
      </c>
      <c r="H37" s="143">
        <v>42004</v>
      </c>
      <c r="I37" s="108">
        <v>42094</v>
      </c>
      <c r="J37" s="128" t="s">
        <v>696</v>
      </c>
      <c r="K37" s="24" t="s">
        <v>73</v>
      </c>
      <c r="L37" s="24" t="s">
        <v>74</v>
      </c>
      <c r="M37" s="134">
        <f t="shared" si="1"/>
        <v>3</v>
      </c>
    </row>
    <row r="38" spans="1:13" ht="20.100000000000001" customHeight="1">
      <c r="A38" s="105" t="s">
        <v>697</v>
      </c>
      <c r="B38" s="117" t="s">
        <v>698</v>
      </c>
      <c r="C38" s="104" t="s">
        <v>529</v>
      </c>
      <c r="D38" s="104" t="s">
        <v>530</v>
      </c>
      <c r="E38" s="104" t="s">
        <v>699</v>
      </c>
      <c r="F38" s="139" t="s">
        <v>700</v>
      </c>
      <c r="G38" s="149">
        <v>40115</v>
      </c>
      <c r="H38" s="143">
        <v>40268</v>
      </c>
      <c r="I38" s="108">
        <v>40452</v>
      </c>
      <c r="J38" s="128" t="s">
        <v>701</v>
      </c>
      <c r="K38" s="24" t="s">
        <v>27</v>
      </c>
      <c r="L38" s="24" t="s">
        <v>28</v>
      </c>
      <c r="M38" s="134">
        <f t="shared" si="1"/>
        <v>5</v>
      </c>
    </row>
    <row r="39" spans="1:13" ht="20.100000000000001" customHeight="1">
      <c r="A39" s="105" t="s">
        <v>702</v>
      </c>
      <c r="B39" s="123" t="s">
        <v>194</v>
      </c>
      <c r="C39" s="104" t="s">
        <v>192</v>
      </c>
      <c r="D39" s="104" t="s">
        <v>703</v>
      </c>
      <c r="E39" s="104" t="s">
        <v>704</v>
      </c>
      <c r="F39" s="139" t="s">
        <v>705</v>
      </c>
      <c r="G39" s="149">
        <v>40274</v>
      </c>
      <c r="H39" s="143">
        <v>40458</v>
      </c>
      <c r="I39" s="108">
        <v>40519</v>
      </c>
      <c r="J39" t="s">
        <v>195</v>
      </c>
      <c r="K39" s="24" t="s">
        <v>73</v>
      </c>
      <c r="L39" s="24" t="s">
        <v>74</v>
      </c>
      <c r="M39" s="134">
        <f t="shared" si="1"/>
        <v>6</v>
      </c>
    </row>
    <row r="40" spans="1:13" ht="20.100000000000001" customHeight="1">
      <c r="A40" s="105" t="s">
        <v>706</v>
      </c>
      <c r="B40" s="123" t="s">
        <v>707</v>
      </c>
      <c r="C40" s="104" t="s">
        <v>192</v>
      </c>
      <c r="D40" s="104" t="s">
        <v>693</v>
      </c>
      <c r="E40" s="104" t="s">
        <v>708</v>
      </c>
      <c r="F40" s="139" t="s">
        <v>709</v>
      </c>
      <c r="G40" s="149">
        <v>42551</v>
      </c>
      <c r="H40" s="143"/>
      <c r="I40" s="108"/>
      <c r="J40" s="128"/>
      <c r="M40" s="134" t="e">
        <f t="shared" si="1"/>
        <v>#NUM!</v>
      </c>
    </row>
    <row r="41" spans="1:13" ht="20.100000000000001" customHeight="1">
      <c r="A41" s="105" t="s">
        <v>710</v>
      </c>
      <c r="B41" s="123" t="s">
        <v>711</v>
      </c>
      <c r="C41" s="104" t="s">
        <v>192</v>
      </c>
      <c r="D41" s="104" t="s">
        <v>693</v>
      </c>
      <c r="E41" s="104" t="s">
        <v>712</v>
      </c>
      <c r="F41" s="139" t="s">
        <v>713</v>
      </c>
      <c r="G41" s="149">
        <v>40464</v>
      </c>
      <c r="H41" s="143"/>
      <c r="I41" s="108"/>
      <c r="J41" s="128"/>
      <c r="M41" s="134" t="e">
        <f t="shared" si="1"/>
        <v>#NUM!</v>
      </c>
    </row>
    <row r="42" spans="1:13" ht="20.100000000000001" customHeight="1">
      <c r="A42" s="105" t="s">
        <v>714</v>
      </c>
      <c r="B42" s="123" t="s">
        <v>200</v>
      </c>
      <c r="C42" s="104" t="s">
        <v>192</v>
      </c>
      <c r="D42" s="104" t="s">
        <v>693</v>
      </c>
      <c r="E42" s="104" t="s">
        <v>715</v>
      </c>
      <c r="F42" s="139" t="s">
        <v>716</v>
      </c>
      <c r="G42" s="149">
        <v>40571</v>
      </c>
      <c r="H42" s="143">
        <v>40527</v>
      </c>
      <c r="I42" s="108">
        <v>40589</v>
      </c>
      <c r="J42" t="s">
        <v>201</v>
      </c>
      <c r="K42" s="24" t="s">
        <v>540</v>
      </c>
      <c r="L42" s="62" t="s">
        <v>0</v>
      </c>
      <c r="M42" s="134" t="e">
        <f t="shared" si="1"/>
        <v>#NUM!</v>
      </c>
    </row>
    <row r="43" spans="1:13" ht="20.100000000000001" customHeight="1">
      <c r="A43" s="105" t="s">
        <v>717</v>
      </c>
      <c r="B43" s="123" t="s">
        <v>206</v>
      </c>
      <c r="C43" s="104" t="s">
        <v>192</v>
      </c>
      <c r="D43" s="104" t="s">
        <v>530</v>
      </c>
      <c r="E43" s="104" t="s">
        <v>718</v>
      </c>
      <c r="F43" s="139" t="s">
        <v>719</v>
      </c>
      <c r="G43" s="149">
        <v>42599</v>
      </c>
      <c r="H43" s="143">
        <v>42643</v>
      </c>
      <c r="I43" s="108">
        <v>42674</v>
      </c>
      <c r="J43" t="s">
        <v>195</v>
      </c>
      <c r="K43" s="24" t="s">
        <v>73</v>
      </c>
      <c r="L43" s="24" t="s">
        <v>74</v>
      </c>
      <c r="M43" s="134">
        <f t="shared" si="1"/>
        <v>1</v>
      </c>
    </row>
    <row r="44" spans="1:13" ht="20.100000000000001" customHeight="1">
      <c r="A44" s="106" t="s">
        <v>720</v>
      </c>
      <c r="B44" s="123" t="s">
        <v>721</v>
      </c>
      <c r="C44" s="104" t="s">
        <v>192</v>
      </c>
      <c r="D44" s="104" t="s">
        <v>693</v>
      </c>
      <c r="E44" s="104" t="s">
        <v>722</v>
      </c>
      <c r="F44" s="139" t="s">
        <v>723</v>
      </c>
      <c r="G44" s="149">
        <v>42685</v>
      </c>
      <c r="H44" s="143"/>
      <c r="I44" s="108"/>
      <c r="J44" s="128"/>
      <c r="M44" s="134" t="e">
        <f t="shared" si="1"/>
        <v>#NUM!</v>
      </c>
    </row>
    <row r="45" spans="1:13" ht="20.100000000000001" customHeight="1">
      <c r="A45" s="105" t="s">
        <v>724</v>
      </c>
      <c r="B45" s="123" t="s">
        <v>209</v>
      </c>
      <c r="C45" s="104" t="s">
        <v>192</v>
      </c>
      <c r="D45" s="104" t="s">
        <v>530</v>
      </c>
      <c r="E45" s="104" t="s">
        <v>725</v>
      </c>
      <c r="F45" s="139" t="s">
        <v>726</v>
      </c>
      <c r="G45" s="149">
        <v>40571</v>
      </c>
      <c r="H45" s="144">
        <v>40574</v>
      </c>
      <c r="I45" s="110">
        <v>40633</v>
      </c>
      <c r="J45" t="s">
        <v>210</v>
      </c>
      <c r="K45" s="24" t="s">
        <v>73</v>
      </c>
      <c r="L45" s="24" t="s">
        <v>74</v>
      </c>
      <c r="M45" s="134">
        <f t="shared" si="1"/>
        <v>0</v>
      </c>
    </row>
    <row r="46" spans="1:13" ht="20.100000000000001" customHeight="1">
      <c r="A46" s="105" t="s">
        <v>724</v>
      </c>
      <c r="B46" s="123" t="s">
        <v>727</v>
      </c>
      <c r="C46" s="104" t="s">
        <v>192</v>
      </c>
      <c r="D46" s="104" t="s">
        <v>530</v>
      </c>
      <c r="E46" s="104" t="s">
        <v>725</v>
      </c>
      <c r="F46" s="139" t="s">
        <v>726</v>
      </c>
      <c r="G46" s="149">
        <v>40448</v>
      </c>
      <c r="H46" s="145">
        <v>40574</v>
      </c>
      <c r="I46" s="124">
        <v>40633</v>
      </c>
      <c r="J46" t="s">
        <v>210</v>
      </c>
      <c r="K46" s="24" t="s">
        <v>73</v>
      </c>
      <c r="L46" s="24" t="s">
        <v>74</v>
      </c>
      <c r="M46" s="134">
        <f t="shared" si="1"/>
        <v>4</v>
      </c>
    </row>
    <row r="47" spans="1:13" ht="20.100000000000001" customHeight="1">
      <c r="A47" s="105" t="s">
        <v>728</v>
      </c>
      <c r="B47" s="123" t="s">
        <v>729</v>
      </c>
      <c r="C47" s="104" t="s">
        <v>192</v>
      </c>
      <c r="D47" s="104" t="s">
        <v>693</v>
      </c>
      <c r="E47" s="104" t="s">
        <v>730</v>
      </c>
      <c r="F47" s="139" t="s">
        <v>731</v>
      </c>
      <c r="G47" s="149">
        <v>40128</v>
      </c>
      <c r="H47" s="143"/>
      <c r="I47" s="108"/>
      <c r="J47" s="128"/>
      <c r="M47" s="134" t="e">
        <f t="shared" si="1"/>
        <v>#NUM!</v>
      </c>
    </row>
    <row r="48" spans="1:13" ht="20.100000000000001" customHeight="1">
      <c r="A48" s="105" t="s">
        <v>732</v>
      </c>
      <c r="B48" s="117" t="s">
        <v>215</v>
      </c>
      <c r="C48" s="104" t="s">
        <v>192</v>
      </c>
      <c r="D48" s="104" t="s">
        <v>703</v>
      </c>
      <c r="E48" s="104" t="s">
        <v>733</v>
      </c>
      <c r="F48" s="139" t="s">
        <v>214</v>
      </c>
      <c r="G48" s="149">
        <v>40571</v>
      </c>
      <c r="H48" s="143">
        <v>40663</v>
      </c>
      <c r="I48" s="108">
        <v>40724</v>
      </c>
      <c r="J48" s="128" t="s">
        <v>734</v>
      </c>
      <c r="K48" s="24" t="s">
        <v>73</v>
      </c>
      <c r="L48" s="24" t="s">
        <v>74</v>
      </c>
      <c r="M48" s="134">
        <f t="shared" si="1"/>
        <v>3</v>
      </c>
    </row>
    <row r="49" spans="1:13" ht="20.100000000000001" customHeight="1">
      <c r="A49" s="105" t="s">
        <v>732</v>
      </c>
      <c r="B49" s="123" t="s">
        <v>735</v>
      </c>
      <c r="C49" s="104" t="s">
        <v>192</v>
      </c>
      <c r="D49" s="104" t="s">
        <v>693</v>
      </c>
      <c r="E49" s="104" t="s">
        <v>733</v>
      </c>
      <c r="F49" s="139" t="s">
        <v>214</v>
      </c>
      <c r="G49" s="149">
        <v>40483</v>
      </c>
      <c r="H49" s="143">
        <v>40663</v>
      </c>
      <c r="I49" s="108">
        <v>40724</v>
      </c>
      <c r="J49" s="128" t="s">
        <v>734</v>
      </c>
      <c r="K49" s="24" t="s">
        <v>73</v>
      </c>
      <c r="L49" s="24" t="s">
        <v>74</v>
      </c>
      <c r="M49" s="134">
        <f t="shared" si="1"/>
        <v>5</v>
      </c>
    </row>
    <row r="50" spans="1:13" ht="20.100000000000001" customHeight="1">
      <c r="A50" s="105" t="s">
        <v>736</v>
      </c>
      <c r="B50" s="123" t="s">
        <v>218</v>
      </c>
      <c r="C50" s="104" t="s">
        <v>192</v>
      </c>
      <c r="D50" s="104" t="s">
        <v>530</v>
      </c>
      <c r="E50" s="104" t="s">
        <v>737</v>
      </c>
      <c r="F50" s="139" t="s">
        <v>217</v>
      </c>
      <c r="G50" s="149">
        <v>40140</v>
      </c>
      <c r="H50" s="143">
        <v>40321</v>
      </c>
      <c r="I50" s="108">
        <v>40505</v>
      </c>
      <c r="J50" t="s">
        <v>738</v>
      </c>
      <c r="K50" s="24" t="s">
        <v>27</v>
      </c>
      <c r="L50" s="24" t="s">
        <v>28</v>
      </c>
      <c r="M50" s="134">
        <f t="shared" si="1"/>
        <v>6</v>
      </c>
    </row>
    <row r="51" spans="1:13" ht="20.100000000000001" customHeight="1">
      <c r="A51" s="105" t="s">
        <v>739</v>
      </c>
      <c r="B51" s="123" t="s">
        <v>222</v>
      </c>
      <c r="C51" s="104" t="s">
        <v>192</v>
      </c>
      <c r="D51" s="104" t="s">
        <v>740</v>
      </c>
      <c r="E51" s="104" t="s">
        <v>741</v>
      </c>
      <c r="F51" s="139" t="s">
        <v>742</v>
      </c>
      <c r="G51" s="149">
        <v>40142</v>
      </c>
      <c r="H51" s="143">
        <v>40359</v>
      </c>
      <c r="I51" s="108">
        <v>40451</v>
      </c>
      <c r="J51" s="128" t="s">
        <v>223</v>
      </c>
      <c r="K51" s="24" t="s">
        <v>73</v>
      </c>
      <c r="L51" s="24" t="s">
        <v>74</v>
      </c>
      <c r="M51" s="134">
        <f t="shared" si="1"/>
        <v>7</v>
      </c>
    </row>
    <row r="52" spans="1:13" ht="20.100000000000001" customHeight="1">
      <c r="A52" s="105" t="s">
        <v>743</v>
      </c>
      <c r="B52" s="123" t="s">
        <v>224</v>
      </c>
      <c r="C52" s="104" t="s">
        <v>192</v>
      </c>
      <c r="D52" s="104" t="s">
        <v>693</v>
      </c>
      <c r="E52" s="104" t="s">
        <v>744</v>
      </c>
      <c r="F52" s="139" t="s">
        <v>745</v>
      </c>
      <c r="G52" s="149">
        <v>40162</v>
      </c>
      <c r="H52" s="143">
        <v>40359</v>
      </c>
      <c r="I52" s="108">
        <v>40451</v>
      </c>
      <c r="J52" s="128" t="s">
        <v>734</v>
      </c>
      <c r="K52" s="24" t="s">
        <v>73</v>
      </c>
      <c r="L52" s="24" t="s">
        <v>74</v>
      </c>
      <c r="M52" s="134">
        <f t="shared" si="1"/>
        <v>6</v>
      </c>
    </row>
    <row r="53" spans="1:13" ht="20.100000000000001" customHeight="1">
      <c r="A53" s="105" t="s">
        <v>746</v>
      </c>
      <c r="B53" s="117" t="s">
        <v>24</v>
      </c>
      <c r="C53" s="104" t="s">
        <v>747</v>
      </c>
      <c r="D53" s="104" t="s">
        <v>748</v>
      </c>
      <c r="E53" s="104" t="s">
        <v>749</v>
      </c>
      <c r="F53" s="139" t="s">
        <v>750</v>
      </c>
      <c r="G53" s="149">
        <v>40968</v>
      </c>
      <c r="H53" s="143">
        <v>41148</v>
      </c>
      <c r="I53" s="108">
        <v>338</v>
      </c>
      <c r="J53" s="128" t="s">
        <v>751</v>
      </c>
      <c r="K53" s="24" t="s">
        <v>27</v>
      </c>
      <c r="L53" s="24" t="s">
        <v>28</v>
      </c>
      <c r="M53" s="134">
        <f t="shared" si="1"/>
        <v>5</v>
      </c>
    </row>
    <row r="54" spans="1:13" ht="20.100000000000001" customHeight="1">
      <c r="A54" s="105" t="s">
        <v>752</v>
      </c>
      <c r="B54" s="117" t="s">
        <v>30</v>
      </c>
      <c r="C54" s="104" t="s">
        <v>747</v>
      </c>
      <c r="D54" s="104" t="s">
        <v>748</v>
      </c>
      <c r="E54" s="104" t="s">
        <v>749</v>
      </c>
      <c r="F54" s="139" t="s">
        <v>753</v>
      </c>
      <c r="G54" s="149">
        <v>40968</v>
      </c>
      <c r="H54" s="143">
        <v>41148</v>
      </c>
      <c r="I54" s="108">
        <v>338</v>
      </c>
      <c r="J54" s="128" t="s">
        <v>754</v>
      </c>
      <c r="K54" s="24" t="s">
        <v>27</v>
      </c>
      <c r="L54" s="24" t="s">
        <v>28</v>
      </c>
      <c r="M54" s="134">
        <f t="shared" si="1"/>
        <v>5</v>
      </c>
    </row>
    <row r="55" spans="1:13" ht="20.100000000000001" customHeight="1">
      <c r="A55" s="105" t="s">
        <v>755</v>
      </c>
      <c r="B55" s="123" t="s">
        <v>33</v>
      </c>
      <c r="C55" s="104" t="s">
        <v>747</v>
      </c>
      <c r="D55" s="104" t="s">
        <v>748</v>
      </c>
      <c r="E55" s="104" t="s">
        <v>756</v>
      </c>
      <c r="F55" s="139" t="s">
        <v>757</v>
      </c>
      <c r="G55" s="149">
        <v>42021</v>
      </c>
      <c r="H55" s="142">
        <v>42198</v>
      </c>
      <c r="I55" s="109">
        <v>42387</v>
      </c>
      <c r="J55" s="128" t="s">
        <v>381</v>
      </c>
      <c r="K55" s="24" t="s">
        <v>27</v>
      </c>
      <c r="L55" s="24" t="s">
        <v>28</v>
      </c>
      <c r="M55" s="134">
        <f t="shared" si="1"/>
        <v>5</v>
      </c>
    </row>
    <row r="56" spans="1:13" ht="20.100000000000001" customHeight="1">
      <c r="A56" s="105" t="s">
        <v>758</v>
      </c>
      <c r="B56" s="117" t="s">
        <v>38</v>
      </c>
      <c r="C56" s="104" t="s">
        <v>747</v>
      </c>
      <c r="D56" s="104" t="s">
        <v>748</v>
      </c>
      <c r="E56" s="104" t="s">
        <v>749</v>
      </c>
      <c r="F56" s="139" t="s">
        <v>759</v>
      </c>
      <c r="G56" s="149">
        <v>40978</v>
      </c>
      <c r="H56" s="143">
        <v>41185</v>
      </c>
      <c r="I56" s="108">
        <v>1433</v>
      </c>
      <c r="J56" s="128" t="s">
        <v>760</v>
      </c>
      <c r="K56" s="24" t="s">
        <v>27</v>
      </c>
      <c r="L56" s="24" t="s">
        <v>28</v>
      </c>
      <c r="M56" s="134">
        <f t="shared" si="1"/>
        <v>6</v>
      </c>
    </row>
    <row r="57" spans="1:13" ht="20.100000000000001" customHeight="1">
      <c r="A57" s="105" t="s">
        <v>761</v>
      </c>
      <c r="B57" s="123" t="s">
        <v>762</v>
      </c>
      <c r="C57" s="104" t="s">
        <v>763</v>
      </c>
      <c r="D57" s="104" t="s">
        <v>748</v>
      </c>
      <c r="E57" s="104" t="s">
        <v>764</v>
      </c>
      <c r="F57" s="139" t="s">
        <v>765</v>
      </c>
      <c r="G57" s="149">
        <v>41674</v>
      </c>
      <c r="H57" s="143">
        <v>41764</v>
      </c>
      <c r="I57" s="108">
        <v>1438</v>
      </c>
      <c r="J57" t="s">
        <v>766</v>
      </c>
      <c r="K57" s="24" t="s">
        <v>55</v>
      </c>
      <c r="L57" s="24" t="s">
        <v>103</v>
      </c>
      <c r="M57" s="134">
        <f t="shared" si="1"/>
        <v>3</v>
      </c>
    </row>
    <row r="58" spans="1:13" ht="20.100000000000001" customHeight="1">
      <c r="A58" s="105" t="s">
        <v>767</v>
      </c>
      <c r="B58" s="117" t="s">
        <v>41</v>
      </c>
      <c r="C58" s="104" t="s">
        <v>747</v>
      </c>
      <c r="D58" s="104" t="s">
        <v>748</v>
      </c>
      <c r="E58" s="104" t="s">
        <v>768</v>
      </c>
      <c r="F58" s="139" t="s">
        <v>769</v>
      </c>
      <c r="G58" s="149">
        <v>42451</v>
      </c>
      <c r="H58" s="143">
        <v>42662</v>
      </c>
      <c r="I58" s="108">
        <v>42814</v>
      </c>
      <c r="J58" s="128" t="s">
        <v>770</v>
      </c>
      <c r="K58" s="24" t="s">
        <v>27</v>
      </c>
      <c r="L58" s="24" t="s">
        <v>28</v>
      </c>
      <c r="M58" s="134">
        <f t="shared" si="1"/>
        <v>6</v>
      </c>
    </row>
    <row r="59" spans="1:13" ht="20.100000000000001" customHeight="1">
      <c r="A59" s="105" t="s">
        <v>771</v>
      </c>
      <c r="B59" s="117" t="s">
        <v>772</v>
      </c>
      <c r="C59" s="104" t="s">
        <v>763</v>
      </c>
      <c r="D59" s="104" t="s">
        <v>748</v>
      </c>
      <c r="E59" s="104" t="s">
        <v>764</v>
      </c>
      <c r="F59" s="139" t="s">
        <v>773</v>
      </c>
      <c r="G59" s="149">
        <v>42062</v>
      </c>
      <c r="H59" s="143">
        <v>42153</v>
      </c>
      <c r="I59" s="108">
        <v>42244</v>
      </c>
      <c r="J59" s="128" t="s">
        <v>774</v>
      </c>
      <c r="K59" s="24" t="s">
        <v>55</v>
      </c>
      <c r="L59" s="24" t="s">
        <v>103</v>
      </c>
      <c r="M59" s="134">
        <f t="shared" si="1"/>
        <v>3</v>
      </c>
    </row>
    <row r="60" spans="1:13" ht="20.100000000000001" customHeight="1">
      <c r="A60" s="105" t="s">
        <v>775</v>
      </c>
      <c r="B60" s="117" t="s">
        <v>776</v>
      </c>
      <c r="C60" s="104" t="s">
        <v>763</v>
      </c>
      <c r="D60" s="104" t="s">
        <v>748</v>
      </c>
      <c r="E60" s="104" t="s">
        <v>777</v>
      </c>
      <c r="F60" s="139" t="s">
        <v>778</v>
      </c>
      <c r="G60" s="149">
        <v>42465</v>
      </c>
      <c r="H60" s="143">
        <v>42646</v>
      </c>
      <c r="I60" s="108">
        <v>42828</v>
      </c>
      <c r="J60" s="128" t="s">
        <v>779</v>
      </c>
      <c r="K60" s="24" t="s">
        <v>27</v>
      </c>
      <c r="L60" s="24" t="s">
        <v>28</v>
      </c>
      <c r="M60" s="134">
        <f t="shared" si="1"/>
        <v>5</v>
      </c>
    </row>
    <row r="61" spans="1:13" ht="20.100000000000001" customHeight="1">
      <c r="A61" s="105" t="s">
        <v>780</v>
      </c>
      <c r="B61" s="117" t="s">
        <v>781</v>
      </c>
      <c r="C61" s="104" t="s">
        <v>747</v>
      </c>
      <c r="D61" s="104" t="s">
        <v>782</v>
      </c>
      <c r="E61" s="104" t="s">
        <v>783</v>
      </c>
      <c r="F61" s="139" t="s">
        <v>784</v>
      </c>
      <c r="G61" s="149">
        <v>42851</v>
      </c>
      <c r="H61" s="143">
        <v>43035</v>
      </c>
      <c r="I61" s="108">
        <v>43186</v>
      </c>
      <c r="J61" s="128" t="s">
        <v>785</v>
      </c>
      <c r="K61" s="24" t="s">
        <v>540</v>
      </c>
      <c r="L61" s="62" t="s">
        <v>0</v>
      </c>
      <c r="M61" s="134">
        <f t="shared" si="1"/>
        <v>6</v>
      </c>
    </row>
    <row r="62" spans="1:13" ht="20.100000000000001" customHeight="1">
      <c r="A62" s="106" t="s">
        <v>786</v>
      </c>
      <c r="B62" s="123" t="s">
        <v>787</v>
      </c>
      <c r="C62" s="104" t="s">
        <v>763</v>
      </c>
      <c r="D62" s="104" t="s">
        <v>748</v>
      </c>
      <c r="E62" s="104" t="s">
        <v>777</v>
      </c>
      <c r="F62" s="139" t="s">
        <v>788</v>
      </c>
      <c r="G62" s="149">
        <v>43537</v>
      </c>
      <c r="H62" s="143">
        <v>43720</v>
      </c>
      <c r="I62" s="108">
        <v>43902</v>
      </c>
      <c r="J62" s="128" t="s">
        <v>789</v>
      </c>
      <c r="K62" s="24" t="s">
        <v>540</v>
      </c>
      <c r="L62" s="62" t="s">
        <v>0</v>
      </c>
      <c r="M62" s="134">
        <f t="shared" si="1"/>
        <v>5</v>
      </c>
    </row>
    <row r="63" spans="1:13" ht="20.100000000000001" customHeight="1">
      <c r="A63" s="105" t="s">
        <v>790</v>
      </c>
      <c r="B63" s="123" t="s">
        <v>791</v>
      </c>
      <c r="C63" s="104" t="s">
        <v>747</v>
      </c>
      <c r="D63" s="104" t="s">
        <v>782</v>
      </c>
      <c r="E63" s="104" t="s">
        <v>792</v>
      </c>
      <c r="F63" s="139" t="s">
        <v>793</v>
      </c>
      <c r="G63" s="149">
        <v>41013</v>
      </c>
      <c r="H63" s="143">
        <v>41197</v>
      </c>
      <c r="I63" s="108">
        <v>41379</v>
      </c>
      <c r="J63" s="128" t="s">
        <v>794</v>
      </c>
      <c r="K63" s="24" t="s">
        <v>73</v>
      </c>
      <c r="L63" s="24" t="s">
        <v>74</v>
      </c>
      <c r="M63" s="134">
        <f t="shared" si="1"/>
        <v>6</v>
      </c>
    </row>
    <row r="64" spans="1:13" ht="20.100000000000001" customHeight="1">
      <c r="A64" s="105" t="s">
        <v>795</v>
      </c>
      <c r="B64" s="117" t="s">
        <v>796</v>
      </c>
      <c r="C64" s="104" t="s">
        <v>763</v>
      </c>
      <c r="D64" s="104" t="s">
        <v>748</v>
      </c>
      <c r="E64" s="104" t="s">
        <v>797</v>
      </c>
      <c r="F64" s="139" t="s">
        <v>798</v>
      </c>
      <c r="G64" s="149">
        <v>41474</v>
      </c>
      <c r="H64" s="143">
        <v>41659</v>
      </c>
      <c r="I64" s="108">
        <v>41841</v>
      </c>
      <c r="J64" s="128" t="s">
        <v>760</v>
      </c>
      <c r="K64" s="24" t="s">
        <v>27</v>
      </c>
      <c r="L64" s="24" t="s">
        <v>28</v>
      </c>
      <c r="M64" s="134">
        <f t="shared" si="1"/>
        <v>6</v>
      </c>
    </row>
    <row r="65" spans="1:13" ht="20.100000000000001" customHeight="1">
      <c r="A65" s="105" t="s">
        <v>799</v>
      </c>
      <c r="B65" s="117" t="s">
        <v>48</v>
      </c>
      <c r="C65" s="104" t="s">
        <v>747</v>
      </c>
      <c r="D65" s="104" t="s">
        <v>748</v>
      </c>
      <c r="E65" s="104" t="s">
        <v>800</v>
      </c>
      <c r="F65" s="139" t="s">
        <v>46</v>
      </c>
      <c r="G65" s="149">
        <v>42069</v>
      </c>
      <c r="H65" s="143">
        <v>42251</v>
      </c>
      <c r="I65" s="108">
        <v>42433</v>
      </c>
      <c r="J65" s="128" t="s">
        <v>801</v>
      </c>
      <c r="K65" s="24" t="s">
        <v>540</v>
      </c>
      <c r="L65" s="62" t="s">
        <v>0</v>
      </c>
      <c r="M65" s="134">
        <f t="shared" si="1"/>
        <v>5</v>
      </c>
    </row>
    <row r="66" spans="1:13" ht="20.100000000000001" customHeight="1">
      <c r="A66" s="106" t="s">
        <v>802</v>
      </c>
      <c r="B66" s="117" t="s">
        <v>803</v>
      </c>
      <c r="C66" s="104" t="s">
        <v>763</v>
      </c>
      <c r="D66" s="104" t="s">
        <v>748</v>
      </c>
      <c r="E66" s="104" t="s">
        <v>777</v>
      </c>
      <c r="F66" s="139" t="s">
        <v>804</v>
      </c>
      <c r="G66" s="149">
        <v>42851</v>
      </c>
      <c r="H66" s="143">
        <v>43023</v>
      </c>
      <c r="I66" s="108">
        <v>43205</v>
      </c>
      <c r="J66" s="129" t="s">
        <v>805</v>
      </c>
      <c r="K66" s="24" t="s">
        <v>540</v>
      </c>
      <c r="L66" s="62" t="s">
        <v>0</v>
      </c>
      <c r="M66" s="134">
        <f t="shared" si="1"/>
        <v>5</v>
      </c>
    </row>
    <row r="67" spans="1:13" ht="20.100000000000001" customHeight="1">
      <c r="A67" s="106" t="s">
        <v>806</v>
      </c>
      <c r="B67" s="118" t="s">
        <v>807</v>
      </c>
      <c r="C67" s="104" t="s">
        <v>763</v>
      </c>
      <c r="D67" s="104" t="s">
        <v>748</v>
      </c>
      <c r="E67" s="104" t="s">
        <v>777</v>
      </c>
      <c r="F67" s="139" t="s">
        <v>808</v>
      </c>
      <c r="G67" s="149">
        <v>43218</v>
      </c>
      <c r="H67" s="143">
        <v>43308</v>
      </c>
      <c r="I67" s="108">
        <v>43399</v>
      </c>
      <c r="J67" s="128" t="s">
        <v>805</v>
      </c>
      <c r="K67" s="24" t="s">
        <v>540</v>
      </c>
      <c r="L67" s="62" t="s">
        <v>0</v>
      </c>
      <c r="M67" s="134">
        <f t="shared" ref="M67:M130" si="3">DATEDIF(G67,H67,"m")</f>
        <v>2</v>
      </c>
    </row>
    <row r="68" spans="1:13" ht="20.100000000000001" customHeight="1">
      <c r="A68" s="105" t="s">
        <v>809</v>
      </c>
      <c r="B68" s="117" t="s">
        <v>53</v>
      </c>
      <c r="C68" s="104" t="s">
        <v>747</v>
      </c>
      <c r="D68" s="104" t="s">
        <v>748</v>
      </c>
      <c r="E68" s="104" t="s">
        <v>810</v>
      </c>
      <c r="F68" s="139" t="s">
        <v>811</v>
      </c>
      <c r="G68" s="149">
        <v>41039</v>
      </c>
      <c r="H68" s="143">
        <v>41215</v>
      </c>
      <c r="I68" s="108">
        <v>41397</v>
      </c>
      <c r="J68" s="128" t="s">
        <v>812</v>
      </c>
      <c r="K68" s="24" t="s">
        <v>27</v>
      </c>
      <c r="L68" s="24" t="s">
        <v>28</v>
      </c>
      <c r="M68" s="134">
        <f t="shared" si="3"/>
        <v>5</v>
      </c>
    </row>
    <row r="69" spans="1:13" ht="20.100000000000001" customHeight="1">
      <c r="A69" s="105" t="s">
        <v>813</v>
      </c>
      <c r="B69" s="117" t="s">
        <v>58</v>
      </c>
      <c r="C69" s="104" t="s">
        <v>747</v>
      </c>
      <c r="D69" s="104" t="s">
        <v>748</v>
      </c>
      <c r="E69" s="104" t="s">
        <v>749</v>
      </c>
      <c r="F69" s="139" t="s">
        <v>814</v>
      </c>
      <c r="G69" s="149">
        <v>41506</v>
      </c>
      <c r="H69" s="143">
        <v>41687</v>
      </c>
      <c r="I69" s="108">
        <v>41869</v>
      </c>
      <c r="J69" s="129" t="s">
        <v>815</v>
      </c>
      <c r="K69" s="24" t="s">
        <v>27</v>
      </c>
      <c r="L69" s="24" t="s">
        <v>28</v>
      </c>
      <c r="M69" s="134">
        <f t="shared" si="3"/>
        <v>5</v>
      </c>
    </row>
    <row r="70" spans="1:13" ht="20.100000000000001" customHeight="1">
      <c r="A70" s="106" t="s">
        <v>816</v>
      </c>
      <c r="B70" s="117" t="s">
        <v>65</v>
      </c>
      <c r="C70" s="104" t="s">
        <v>747</v>
      </c>
      <c r="D70" s="104" t="s">
        <v>748</v>
      </c>
      <c r="E70" s="104" t="s">
        <v>777</v>
      </c>
      <c r="F70" s="139" t="s">
        <v>817</v>
      </c>
      <c r="G70" s="149">
        <v>42550</v>
      </c>
      <c r="H70" s="143">
        <v>42745</v>
      </c>
      <c r="I70" s="108">
        <v>42926</v>
      </c>
      <c r="J70" s="129" t="s">
        <v>770</v>
      </c>
      <c r="K70" s="24" t="s">
        <v>27</v>
      </c>
      <c r="L70" s="24" t="s">
        <v>28</v>
      </c>
      <c r="M70" s="134">
        <f t="shared" si="3"/>
        <v>6</v>
      </c>
    </row>
    <row r="71" spans="1:13" ht="20.100000000000001" customHeight="1">
      <c r="A71" s="105" t="s">
        <v>818</v>
      </c>
      <c r="B71" s="123" t="s">
        <v>819</v>
      </c>
      <c r="C71" s="104" t="s">
        <v>747</v>
      </c>
      <c r="D71" s="104" t="s">
        <v>782</v>
      </c>
      <c r="E71" s="104" t="s">
        <v>820</v>
      </c>
      <c r="F71" s="139" t="s">
        <v>821</v>
      </c>
      <c r="G71" s="149">
        <v>41090</v>
      </c>
      <c r="H71" s="143">
        <v>41274</v>
      </c>
      <c r="I71" s="108">
        <v>41455</v>
      </c>
      <c r="J71" s="130" t="s">
        <v>770</v>
      </c>
      <c r="K71" s="24" t="s">
        <v>27</v>
      </c>
      <c r="L71" s="24" t="s">
        <v>28</v>
      </c>
      <c r="M71" s="134">
        <f t="shared" si="3"/>
        <v>6</v>
      </c>
    </row>
    <row r="72" spans="1:13" ht="20.100000000000001" customHeight="1">
      <c r="A72" s="105" t="s">
        <v>818</v>
      </c>
      <c r="B72" s="123" t="s">
        <v>822</v>
      </c>
      <c r="C72" s="104" t="s">
        <v>747</v>
      </c>
      <c r="D72" s="104" t="s">
        <v>782</v>
      </c>
      <c r="E72" s="104" t="s">
        <v>820</v>
      </c>
      <c r="F72" s="139" t="s">
        <v>823</v>
      </c>
      <c r="G72" s="149">
        <v>41114</v>
      </c>
      <c r="H72" s="143">
        <v>41274</v>
      </c>
      <c r="I72" s="108">
        <v>41455</v>
      </c>
      <c r="J72" s="130" t="s">
        <v>770</v>
      </c>
      <c r="K72" s="24" t="s">
        <v>27</v>
      </c>
      <c r="L72" s="24" t="s">
        <v>28</v>
      </c>
      <c r="M72" s="134">
        <f t="shared" si="3"/>
        <v>5</v>
      </c>
    </row>
    <row r="73" spans="1:13" ht="20.100000000000001" customHeight="1">
      <c r="A73" s="105" t="s">
        <v>824</v>
      </c>
      <c r="B73" s="117" t="s">
        <v>70</v>
      </c>
      <c r="C73" s="104" t="s">
        <v>747</v>
      </c>
      <c r="D73" s="104" t="s">
        <v>782</v>
      </c>
      <c r="E73" s="104" t="s">
        <v>825</v>
      </c>
      <c r="F73" s="139" t="s">
        <v>826</v>
      </c>
      <c r="G73" s="149">
        <v>42096</v>
      </c>
      <c r="H73" s="152" t="s">
        <v>71</v>
      </c>
      <c r="I73" s="108">
        <v>42460</v>
      </c>
      <c r="J73" s="128" t="s">
        <v>827</v>
      </c>
      <c r="K73" s="24" t="s">
        <v>73</v>
      </c>
      <c r="L73" s="24" t="s">
        <v>74</v>
      </c>
      <c r="M73" s="134" t="e">
        <f>DATEDIF(G73,H73,"m")</f>
        <v>#VALUE!</v>
      </c>
    </row>
    <row r="74" spans="1:13" ht="20.100000000000001" customHeight="1">
      <c r="A74" s="105" t="s">
        <v>828</v>
      </c>
      <c r="B74" s="117" t="s">
        <v>78</v>
      </c>
      <c r="C74" s="104" t="s">
        <v>747</v>
      </c>
      <c r="D74" s="104" t="s">
        <v>748</v>
      </c>
      <c r="E74" s="104" t="s">
        <v>829</v>
      </c>
      <c r="F74" s="139" t="s">
        <v>830</v>
      </c>
      <c r="G74" s="149">
        <v>42593</v>
      </c>
      <c r="H74" s="143" t="s">
        <v>533</v>
      </c>
      <c r="I74" s="108"/>
      <c r="J74" s="128" t="s">
        <v>831</v>
      </c>
      <c r="K74" s="24" t="s">
        <v>73</v>
      </c>
      <c r="L74" s="24" t="s">
        <v>74</v>
      </c>
      <c r="M74" s="134" t="e">
        <f t="shared" si="3"/>
        <v>#VALUE!</v>
      </c>
    </row>
    <row r="75" spans="1:13" ht="20.100000000000001" customHeight="1">
      <c r="A75" s="105" t="s">
        <v>832</v>
      </c>
      <c r="B75" s="117" t="s">
        <v>82</v>
      </c>
      <c r="C75" s="104" t="s">
        <v>747</v>
      </c>
      <c r="D75" s="104" t="s">
        <v>748</v>
      </c>
      <c r="E75" s="104" t="s">
        <v>833</v>
      </c>
      <c r="F75" s="139" t="s">
        <v>834</v>
      </c>
      <c r="G75" s="149">
        <v>42656</v>
      </c>
      <c r="H75" s="143" t="s">
        <v>533</v>
      </c>
      <c r="I75" s="108"/>
      <c r="J75" s="129" t="s">
        <v>835</v>
      </c>
      <c r="K75" s="24" t="s">
        <v>73</v>
      </c>
      <c r="L75" s="24" t="s">
        <v>74</v>
      </c>
      <c r="M75" s="134" t="e">
        <f t="shared" si="3"/>
        <v>#VALUE!</v>
      </c>
    </row>
    <row r="76" spans="1:13" ht="20.100000000000001" customHeight="1">
      <c r="A76" s="105" t="s">
        <v>836</v>
      </c>
      <c r="B76" s="123" t="s">
        <v>85</v>
      </c>
      <c r="C76" s="104" t="s">
        <v>747</v>
      </c>
      <c r="D76" s="104" t="s">
        <v>748</v>
      </c>
      <c r="E76" s="104" t="s">
        <v>749</v>
      </c>
      <c r="F76" s="139" t="s">
        <v>837</v>
      </c>
      <c r="G76" s="149">
        <v>41135</v>
      </c>
      <c r="H76" s="143">
        <v>41316</v>
      </c>
      <c r="I76" s="108">
        <v>41498</v>
      </c>
      <c r="J76" s="128" t="s">
        <v>770</v>
      </c>
      <c r="K76" s="24" t="s">
        <v>27</v>
      </c>
      <c r="L76" s="24" t="s">
        <v>28</v>
      </c>
      <c r="M76" s="134">
        <f t="shared" si="3"/>
        <v>5</v>
      </c>
    </row>
    <row r="77" spans="1:13" ht="20.100000000000001" customHeight="1">
      <c r="A77" s="105" t="s">
        <v>838</v>
      </c>
      <c r="B77" s="123" t="s">
        <v>839</v>
      </c>
      <c r="C77" s="104" t="s">
        <v>763</v>
      </c>
      <c r="D77" s="104" t="s">
        <v>748</v>
      </c>
      <c r="E77" s="104" t="s">
        <v>777</v>
      </c>
      <c r="F77" s="139" t="s">
        <v>840</v>
      </c>
      <c r="G77" s="149">
        <v>41852</v>
      </c>
      <c r="H77" s="143">
        <v>42034</v>
      </c>
      <c r="I77" s="108">
        <v>42216</v>
      </c>
      <c r="J77" s="128" t="s">
        <v>841</v>
      </c>
      <c r="K77" s="24" t="s">
        <v>27</v>
      </c>
      <c r="L77" s="24" t="s">
        <v>28</v>
      </c>
      <c r="M77" s="134">
        <f t="shared" si="3"/>
        <v>5</v>
      </c>
    </row>
    <row r="78" spans="1:13" ht="20.100000000000001" customHeight="1">
      <c r="A78" s="105" t="s">
        <v>842</v>
      </c>
      <c r="B78" s="123" t="s">
        <v>87</v>
      </c>
      <c r="C78" s="104" t="s">
        <v>747</v>
      </c>
      <c r="D78" s="104" t="s">
        <v>782</v>
      </c>
      <c r="E78" s="104" t="s">
        <v>843</v>
      </c>
      <c r="F78" s="139" t="s">
        <v>844</v>
      </c>
      <c r="G78" s="149">
        <v>42108</v>
      </c>
      <c r="H78" s="143">
        <v>42292</v>
      </c>
      <c r="I78" s="108">
        <v>42475</v>
      </c>
      <c r="J78" s="128" t="s">
        <v>845</v>
      </c>
      <c r="K78" s="24" t="s">
        <v>27</v>
      </c>
      <c r="L78" s="24" t="s">
        <v>28</v>
      </c>
      <c r="M78" s="134">
        <f t="shared" si="3"/>
        <v>6</v>
      </c>
    </row>
    <row r="79" spans="1:13" ht="20.100000000000001" customHeight="1">
      <c r="A79" s="105" t="s">
        <v>846</v>
      </c>
      <c r="B79" s="123" t="s">
        <v>847</v>
      </c>
      <c r="C79" s="104" t="s">
        <v>747</v>
      </c>
      <c r="D79" s="104" t="s">
        <v>782</v>
      </c>
      <c r="E79" s="104" t="s">
        <v>848</v>
      </c>
      <c r="F79" s="139" t="s">
        <v>849</v>
      </c>
      <c r="G79" s="149">
        <v>41622</v>
      </c>
      <c r="H79" s="143">
        <v>41820</v>
      </c>
      <c r="I79" s="108">
        <v>42003</v>
      </c>
      <c r="J79" s="128" t="s">
        <v>845</v>
      </c>
      <c r="K79" s="24" t="s">
        <v>27</v>
      </c>
      <c r="L79" s="24" t="s">
        <v>28</v>
      </c>
      <c r="M79" s="134">
        <f t="shared" si="3"/>
        <v>6</v>
      </c>
    </row>
    <row r="80" spans="1:13" ht="20.100000000000001" customHeight="1">
      <c r="A80" s="105" t="s">
        <v>850</v>
      </c>
      <c r="B80" s="117" t="s">
        <v>91</v>
      </c>
      <c r="C80" s="104" t="s">
        <v>747</v>
      </c>
      <c r="D80" s="104" t="s">
        <v>748</v>
      </c>
      <c r="E80" s="104" t="s">
        <v>851</v>
      </c>
      <c r="F80" s="139" t="s">
        <v>852</v>
      </c>
      <c r="G80" s="149">
        <v>42146</v>
      </c>
      <c r="H80" s="143">
        <v>42328</v>
      </c>
      <c r="I80" s="108">
        <v>42510</v>
      </c>
      <c r="J80" s="128" t="s">
        <v>853</v>
      </c>
      <c r="K80" s="24" t="s">
        <v>73</v>
      </c>
      <c r="L80" s="24" t="s">
        <v>74</v>
      </c>
      <c r="M80" s="134">
        <f t="shared" si="3"/>
        <v>5</v>
      </c>
    </row>
    <row r="81" spans="1:13" ht="20.100000000000001" customHeight="1">
      <c r="A81" s="105" t="s">
        <v>854</v>
      </c>
      <c r="B81" s="117" t="s">
        <v>95</v>
      </c>
      <c r="C81" s="104" t="s">
        <v>747</v>
      </c>
      <c r="D81" s="104" t="s">
        <v>748</v>
      </c>
      <c r="E81" s="104" t="s">
        <v>855</v>
      </c>
      <c r="F81" s="139" t="s">
        <v>856</v>
      </c>
      <c r="G81" s="149">
        <v>42626</v>
      </c>
      <c r="H81" s="143">
        <v>42807</v>
      </c>
      <c r="I81" s="108">
        <v>42989</v>
      </c>
      <c r="J81" s="128" t="s">
        <v>857</v>
      </c>
      <c r="K81" s="24" t="s">
        <v>27</v>
      </c>
      <c r="L81" s="24" t="s">
        <v>28</v>
      </c>
      <c r="M81" s="134">
        <f t="shared" si="3"/>
        <v>6</v>
      </c>
    </row>
    <row r="82" spans="1:13" ht="20.100000000000001" customHeight="1">
      <c r="A82" s="105" t="s">
        <v>858</v>
      </c>
      <c r="B82" s="123" t="s">
        <v>859</v>
      </c>
      <c r="C82" s="104" t="s">
        <v>747</v>
      </c>
      <c r="D82" s="104" t="s">
        <v>782</v>
      </c>
      <c r="E82" s="104" t="s">
        <v>860</v>
      </c>
      <c r="F82" s="139" t="s">
        <v>861</v>
      </c>
      <c r="G82" s="149">
        <v>41633</v>
      </c>
      <c r="H82" s="143">
        <v>41820</v>
      </c>
      <c r="I82" s="108">
        <v>42003</v>
      </c>
      <c r="J82" t="s">
        <v>862</v>
      </c>
      <c r="K82" s="24" t="s">
        <v>540</v>
      </c>
      <c r="L82" s="62" t="s">
        <v>0</v>
      </c>
      <c r="M82" s="134">
        <f t="shared" si="3"/>
        <v>6</v>
      </c>
    </row>
    <row r="83" spans="1:13" ht="20.100000000000001" customHeight="1">
      <c r="A83" s="105" t="s">
        <v>863</v>
      </c>
      <c r="B83" s="117" t="s">
        <v>98</v>
      </c>
      <c r="C83" s="104" t="s">
        <v>747</v>
      </c>
      <c r="D83" s="104" t="s">
        <v>748</v>
      </c>
      <c r="E83" s="104" t="s">
        <v>851</v>
      </c>
      <c r="F83" s="139" t="s">
        <v>864</v>
      </c>
      <c r="G83" s="149">
        <v>42185</v>
      </c>
      <c r="H83" s="143">
        <v>42366</v>
      </c>
      <c r="I83" s="108">
        <v>42548</v>
      </c>
      <c r="J83" s="128" t="s">
        <v>865</v>
      </c>
      <c r="K83" s="24" t="s">
        <v>73</v>
      </c>
      <c r="L83" s="24" t="s">
        <v>74</v>
      </c>
      <c r="M83" s="134">
        <f t="shared" si="3"/>
        <v>5</v>
      </c>
    </row>
    <row r="84" spans="1:13" ht="20.100000000000001" customHeight="1">
      <c r="A84" s="105" t="s">
        <v>866</v>
      </c>
      <c r="B84" s="117" t="s">
        <v>102</v>
      </c>
      <c r="C84" s="104" t="s">
        <v>747</v>
      </c>
      <c r="D84" s="104" t="s">
        <v>748</v>
      </c>
      <c r="E84" s="104" t="s">
        <v>749</v>
      </c>
      <c r="F84" s="139" t="s">
        <v>867</v>
      </c>
      <c r="G84" s="149">
        <v>41188</v>
      </c>
      <c r="H84" s="143">
        <v>41369</v>
      </c>
      <c r="I84" s="108">
        <v>41551</v>
      </c>
      <c r="J84" s="128" t="s">
        <v>868</v>
      </c>
      <c r="K84" s="24" t="s">
        <v>73</v>
      </c>
      <c r="L84" s="24" t="s">
        <v>74</v>
      </c>
      <c r="M84" s="134">
        <f t="shared" si="3"/>
        <v>5</v>
      </c>
    </row>
    <row r="85" spans="1:13" ht="20.100000000000001" customHeight="1">
      <c r="A85" s="105" t="s">
        <v>869</v>
      </c>
      <c r="B85" s="117" t="s">
        <v>106</v>
      </c>
      <c r="C85" s="104" t="s">
        <v>747</v>
      </c>
      <c r="D85" s="104" t="s">
        <v>748</v>
      </c>
      <c r="E85" s="104" t="s">
        <v>870</v>
      </c>
      <c r="F85" s="139" t="s">
        <v>871</v>
      </c>
      <c r="G85" s="149">
        <v>42185</v>
      </c>
      <c r="H85" s="143">
        <v>42366</v>
      </c>
      <c r="I85" s="108">
        <v>42548</v>
      </c>
      <c r="J85" s="128" t="s">
        <v>872</v>
      </c>
      <c r="K85" s="24" t="s">
        <v>27</v>
      </c>
      <c r="L85" s="24" t="s">
        <v>28</v>
      </c>
      <c r="M85" s="134">
        <f t="shared" si="3"/>
        <v>5</v>
      </c>
    </row>
    <row r="86" spans="1:13" ht="20.100000000000001" customHeight="1">
      <c r="A86" s="106" t="s">
        <v>873</v>
      </c>
      <c r="B86" s="118" t="s">
        <v>176</v>
      </c>
      <c r="C86" s="104" t="s">
        <v>747</v>
      </c>
      <c r="D86" s="104" t="s">
        <v>748</v>
      </c>
      <c r="E86" s="104" t="s">
        <v>874</v>
      </c>
      <c r="F86" s="139" t="s">
        <v>875</v>
      </c>
      <c r="G86" s="149">
        <v>43722</v>
      </c>
      <c r="H86" s="143">
        <v>43903</v>
      </c>
      <c r="I86" s="108">
        <v>44088</v>
      </c>
      <c r="J86" s="128" t="s">
        <v>876</v>
      </c>
      <c r="K86" s="24" t="s">
        <v>27</v>
      </c>
      <c r="L86" s="24" t="s">
        <v>28</v>
      </c>
      <c r="M86" s="134">
        <f t="shared" si="3"/>
        <v>5</v>
      </c>
    </row>
    <row r="87" spans="1:13" ht="20.100000000000001" customHeight="1">
      <c r="A87" s="105" t="s">
        <v>877</v>
      </c>
      <c r="B87" s="123" t="s">
        <v>111</v>
      </c>
      <c r="C87" s="104" t="s">
        <v>747</v>
      </c>
      <c r="D87" s="104" t="s">
        <v>748</v>
      </c>
      <c r="E87" s="104" t="s">
        <v>749</v>
      </c>
      <c r="F87" s="139" t="s">
        <v>878</v>
      </c>
      <c r="G87" s="149">
        <v>41188</v>
      </c>
      <c r="H87" s="143">
        <v>41369</v>
      </c>
      <c r="I87" s="108">
        <v>41551</v>
      </c>
      <c r="J87" s="128" t="s">
        <v>879</v>
      </c>
      <c r="K87" s="24" t="s">
        <v>75</v>
      </c>
      <c r="L87" s="24" t="s">
        <v>103</v>
      </c>
      <c r="M87" s="134">
        <f t="shared" si="3"/>
        <v>5</v>
      </c>
    </row>
    <row r="88" spans="1:13" ht="20.100000000000001" customHeight="1">
      <c r="A88" s="105" t="s">
        <v>880</v>
      </c>
      <c r="B88" s="117" t="s">
        <v>114</v>
      </c>
      <c r="C88" s="104" t="s">
        <v>747</v>
      </c>
      <c r="D88" s="104" t="s">
        <v>782</v>
      </c>
      <c r="E88" s="104" t="s">
        <v>881</v>
      </c>
      <c r="F88" s="139" t="s">
        <v>882</v>
      </c>
      <c r="G88" s="149">
        <v>42714</v>
      </c>
      <c r="H88" s="143">
        <v>42895</v>
      </c>
      <c r="I88" s="108">
        <v>43078</v>
      </c>
      <c r="J88" s="128" t="s">
        <v>883</v>
      </c>
      <c r="K88" s="24" t="s">
        <v>73</v>
      </c>
      <c r="L88" s="24" t="s">
        <v>74</v>
      </c>
      <c r="M88" s="134">
        <f t="shared" si="3"/>
        <v>5</v>
      </c>
    </row>
    <row r="89" spans="1:13" ht="20.100000000000001" customHeight="1">
      <c r="A89" s="106" t="s">
        <v>884</v>
      </c>
      <c r="B89" s="123" t="s">
        <v>117</v>
      </c>
      <c r="C89" s="104" t="s">
        <v>747</v>
      </c>
      <c r="D89" s="104" t="s">
        <v>782</v>
      </c>
      <c r="E89" s="104" t="s">
        <v>885</v>
      </c>
      <c r="F89" s="139" t="s">
        <v>886</v>
      </c>
      <c r="G89" s="149">
        <v>41240</v>
      </c>
      <c r="H89" s="143">
        <v>41424</v>
      </c>
      <c r="I89" s="108">
        <v>41608</v>
      </c>
      <c r="J89" t="s">
        <v>119</v>
      </c>
      <c r="K89" s="125" t="s">
        <v>27</v>
      </c>
      <c r="L89" s="24" t="s">
        <v>28</v>
      </c>
      <c r="M89" s="134">
        <f t="shared" si="3"/>
        <v>6</v>
      </c>
    </row>
    <row r="90" spans="1:13" ht="20.100000000000001" customHeight="1">
      <c r="A90" s="105" t="s">
        <v>887</v>
      </c>
      <c r="B90" s="123" t="s">
        <v>888</v>
      </c>
      <c r="C90" s="104" t="s">
        <v>747</v>
      </c>
      <c r="D90" s="104" t="s">
        <v>782</v>
      </c>
      <c r="E90" s="104" t="s">
        <v>889</v>
      </c>
      <c r="F90" s="139" t="s">
        <v>890</v>
      </c>
      <c r="G90" s="149">
        <v>41265</v>
      </c>
      <c r="H90" s="143">
        <v>41455</v>
      </c>
      <c r="I90" s="108">
        <v>41638</v>
      </c>
      <c r="J90" t="s">
        <v>88</v>
      </c>
      <c r="K90" s="24" t="s">
        <v>27</v>
      </c>
      <c r="L90" s="24" t="s">
        <v>28</v>
      </c>
      <c r="M90" s="134">
        <f t="shared" si="3"/>
        <v>6</v>
      </c>
    </row>
    <row r="91" spans="1:13" ht="20.100000000000001" customHeight="1">
      <c r="A91" s="105" t="s">
        <v>891</v>
      </c>
      <c r="B91" s="117" t="s">
        <v>892</v>
      </c>
      <c r="C91" s="104" t="s">
        <v>747</v>
      </c>
      <c r="D91" s="104" t="s">
        <v>782</v>
      </c>
      <c r="E91" s="104" t="s">
        <v>893</v>
      </c>
      <c r="F91" s="139" t="s">
        <v>894</v>
      </c>
      <c r="G91" s="149">
        <v>42279</v>
      </c>
      <c r="H91" s="143">
        <v>42454</v>
      </c>
      <c r="I91" s="108">
        <v>42638</v>
      </c>
      <c r="J91" s="130" t="s">
        <v>895</v>
      </c>
      <c r="K91" s="24" t="s">
        <v>73</v>
      </c>
      <c r="L91" s="24" t="s">
        <v>74</v>
      </c>
      <c r="M91" s="134">
        <f t="shared" si="3"/>
        <v>5</v>
      </c>
    </row>
    <row r="92" spans="1:13" ht="20.100000000000001" customHeight="1">
      <c r="A92" s="105" t="s">
        <v>896</v>
      </c>
      <c r="B92" s="123" t="s">
        <v>897</v>
      </c>
      <c r="C92" s="104" t="s">
        <v>747</v>
      </c>
      <c r="D92" s="104" t="s">
        <v>782</v>
      </c>
      <c r="E92" s="104" t="s">
        <v>898</v>
      </c>
      <c r="F92" s="139" t="s">
        <v>899</v>
      </c>
      <c r="G92" s="149">
        <v>42319</v>
      </c>
      <c r="H92" s="143">
        <v>42496</v>
      </c>
      <c r="I92" s="108">
        <v>42680</v>
      </c>
      <c r="J92" s="128" t="s">
        <v>900</v>
      </c>
      <c r="M92" s="134">
        <f t="shared" si="3"/>
        <v>5</v>
      </c>
    </row>
    <row r="93" spans="1:13" ht="20.100000000000001" customHeight="1">
      <c r="A93" s="105" t="s">
        <v>901</v>
      </c>
      <c r="B93" s="117" t="s">
        <v>902</v>
      </c>
      <c r="C93" s="104" t="s">
        <v>903</v>
      </c>
      <c r="D93" s="104" t="s">
        <v>703</v>
      </c>
      <c r="E93" s="104" t="s">
        <v>904</v>
      </c>
      <c r="F93" s="139" t="s">
        <v>905</v>
      </c>
      <c r="G93" s="149">
        <v>40243</v>
      </c>
      <c r="H93" s="143">
        <v>40476</v>
      </c>
      <c r="I93" s="108">
        <v>40476</v>
      </c>
      <c r="J93" s="128" t="s">
        <v>906</v>
      </c>
      <c r="K93" s="24" t="s">
        <v>540</v>
      </c>
      <c r="L93" s="62" t="s">
        <v>0</v>
      </c>
      <c r="M93" s="134">
        <f t="shared" si="3"/>
        <v>7</v>
      </c>
    </row>
    <row r="94" spans="1:13" ht="20.100000000000001" customHeight="1">
      <c r="A94" s="105" t="s">
        <v>907</v>
      </c>
      <c r="B94" s="117" t="s">
        <v>908</v>
      </c>
      <c r="C94" s="104" t="s">
        <v>909</v>
      </c>
      <c r="D94" s="104" t="s">
        <v>703</v>
      </c>
      <c r="E94" s="104" t="s">
        <v>910</v>
      </c>
      <c r="F94" s="139" t="s">
        <v>911</v>
      </c>
      <c r="G94" s="149">
        <v>40227</v>
      </c>
      <c r="H94" s="143">
        <v>40298</v>
      </c>
      <c r="I94" s="108">
        <v>40329</v>
      </c>
      <c r="J94" s="128" t="s">
        <v>912</v>
      </c>
      <c r="K94" s="24" t="s">
        <v>73</v>
      </c>
      <c r="L94" s="24" t="s">
        <v>74</v>
      </c>
      <c r="M94" s="134">
        <f t="shared" si="3"/>
        <v>2</v>
      </c>
    </row>
    <row r="95" spans="1:13" ht="20.100000000000001" customHeight="1">
      <c r="A95" s="105" t="s">
        <v>913</v>
      </c>
      <c r="B95" s="123" t="s">
        <v>914</v>
      </c>
      <c r="C95" s="104" t="s">
        <v>903</v>
      </c>
      <c r="D95" s="104" t="s">
        <v>703</v>
      </c>
      <c r="E95" s="104" t="s">
        <v>915</v>
      </c>
      <c r="F95" s="139" t="s">
        <v>916</v>
      </c>
      <c r="G95" s="149">
        <v>40243</v>
      </c>
      <c r="H95" s="142" t="s">
        <v>546</v>
      </c>
      <c r="I95" s="109"/>
      <c r="J95" s="128" t="s">
        <v>917</v>
      </c>
      <c r="K95" s="24" t="s">
        <v>36</v>
      </c>
      <c r="L95" s="24" t="s">
        <v>28</v>
      </c>
      <c r="M95" s="134" t="e">
        <f t="shared" si="3"/>
        <v>#VALUE!</v>
      </c>
    </row>
    <row r="96" spans="1:13" ht="20.100000000000001" customHeight="1">
      <c r="A96" s="105" t="s">
        <v>918</v>
      </c>
      <c r="B96" s="117" t="s">
        <v>919</v>
      </c>
      <c r="C96" s="104" t="s">
        <v>903</v>
      </c>
      <c r="D96" s="104" t="s">
        <v>703</v>
      </c>
      <c r="E96" s="104" t="s">
        <v>920</v>
      </c>
      <c r="F96" s="139" t="s">
        <v>921</v>
      </c>
      <c r="G96" s="149">
        <v>40250</v>
      </c>
      <c r="H96" s="143" t="s">
        <v>546</v>
      </c>
      <c r="I96" s="108"/>
      <c r="J96" s="128" t="s">
        <v>917</v>
      </c>
      <c r="K96" s="24" t="s">
        <v>36</v>
      </c>
      <c r="L96" s="24" t="s">
        <v>28</v>
      </c>
      <c r="M96" s="134" t="e">
        <f t="shared" si="3"/>
        <v>#VALUE!</v>
      </c>
    </row>
    <row r="97" spans="1:13" ht="20.100000000000001" customHeight="1">
      <c r="A97" s="105" t="s">
        <v>922</v>
      </c>
      <c r="B97" s="117" t="s">
        <v>923</v>
      </c>
      <c r="C97" s="104" t="s">
        <v>924</v>
      </c>
      <c r="D97" s="104" t="s">
        <v>703</v>
      </c>
      <c r="E97" s="104" t="s">
        <v>925</v>
      </c>
      <c r="F97" s="139" t="s">
        <v>926</v>
      </c>
      <c r="G97" s="149">
        <v>40250</v>
      </c>
      <c r="H97" s="143" t="s">
        <v>546</v>
      </c>
      <c r="I97" s="108"/>
      <c r="J97" s="128" t="s">
        <v>917</v>
      </c>
      <c r="K97" s="24" t="s">
        <v>36</v>
      </c>
      <c r="L97" s="24" t="s">
        <v>28</v>
      </c>
      <c r="M97" s="134" t="e">
        <f t="shared" si="3"/>
        <v>#VALUE!</v>
      </c>
    </row>
    <row r="98" spans="1:13" ht="20.100000000000001" customHeight="1">
      <c r="A98" s="105" t="s">
        <v>927</v>
      </c>
      <c r="B98" s="117" t="s">
        <v>928</v>
      </c>
      <c r="C98" s="104" t="s">
        <v>909</v>
      </c>
      <c r="D98" s="104" t="s">
        <v>703</v>
      </c>
      <c r="E98" s="104" t="s">
        <v>929</v>
      </c>
      <c r="F98" s="139" t="s">
        <v>930</v>
      </c>
      <c r="G98" s="149">
        <v>40484</v>
      </c>
      <c r="H98" s="143">
        <v>40476</v>
      </c>
      <c r="I98" s="108">
        <v>40476</v>
      </c>
      <c r="J98" s="128" t="s">
        <v>906</v>
      </c>
      <c r="K98" s="24" t="s">
        <v>540</v>
      </c>
      <c r="L98" s="62" t="s">
        <v>0</v>
      </c>
      <c r="M98" s="134" t="e">
        <f t="shared" si="3"/>
        <v>#NUM!</v>
      </c>
    </row>
    <row r="99" spans="1:13" ht="20.100000000000001" customHeight="1">
      <c r="A99" s="105" t="s">
        <v>931</v>
      </c>
      <c r="B99" s="117" t="s">
        <v>932</v>
      </c>
      <c r="C99" s="104" t="s">
        <v>909</v>
      </c>
      <c r="D99" s="104" t="s">
        <v>703</v>
      </c>
      <c r="E99" s="104" t="s">
        <v>933</v>
      </c>
      <c r="F99" s="139" t="s">
        <v>934</v>
      </c>
      <c r="G99" s="149">
        <v>40682</v>
      </c>
      <c r="H99" s="143">
        <v>40844</v>
      </c>
      <c r="I99" s="108" t="s">
        <v>935</v>
      </c>
      <c r="J99" s="128" t="s">
        <v>917</v>
      </c>
      <c r="K99" s="24" t="s">
        <v>36</v>
      </c>
      <c r="L99" s="24" t="s">
        <v>28</v>
      </c>
      <c r="M99" s="134">
        <f t="shared" si="3"/>
        <v>5</v>
      </c>
    </row>
    <row r="100" spans="1:13" ht="20.100000000000001" customHeight="1">
      <c r="A100" s="105" t="s">
        <v>936</v>
      </c>
      <c r="B100" s="117" t="s">
        <v>937</v>
      </c>
      <c r="C100" s="104" t="s">
        <v>909</v>
      </c>
      <c r="D100" s="104" t="s">
        <v>703</v>
      </c>
      <c r="E100" s="104" t="s">
        <v>938</v>
      </c>
      <c r="F100" s="139" t="s">
        <v>939</v>
      </c>
      <c r="G100" s="149">
        <v>40851</v>
      </c>
      <c r="H100" s="142">
        <v>40907</v>
      </c>
      <c r="I100" s="109" t="s">
        <v>940</v>
      </c>
      <c r="J100" s="128" t="s">
        <v>917</v>
      </c>
      <c r="K100" s="24" t="s">
        <v>36</v>
      </c>
      <c r="L100" s="24" t="s">
        <v>28</v>
      </c>
      <c r="M100" s="134">
        <f t="shared" si="3"/>
        <v>1</v>
      </c>
    </row>
    <row r="101" spans="1:13" ht="20.100000000000001" customHeight="1">
      <c r="A101" s="105" t="s">
        <v>941</v>
      </c>
      <c r="B101" s="117" t="s">
        <v>942</v>
      </c>
      <c r="C101" s="104" t="s">
        <v>909</v>
      </c>
      <c r="D101" s="104" t="s">
        <v>703</v>
      </c>
      <c r="E101" s="104" t="s">
        <v>943</v>
      </c>
      <c r="F101" s="139" t="s">
        <v>944</v>
      </c>
      <c r="G101" s="149">
        <v>40941</v>
      </c>
      <c r="H101" s="143">
        <v>41099</v>
      </c>
      <c r="I101" s="108">
        <v>40977</v>
      </c>
      <c r="J101" s="128" t="s">
        <v>945</v>
      </c>
      <c r="K101" s="24" t="s">
        <v>36</v>
      </c>
      <c r="L101" s="24" t="s">
        <v>28</v>
      </c>
      <c r="M101" s="134">
        <f t="shared" si="3"/>
        <v>5</v>
      </c>
    </row>
    <row r="102" spans="1:13" ht="20.100000000000001" customHeight="1">
      <c r="A102" s="105" t="s">
        <v>946</v>
      </c>
      <c r="B102" s="117" t="s">
        <v>947</v>
      </c>
      <c r="C102" s="104" t="s">
        <v>909</v>
      </c>
      <c r="D102" s="104" t="s">
        <v>703</v>
      </c>
      <c r="E102" s="104" t="s">
        <v>948</v>
      </c>
      <c r="F102" s="139" t="s">
        <v>949</v>
      </c>
      <c r="G102" s="149">
        <v>41065</v>
      </c>
      <c r="H102" s="143" t="s">
        <v>546</v>
      </c>
      <c r="I102" s="108"/>
      <c r="J102" s="129" t="s">
        <v>945</v>
      </c>
      <c r="K102" s="24" t="s">
        <v>36</v>
      </c>
      <c r="L102" s="24" t="s">
        <v>28</v>
      </c>
      <c r="M102" s="134" t="e">
        <f t="shared" si="3"/>
        <v>#VALUE!</v>
      </c>
    </row>
    <row r="103" spans="1:13" ht="20.100000000000001" customHeight="1">
      <c r="A103" s="105" t="s">
        <v>950</v>
      </c>
      <c r="B103" s="117" t="s">
        <v>951</v>
      </c>
      <c r="C103" s="104" t="s">
        <v>952</v>
      </c>
      <c r="D103" s="104" t="s">
        <v>703</v>
      </c>
      <c r="E103" s="104" t="s">
        <v>953</v>
      </c>
      <c r="F103" s="139" t="s">
        <v>954</v>
      </c>
      <c r="G103" s="149">
        <v>41258</v>
      </c>
      <c r="H103" s="143" t="s">
        <v>546</v>
      </c>
      <c r="I103" s="108"/>
      <c r="J103" s="128" t="s">
        <v>955</v>
      </c>
      <c r="K103" s="24" t="s">
        <v>540</v>
      </c>
      <c r="L103" s="62" t="s">
        <v>0</v>
      </c>
      <c r="M103" s="134" t="e">
        <f t="shared" si="3"/>
        <v>#VALUE!</v>
      </c>
    </row>
    <row r="104" spans="1:13" ht="20.100000000000001" customHeight="1">
      <c r="A104" s="105" t="s">
        <v>956</v>
      </c>
      <c r="B104" s="117" t="s">
        <v>957</v>
      </c>
      <c r="C104" s="104" t="s">
        <v>952</v>
      </c>
      <c r="D104" s="104" t="s">
        <v>703</v>
      </c>
      <c r="E104" s="104" t="s">
        <v>958</v>
      </c>
      <c r="F104" s="139" t="s">
        <v>959</v>
      </c>
      <c r="G104" s="149">
        <v>41258</v>
      </c>
      <c r="H104" s="143" t="s">
        <v>546</v>
      </c>
      <c r="I104" s="108"/>
      <c r="J104" s="128" t="s">
        <v>955</v>
      </c>
      <c r="K104" s="24" t="s">
        <v>540</v>
      </c>
      <c r="L104" s="62" t="s">
        <v>0</v>
      </c>
      <c r="M104" s="134" t="e">
        <f t="shared" si="3"/>
        <v>#VALUE!</v>
      </c>
    </row>
    <row r="105" spans="1:13" ht="20.100000000000001" customHeight="1">
      <c r="A105" s="105" t="s">
        <v>960</v>
      </c>
      <c r="B105" s="123" t="s">
        <v>961</v>
      </c>
      <c r="C105" s="104" t="s">
        <v>909</v>
      </c>
      <c r="D105" s="104" t="s">
        <v>703</v>
      </c>
      <c r="E105" s="104" t="s">
        <v>962</v>
      </c>
      <c r="F105" s="139" t="s">
        <v>963</v>
      </c>
      <c r="G105" s="149">
        <v>41342</v>
      </c>
      <c r="H105" s="143" t="s">
        <v>546</v>
      </c>
      <c r="I105" s="108"/>
      <c r="J105" t="s">
        <v>964</v>
      </c>
      <c r="K105" s="24" t="s">
        <v>36</v>
      </c>
      <c r="L105" s="24" t="s">
        <v>28</v>
      </c>
      <c r="M105" s="134" t="e">
        <f t="shared" si="3"/>
        <v>#VALUE!</v>
      </c>
    </row>
    <row r="106" spans="1:13" ht="20.100000000000001" customHeight="1">
      <c r="A106" s="105" t="s">
        <v>965</v>
      </c>
      <c r="B106" s="117" t="s">
        <v>966</v>
      </c>
      <c r="C106" s="104" t="s">
        <v>909</v>
      </c>
      <c r="D106" s="104" t="s">
        <v>703</v>
      </c>
      <c r="E106" s="104" t="s">
        <v>967</v>
      </c>
      <c r="F106" s="139" t="s">
        <v>968</v>
      </c>
      <c r="G106" s="149">
        <v>41289</v>
      </c>
      <c r="H106" s="143">
        <v>41299</v>
      </c>
      <c r="I106" s="108"/>
      <c r="J106" s="128" t="s">
        <v>969</v>
      </c>
      <c r="K106" s="24" t="s">
        <v>73</v>
      </c>
      <c r="L106" s="24" t="s">
        <v>74</v>
      </c>
      <c r="M106" s="134">
        <f t="shared" si="3"/>
        <v>0</v>
      </c>
    </row>
    <row r="107" spans="1:13" ht="20.100000000000001" customHeight="1">
      <c r="A107" s="105" t="s">
        <v>970</v>
      </c>
      <c r="B107" s="117" t="s">
        <v>971</v>
      </c>
      <c r="C107" s="104" t="s">
        <v>909</v>
      </c>
      <c r="D107" s="104" t="s">
        <v>703</v>
      </c>
      <c r="E107" s="104" t="s">
        <v>972</v>
      </c>
      <c r="F107" s="139" t="s">
        <v>973</v>
      </c>
      <c r="G107" s="149">
        <v>41300</v>
      </c>
      <c r="H107" s="143">
        <v>41474</v>
      </c>
      <c r="I107" s="108"/>
      <c r="J107" s="128" t="s">
        <v>974</v>
      </c>
      <c r="K107" s="24" t="s">
        <v>540</v>
      </c>
      <c r="L107" s="62" t="s">
        <v>0</v>
      </c>
      <c r="M107" s="134">
        <f t="shared" si="3"/>
        <v>5</v>
      </c>
    </row>
    <row r="108" spans="1:13" ht="20.100000000000001" customHeight="1">
      <c r="A108" s="105" t="s">
        <v>970</v>
      </c>
      <c r="B108" s="117" t="s">
        <v>975</v>
      </c>
      <c r="C108" s="104" t="s">
        <v>909</v>
      </c>
      <c r="D108" s="104" t="s">
        <v>703</v>
      </c>
      <c r="E108" s="104" t="s">
        <v>972</v>
      </c>
      <c r="F108" s="139" t="s">
        <v>976</v>
      </c>
      <c r="G108" s="149">
        <v>41349</v>
      </c>
      <c r="H108" s="143">
        <v>41474</v>
      </c>
      <c r="I108" s="108"/>
      <c r="J108" s="128" t="s">
        <v>974</v>
      </c>
      <c r="K108" s="24" t="s">
        <v>540</v>
      </c>
      <c r="L108" s="62" t="s">
        <v>0</v>
      </c>
      <c r="M108" s="134">
        <f t="shared" si="3"/>
        <v>4</v>
      </c>
    </row>
    <row r="109" spans="1:13" ht="20.100000000000001" customHeight="1">
      <c r="A109" s="105" t="s">
        <v>977</v>
      </c>
      <c r="B109" s="117" t="s">
        <v>978</v>
      </c>
      <c r="C109" s="104" t="s">
        <v>909</v>
      </c>
      <c r="D109" s="104" t="s">
        <v>703</v>
      </c>
      <c r="E109" s="104" t="s">
        <v>979</v>
      </c>
      <c r="F109" s="139" t="s">
        <v>980</v>
      </c>
      <c r="G109" s="149">
        <v>41348</v>
      </c>
      <c r="H109" s="142">
        <v>41341</v>
      </c>
      <c r="I109" s="109"/>
      <c r="J109" s="128" t="s">
        <v>981</v>
      </c>
      <c r="K109" s="24" t="s">
        <v>73</v>
      </c>
      <c r="L109" s="24" t="s">
        <v>74</v>
      </c>
      <c r="M109" s="134">
        <v>0</v>
      </c>
    </row>
    <row r="110" spans="1:13" ht="20.100000000000001" customHeight="1">
      <c r="A110" s="105" t="s">
        <v>982</v>
      </c>
      <c r="B110" s="117" t="s">
        <v>983</v>
      </c>
      <c r="C110" s="104" t="s">
        <v>909</v>
      </c>
      <c r="D110" s="104" t="s">
        <v>703</v>
      </c>
      <c r="E110" s="104" t="s">
        <v>984</v>
      </c>
      <c r="F110" s="139" t="s">
        <v>985</v>
      </c>
      <c r="G110" s="149">
        <v>41348</v>
      </c>
      <c r="H110" s="143">
        <v>41345</v>
      </c>
      <c r="I110" s="108"/>
      <c r="J110" s="128" t="s">
        <v>981</v>
      </c>
      <c r="K110" s="24" t="s">
        <v>73</v>
      </c>
      <c r="L110" s="24" t="s">
        <v>74</v>
      </c>
      <c r="M110" s="134">
        <v>0</v>
      </c>
    </row>
    <row r="111" spans="1:13" ht="20.100000000000001" customHeight="1">
      <c r="A111" s="105" t="s">
        <v>986</v>
      </c>
      <c r="B111" s="117" t="s">
        <v>987</v>
      </c>
      <c r="C111" s="104" t="s">
        <v>909</v>
      </c>
      <c r="D111" s="104" t="s">
        <v>703</v>
      </c>
      <c r="E111" s="104" t="s">
        <v>988</v>
      </c>
      <c r="F111" s="139" t="s">
        <v>989</v>
      </c>
      <c r="G111" s="149">
        <v>41446</v>
      </c>
      <c r="H111" s="143">
        <v>41439</v>
      </c>
      <c r="I111" s="108"/>
      <c r="J111" s="128" t="s">
        <v>990</v>
      </c>
      <c r="K111" s="24" t="s">
        <v>540</v>
      </c>
      <c r="L111" s="62" t="s">
        <v>0</v>
      </c>
      <c r="M111" s="134">
        <v>0</v>
      </c>
    </row>
    <row r="112" spans="1:13" ht="20.100000000000001" customHeight="1">
      <c r="A112" s="105" t="s">
        <v>991</v>
      </c>
      <c r="B112" s="117" t="s">
        <v>992</v>
      </c>
      <c r="C112" s="104" t="s">
        <v>909</v>
      </c>
      <c r="D112" s="104" t="s">
        <v>703</v>
      </c>
      <c r="E112" s="104" t="s">
        <v>993</v>
      </c>
      <c r="F112" s="139" t="s">
        <v>994</v>
      </c>
      <c r="G112" s="149">
        <v>41446</v>
      </c>
      <c r="H112" s="143">
        <v>41442</v>
      </c>
      <c r="I112" s="108"/>
      <c r="J112" s="128" t="s">
        <v>990</v>
      </c>
      <c r="K112" s="24" t="s">
        <v>540</v>
      </c>
      <c r="L112" s="62" t="s">
        <v>0</v>
      </c>
      <c r="M112" s="134">
        <v>0</v>
      </c>
    </row>
    <row r="113" spans="1:13" ht="20.100000000000001" customHeight="1">
      <c r="A113" s="105" t="s">
        <v>995</v>
      </c>
      <c r="B113" s="123" t="s">
        <v>996</v>
      </c>
      <c r="C113" s="104" t="s">
        <v>909</v>
      </c>
      <c r="D113" s="104" t="s">
        <v>703</v>
      </c>
      <c r="E113" s="104" t="s">
        <v>997</v>
      </c>
      <c r="F113" s="139" t="s">
        <v>998</v>
      </c>
      <c r="G113" s="149">
        <v>41518</v>
      </c>
      <c r="H113" s="143" t="s">
        <v>23</v>
      </c>
      <c r="I113" s="108"/>
      <c r="J113" s="128" t="s">
        <v>23</v>
      </c>
      <c r="M113" s="134" t="e">
        <f t="shared" si="3"/>
        <v>#VALUE!</v>
      </c>
    </row>
    <row r="114" spans="1:13" ht="20.100000000000001" customHeight="1">
      <c r="A114" s="105" t="s">
        <v>999</v>
      </c>
      <c r="B114" s="117" t="s">
        <v>1000</v>
      </c>
      <c r="C114" s="104" t="s">
        <v>952</v>
      </c>
      <c r="D114" s="104" t="s">
        <v>703</v>
      </c>
      <c r="E114" s="104" t="s">
        <v>1001</v>
      </c>
      <c r="F114" s="139" t="s">
        <v>1002</v>
      </c>
      <c r="G114" s="149">
        <v>41690</v>
      </c>
      <c r="H114" s="143" t="s">
        <v>546</v>
      </c>
      <c r="I114" s="108"/>
      <c r="J114" s="128" t="s">
        <v>955</v>
      </c>
      <c r="K114" s="24" t="s">
        <v>540</v>
      </c>
      <c r="L114" s="62" t="s">
        <v>0</v>
      </c>
      <c r="M114" s="134" t="e">
        <f t="shared" si="3"/>
        <v>#VALUE!</v>
      </c>
    </row>
    <row r="115" spans="1:13" ht="20.100000000000001" customHeight="1">
      <c r="A115" s="105" t="s">
        <v>1003</v>
      </c>
      <c r="B115" s="117" t="s">
        <v>1004</v>
      </c>
      <c r="C115" s="104" t="s">
        <v>909</v>
      </c>
      <c r="D115" s="104" t="s">
        <v>703</v>
      </c>
      <c r="E115" s="104" t="s">
        <v>1005</v>
      </c>
      <c r="F115" s="139" t="s">
        <v>1006</v>
      </c>
      <c r="G115" s="149">
        <v>41853</v>
      </c>
      <c r="H115" s="143" t="s">
        <v>546</v>
      </c>
      <c r="I115" s="108"/>
      <c r="J115" s="128" t="s">
        <v>1007</v>
      </c>
      <c r="K115" s="24" t="s">
        <v>73</v>
      </c>
      <c r="L115" s="24" t="s">
        <v>74</v>
      </c>
      <c r="M115" s="134" t="e">
        <f t="shared" si="3"/>
        <v>#VALUE!</v>
      </c>
    </row>
    <row r="116" spans="1:13" ht="20.100000000000001" customHeight="1">
      <c r="A116" s="105" t="s">
        <v>1008</v>
      </c>
      <c r="B116" s="117" t="s">
        <v>1009</v>
      </c>
      <c r="C116" s="104" t="s">
        <v>909</v>
      </c>
      <c r="D116" s="104" t="s">
        <v>703</v>
      </c>
      <c r="E116" s="104" t="s">
        <v>1010</v>
      </c>
      <c r="F116" s="139" t="s">
        <v>1011</v>
      </c>
      <c r="G116" s="149">
        <v>42055</v>
      </c>
      <c r="H116" s="143">
        <v>42226</v>
      </c>
      <c r="I116" s="109">
        <v>42288</v>
      </c>
      <c r="J116" s="128" t="s">
        <v>1007</v>
      </c>
      <c r="K116" s="24" t="s">
        <v>73</v>
      </c>
      <c r="L116" s="24" t="s">
        <v>74</v>
      </c>
      <c r="M116" s="134">
        <f t="shared" si="3"/>
        <v>5</v>
      </c>
    </row>
    <row r="117" spans="1:13" ht="20.100000000000001" customHeight="1">
      <c r="A117" s="105" t="s">
        <v>1012</v>
      </c>
      <c r="B117" s="117" t="s">
        <v>1013</v>
      </c>
      <c r="C117" s="104" t="s">
        <v>909</v>
      </c>
      <c r="D117" s="104" t="s">
        <v>703</v>
      </c>
      <c r="E117" s="104" t="s">
        <v>1014</v>
      </c>
      <c r="F117" s="139" t="s">
        <v>1015</v>
      </c>
      <c r="G117" s="149">
        <v>42129</v>
      </c>
      <c r="H117" s="143">
        <v>42258</v>
      </c>
      <c r="I117" s="108">
        <v>42320</v>
      </c>
      <c r="J117" s="128" t="s">
        <v>1007</v>
      </c>
      <c r="K117" s="24" t="s">
        <v>73</v>
      </c>
      <c r="L117" s="24" t="s">
        <v>74</v>
      </c>
      <c r="M117" s="134">
        <f t="shared" si="3"/>
        <v>4</v>
      </c>
    </row>
    <row r="118" spans="1:13" ht="20.100000000000001" customHeight="1">
      <c r="A118" s="105" t="s">
        <v>1016</v>
      </c>
      <c r="B118" s="117" t="s">
        <v>1017</v>
      </c>
      <c r="C118" s="104" t="s">
        <v>909</v>
      </c>
      <c r="D118" s="104" t="s">
        <v>703</v>
      </c>
      <c r="E118" s="104" t="s">
        <v>1018</v>
      </c>
      <c r="F118" s="139" t="s">
        <v>1019</v>
      </c>
      <c r="G118" s="149">
        <v>42125</v>
      </c>
      <c r="H118" s="143">
        <v>42095</v>
      </c>
      <c r="I118" s="108">
        <v>42008</v>
      </c>
      <c r="J118" s="128" t="s">
        <v>1007</v>
      </c>
      <c r="K118" s="24" t="s">
        <v>73</v>
      </c>
      <c r="L118" s="24" t="s">
        <v>74</v>
      </c>
      <c r="M118" s="134">
        <v>1</v>
      </c>
    </row>
    <row r="119" spans="1:13" ht="20.100000000000001" customHeight="1">
      <c r="A119" s="105" t="s">
        <v>1020</v>
      </c>
      <c r="B119" s="117" t="s">
        <v>1021</v>
      </c>
      <c r="C119" s="104" t="s">
        <v>909</v>
      </c>
      <c r="D119" s="104" t="s">
        <v>703</v>
      </c>
      <c r="E119" s="104" t="s">
        <v>1022</v>
      </c>
      <c r="F119" s="139" t="s">
        <v>1023</v>
      </c>
      <c r="G119" s="149">
        <v>42192</v>
      </c>
      <c r="H119" s="143">
        <v>42248</v>
      </c>
      <c r="I119" s="108">
        <v>42016</v>
      </c>
      <c r="J119" s="128" t="s">
        <v>1007</v>
      </c>
      <c r="K119" s="24" t="s">
        <v>73</v>
      </c>
      <c r="L119" s="24" t="s">
        <v>74</v>
      </c>
      <c r="M119" s="134">
        <f t="shared" si="3"/>
        <v>1</v>
      </c>
    </row>
    <row r="120" spans="1:13" ht="20.100000000000001" customHeight="1">
      <c r="A120" s="105" t="s">
        <v>1024</v>
      </c>
      <c r="B120" s="117" t="s">
        <v>1025</v>
      </c>
      <c r="C120" s="104" t="s">
        <v>909</v>
      </c>
      <c r="D120" s="104" t="s">
        <v>703</v>
      </c>
      <c r="E120" s="104" t="s">
        <v>1026</v>
      </c>
      <c r="F120" s="139" t="s">
        <v>1027</v>
      </c>
      <c r="G120" s="149">
        <v>42174</v>
      </c>
      <c r="H120" s="143">
        <v>42308</v>
      </c>
      <c r="I120" s="108">
        <v>42369</v>
      </c>
      <c r="J120" s="128" t="s">
        <v>1028</v>
      </c>
      <c r="K120" s="24" t="s">
        <v>540</v>
      </c>
      <c r="L120" s="62" t="s">
        <v>0</v>
      </c>
      <c r="M120" s="134">
        <f t="shared" si="3"/>
        <v>4</v>
      </c>
    </row>
    <row r="121" spans="1:13" ht="20.100000000000001" customHeight="1">
      <c r="A121" s="105" t="s">
        <v>1029</v>
      </c>
      <c r="B121" s="117" t="s">
        <v>1030</v>
      </c>
      <c r="C121" s="104" t="s">
        <v>909</v>
      </c>
      <c r="D121" s="104" t="s">
        <v>703</v>
      </c>
      <c r="E121" s="104" t="s">
        <v>1031</v>
      </c>
      <c r="F121" s="139" t="s">
        <v>1032</v>
      </c>
      <c r="G121" s="149">
        <v>42227</v>
      </c>
      <c r="H121" s="143" t="s">
        <v>546</v>
      </c>
      <c r="I121" s="108"/>
      <c r="J121" s="128" t="s">
        <v>1033</v>
      </c>
      <c r="K121" s="24" t="s">
        <v>73</v>
      </c>
      <c r="L121" s="24" t="s">
        <v>74</v>
      </c>
      <c r="M121" s="134" t="e">
        <f t="shared" si="3"/>
        <v>#VALUE!</v>
      </c>
    </row>
    <row r="122" spans="1:13" ht="20.100000000000001" customHeight="1">
      <c r="A122" s="105" t="s">
        <v>1034</v>
      </c>
      <c r="B122" s="117" t="s">
        <v>1035</v>
      </c>
      <c r="C122" s="104" t="s">
        <v>952</v>
      </c>
      <c r="D122" s="104" t="s">
        <v>703</v>
      </c>
      <c r="E122" s="104" t="s">
        <v>1036</v>
      </c>
      <c r="F122" s="139" t="s">
        <v>1037</v>
      </c>
      <c r="G122" s="149">
        <v>42357</v>
      </c>
      <c r="H122" s="143" t="s">
        <v>546</v>
      </c>
      <c r="I122" s="108"/>
      <c r="J122" s="128" t="s">
        <v>1038</v>
      </c>
      <c r="K122" s="24" t="s">
        <v>73</v>
      </c>
      <c r="L122" s="24" t="s">
        <v>74</v>
      </c>
      <c r="M122" s="134" t="e">
        <f t="shared" si="3"/>
        <v>#VALUE!</v>
      </c>
    </row>
    <row r="123" spans="1:13" ht="20.100000000000001" customHeight="1">
      <c r="A123" s="105" t="s">
        <v>1039</v>
      </c>
      <c r="B123" s="117" t="s">
        <v>1040</v>
      </c>
      <c r="C123" s="104" t="s">
        <v>952</v>
      </c>
      <c r="D123" s="104" t="s">
        <v>703</v>
      </c>
      <c r="E123" s="104" t="s">
        <v>1041</v>
      </c>
      <c r="F123" s="139" t="s">
        <v>1042</v>
      </c>
      <c r="G123" s="149">
        <v>42357</v>
      </c>
      <c r="H123" s="143" t="s">
        <v>546</v>
      </c>
      <c r="I123" s="108"/>
      <c r="J123" s="128" t="s">
        <v>1038</v>
      </c>
      <c r="K123" s="24" t="s">
        <v>73</v>
      </c>
      <c r="L123" s="24" t="s">
        <v>74</v>
      </c>
      <c r="M123" s="134" t="e">
        <f t="shared" si="3"/>
        <v>#VALUE!</v>
      </c>
    </row>
    <row r="124" spans="1:13" ht="20.100000000000001" customHeight="1">
      <c r="A124" s="105" t="s">
        <v>1043</v>
      </c>
      <c r="B124" s="117" t="s">
        <v>1044</v>
      </c>
      <c r="C124" s="104" t="s">
        <v>952</v>
      </c>
      <c r="D124" s="104" t="s">
        <v>703</v>
      </c>
      <c r="E124" s="104" t="s">
        <v>1045</v>
      </c>
      <c r="F124" s="139" t="s">
        <v>1046</v>
      </c>
      <c r="G124" s="149">
        <v>42357</v>
      </c>
      <c r="H124" s="143" t="s">
        <v>546</v>
      </c>
      <c r="I124" s="108"/>
      <c r="J124" s="128" t="s">
        <v>1038</v>
      </c>
      <c r="K124" s="24" t="s">
        <v>73</v>
      </c>
      <c r="L124" s="24" t="s">
        <v>74</v>
      </c>
      <c r="M124" s="134" t="e">
        <f t="shared" si="3"/>
        <v>#VALUE!</v>
      </c>
    </row>
    <row r="125" spans="1:13" ht="20.100000000000001" customHeight="1">
      <c r="A125" s="105" t="s">
        <v>1047</v>
      </c>
      <c r="B125" s="123" t="s">
        <v>1048</v>
      </c>
      <c r="C125" s="104" t="s">
        <v>909</v>
      </c>
      <c r="D125" s="104" t="s">
        <v>703</v>
      </c>
      <c r="E125" s="104" t="s">
        <v>1049</v>
      </c>
      <c r="F125" s="139" t="s">
        <v>1050</v>
      </c>
      <c r="G125" s="149">
        <v>42616</v>
      </c>
      <c r="H125" s="143">
        <v>42704</v>
      </c>
      <c r="I125" s="108">
        <v>42885</v>
      </c>
      <c r="J125" s="128" t="s">
        <v>1051</v>
      </c>
      <c r="K125" s="24" t="s">
        <v>73</v>
      </c>
      <c r="L125" s="24" t="s">
        <v>74</v>
      </c>
      <c r="M125" s="134">
        <f t="shared" si="3"/>
        <v>2</v>
      </c>
    </row>
    <row r="126" spans="1:13" ht="20.100000000000001" customHeight="1">
      <c r="A126" s="105" t="s">
        <v>1052</v>
      </c>
      <c r="B126" s="117" t="s">
        <v>1053</v>
      </c>
      <c r="C126" s="104" t="s">
        <v>909</v>
      </c>
      <c r="D126" s="104" t="s">
        <v>703</v>
      </c>
      <c r="E126" s="104" t="s">
        <v>1054</v>
      </c>
      <c r="F126" s="139" t="s">
        <v>1055</v>
      </c>
      <c r="G126" s="149">
        <v>42616</v>
      </c>
      <c r="H126" s="143">
        <v>42704</v>
      </c>
      <c r="I126" s="108">
        <v>42885</v>
      </c>
      <c r="J126" s="128" t="s">
        <v>1056</v>
      </c>
      <c r="K126" s="24" t="s">
        <v>36</v>
      </c>
      <c r="L126" s="24" t="s">
        <v>28</v>
      </c>
      <c r="M126" s="134">
        <f t="shared" si="3"/>
        <v>2</v>
      </c>
    </row>
    <row r="127" spans="1:13" ht="20.100000000000001" customHeight="1">
      <c r="A127" s="105" t="s">
        <v>1057</v>
      </c>
      <c r="B127" s="117" t="s">
        <v>1058</v>
      </c>
      <c r="C127" s="104" t="s">
        <v>952</v>
      </c>
      <c r="D127" s="104" t="s">
        <v>703</v>
      </c>
      <c r="E127" s="104" t="s">
        <v>1059</v>
      </c>
      <c r="F127" s="139" t="s">
        <v>1060</v>
      </c>
      <c r="G127" s="149">
        <v>42760</v>
      </c>
      <c r="H127" s="143">
        <v>42892</v>
      </c>
      <c r="I127" s="108"/>
      <c r="J127" s="128" t="s">
        <v>1061</v>
      </c>
      <c r="K127" s="24" t="s">
        <v>73</v>
      </c>
      <c r="L127" s="24" t="s">
        <v>74</v>
      </c>
      <c r="M127" s="134">
        <f t="shared" si="3"/>
        <v>4</v>
      </c>
    </row>
    <row r="128" spans="1:13" ht="20.100000000000001" customHeight="1">
      <c r="A128" s="105" t="s">
        <v>1062</v>
      </c>
      <c r="B128" s="117" t="s">
        <v>1063</v>
      </c>
      <c r="C128" s="104" t="s">
        <v>909</v>
      </c>
      <c r="D128" s="104" t="s">
        <v>703</v>
      </c>
      <c r="E128" s="104" t="s">
        <v>1064</v>
      </c>
      <c r="F128" s="139" t="s">
        <v>1065</v>
      </c>
      <c r="G128" s="149">
        <v>42763</v>
      </c>
      <c r="H128" s="143">
        <v>42917</v>
      </c>
      <c r="I128" s="108">
        <v>43098</v>
      </c>
      <c r="J128" s="128" t="s">
        <v>1066</v>
      </c>
      <c r="K128" s="24" t="s">
        <v>55</v>
      </c>
      <c r="L128" s="24" t="s">
        <v>103</v>
      </c>
      <c r="M128" s="134">
        <f t="shared" si="3"/>
        <v>5</v>
      </c>
    </row>
    <row r="129" spans="1:13" ht="20.100000000000001" customHeight="1">
      <c r="A129" s="105" t="s">
        <v>1067</v>
      </c>
      <c r="B129" s="117" t="s">
        <v>1068</v>
      </c>
      <c r="C129" s="104" t="s">
        <v>909</v>
      </c>
      <c r="D129" s="104" t="s">
        <v>703</v>
      </c>
      <c r="E129" s="104" t="s">
        <v>1069</v>
      </c>
      <c r="F129" s="139" t="s">
        <v>1070</v>
      </c>
      <c r="G129" s="149">
        <v>42763</v>
      </c>
      <c r="H129" s="143">
        <v>42917</v>
      </c>
      <c r="I129" s="108">
        <v>43098</v>
      </c>
      <c r="J129" s="128" t="s">
        <v>1071</v>
      </c>
      <c r="K129" s="24" t="s">
        <v>55</v>
      </c>
      <c r="L129" s="24" t="s">
        <v>103</v>
      </c>
      <c r="M129" s="134">
        <f t="shared" si="3"/>
        <v>5</v>
      </c>
    </row>
    <row r="130" spans="1:13" ht="20.100000000000001" customHeight="1">
      <c r="A130" s="105" t="s">
        <v>1072</v>
      </c>
      <c r="B130" s="117" t="s">
        <v>1073</v>
      </c>
      <c r="C130" s="104" t="s">
        <v>909</v>
      </c>
      <c r="D130" s="104" t="s">
        <v>703</v>
      </c>
      <c r="E130" s="104" t="s">
        <v>1074</v>
      </c>
      <c r="F130" s="139" t="s">
        <v>1075</v>
      </c>
      <c r="G130" s="149">
        <v>42763</v>
      </c>
      <c r="H130" s="143">
        <v>42917</v>
      </c>
      <c r="I130" s="108">
        <v>43098</v>
      </c>
      <c r="J130" s="128" t="s">
        <v>1076</v>
      </c>
      <c r="K130" s="24" t="s">
        <v>55</v>
      </c>
      <c r="L130" s="24" t="s">
        <v>103</v>
      </c>
      <c r="M130" s="134">
        <f t="shared" si="3"/>
        <v>5</v>
      </c>
    </row>
    <row r="131" spans="1:13" ht="20.100000000000001" customHeight="1">
      <c r="A131" s="105" t="s">
        <v>1077</v>
      </c>
      <c r="B131" s="117" t="s">
        <v>1078</v>
      </c>
      <c r="C131" s="104" t="s">
        <v>909</v>
      </c>
      <c r="D131" s="104" t="s">
        <v>703</v>
      </c>
      <c r="E131" s="104" t="s">
        <v>1079</v>
      </c>
      <c r="F131" s="139" t="s">
        <v>1080</v>
      </c>
      <c r="G131" s="149">
        <v>42763</v>
      </c>
      <c r="H131" s="143">
        <v>42917</v>
      </c>
      <c r="I131" s="108">
        <v>43098</v>
      </c>
      <c r="J131" s="128" t="s">
        <v>1081</v>
      </c>
      <c r="K131" s="24" t="s">
        <v>55</v>
      </c>
      <c r="L131" s="24" t="s">
        <v>103</v>
      </c>
      <c r="M131" s="134">
        <f t="shared" ref="M131:M194" si="4">DATEDIF(G131,H131,"m")</f>
        <v>5</v>
      </c>
    </row>
    <row r="132" spans="1:13" ht="20.100000000000001" customHeight="1">
      <c r="A132" s="105" t="s">
        <v>1082</v>
      </c>
      <c r="B132" s="117" t="s">
        <v>1083</v>
      </c>
      <c r="C132" s="104" t="s">
        <v>909</v>
      </c>
      <c r="D132" s="104" t="s">
        <v>703</v>
      </c>
      <c r="E132" s="104" t="s">
        <v>1084</v>
      </c>
      <c r="F132" s="139" t="s">
        <v>1085</v>
      </c>
      <c r="G132" s="149">
        <v>42763</v>
      </c>
      <c r="H132" s="143">
        <v>42917</v>
      </c>
      <c r="I132" s="108">
        <v>43098</v>
      </c>
      <c r="J132" s="128" t="s">
        <v>1086</v>
      </c>
      <c r="K132" s="24" t="s">
        <v>55</v>
      </c>
      <c r="L132" s="24" t="s">
        <v>103</v>
      </c>
      <c r="M132" s="134">
        <f t="shared" si="4"/>
        <v>5</v>
      </c>
    </row>
    <row r="133" spans="1:13" ht="20.100000000000001" customHeight="1">
      <c r="A133" s="105" t="s">
        <v>1087</v>
      </c>
      <c r="B133" s="117" t="s">
        <v>1088</v>
      </c>
      <c r="C133" s="104" t="s">
        <v>909</v>
      </c>
      <c r="D133" s="104" t="s">
        <v>703</v>
      </c>
      <c r="E133" s="104" t="s">
        <v>1089</v>
      </c>
      <c r="F133" s="139" t="s">
        <v>1090</v>
      </c>
      <c r="G133" s="149">
        <v>42763</v>
      </c>
      <c r="H133" s="143">
        <v>42917</v>
      </c>
      <c r="I133" s="108">
        <v>43098</v>
      </c>
      <c r="J133" s="128" t="s">
        <v>1091</v>
      </c>
      <c r="K133" s="24" t="s">
        <v>55</v>
      </c>
      <c r="L133" s="24" t="s">
        <v>103</v>
      </c>
      <c r="M133" s="134">
        <f t="shared" si="4"/>
        <v>5</v>
      </c>
    </row>
    <row r="134" spans="1:13" ht="20.100000000000001" customHeight="1">
      <c r="A134" s="105" t="s">
        <v>1092</v>
      </c>
      <c r="B134" s="117" t="s">
        <v>1093</v>
      </c>
      <c r="C134" s="104" t="s">
        <v>909</v>
      </c>
      <c r="D134" s="104" t="s">
        <v>703</v>
      </c>
      <c r="E134" s="104" t="s">
        <v>1094</v>
      </c>
      <c r="F134" s="139" t="s">
        <v>1095</v>
      </c>
      <c r="G134" s="149">
        <v>42770</v>
      </c>
      <c r="H134" s="143">
        <v>42917</v>
      </c>
      <c r="I134" s="108">
        <v>43098</v>
      </c>
      <c r="J134" s="128" t="s">
        <v>1096</v>
      </c>
      <c r="K134" s="24" t="s">
        <v>55</v>
      </c>
      <c r="L134" s="24" t="s">
        <v>103</v>
      </c>
      <c r="M134" s="134">
        <f t="shared" si="4"/>
        <v>4</v>
      </c>
    </row>
    <row r="135" spans="1:13" ht="20.100000000000001" customHeight="1">
      <c r="A135" s="105" t="s">
        <v>1097</v>
      </c>
      <c r="B135" s="117" t="s">
        <v>1098</v>
      </c>
      <c r="C135" s="104" t="s">
        <v>909</v>
      </c>
      <c r="D135" s="104" t="s">
        <v>703</v>
      </c>
      <c r="E135" s="104" t="s">
        <v>1099</v>
      </c>
      <c r="F135" s="139" t="s">
        <v>1100</v>
      </c>
      <c r="G135" s="149">
        <v>42770</v>
      </c>
      <c r="H135" s="143">
        <v>42917</v>
      </c>
      <c r="I135" s="108">
        <v>43098</v>
      </c>
      <c r="J135" s="128" t="s">
        <v>1101</v>
      </c>
      <c r="K135" s="24" t="s">
        <v>55</v>
      </c>
      <c r="L135" s="24" t="s">
        <v>103</v>
      </c>
      <c r="M135" s="134">
        <f t="shared" si="4"/>
        <v>4</v>
      </c>
    </row>
    <row r="136" spans="1:13" ht="20.100000000000001" customHeight="1">
      <c r="A136" s="105" t="s">
        <v>1102</v>
      </c>
      <c r="B136" s="117" t="s">
        <v>1103</v>
      </c>
      <c r="C136" s="104" t="s">
        <v>909</v>
      </c>
      <c r="D136" s="104" t="s">
        <v>703</v>
      </c>
      <c r="E136" s="104" t="s">
        <v>1104</v>
      </c>
      <c r="F136" s="139" t="s">
        <v>1105</v>
      </c>
      <c r="G136" s="149">
        <v>42770</v>
      </c>
      <c r="H136" s="143">
        <v>42917</v>
      </c>
      <c r="I136" s="108">
        <v>43098</v>
      </c>
      <c r="J136" s="128" t="s">
        <v>1106</v>
      </c>
      <c r="K136" s="24" t="s">
        <v>55</v>
      </c>
      <c r="L136" s="24" t="s">
        <v>103</v>
      </c>
      <c r="M136" s="134">
        <f t="shared" si="4"/>
        <v>4</v>
      </c>
    </row>
    <row r="137" spans="1:13" ht="20.100000000000001" customHeight="1">
      <c r="A137" s="105" t="s">
        <v>1107</v>
      </c>
      <c r="B137" s="117" t="s">
        <v>1108</v>
      </c>
      <c r="C137" s="104" t="s">
        <v>909</v>
      </c>
      <c r="D137" s="104" t="s">
        <v>703</v>
      </c>
      <c r="E137" s="104" t="s">
        <v>1109</v>
      </c>
      <c r="F137" s="139" t="s">
        <v>1110</v>
      </c>
      <c r="G137" s="149">
        <v>42770</v>
      </c>
      <c r="H137" s="143">
        <v>42917</v>
      </c>
      <c r="I137" s="108">
        <v>43098</v>
      </c>
      <c r="J137" s="128" t="s">
        <v>1111</v>
      </c>
      <c r="K137" s="24" t="s">
        <v>55</v>
      </c>
      <c r="L137" s="24" t="s">
        <v>103</v>
      </c>
      <c r="M137" s="134">
        <f t="shared" si="4"/>
        <v>4</v>
      </c>
    </row>
    <row r="138" spans="1:13" ht="20.100000000000001" customHeight="1">
      <c r="A138" s="105" t="s">
        <v>1112</v>
      </c>
      <c r="B138" s="117" t="s">
        <v>1113</v>
      </c>
      <c r="C138" s="104" t="s">
        <v>909</v>
      </c>
      <c r="D138" s="104" t="s">
        <v>703</v>
      </c>
      <c r="E138" s="104" t="s">
        <v>1114</v>
      </c>
      <c r="F138" s="139" t="s">
        <v>1115</v>
      </c>
      <c r="G138" s="149">
        <v>42770</v>
      </c>
      <c r="H138" s="143">
        <v>42917</v>
      </c>
      <c r="I138" s="108">
        <v>43098</v>
      </c>
      <c r="J138" s="128" t="s">
        <v>1116</v>
      </c>
      <c r="K138" s="24" t="s">
        <v>55</v>
      </c>
      <c r="L138" s="24" t="s">
        <v>103</v>
      </c>
      <c r="M138" s="134">
        <f t="shared" si="4"/>
        <v>4</v>
      </c>
    </row>
    <row r="139" spans="1:13" ht="20.100000000000001" customHeight="1">
      <c r="A139" s="105" t="s">
        <v>1117</v>
      </c>
      <c r="B139" s="117" t="s">
        <v>1118</v>
      </c>
      <c r="C139" s="104" t="s">
        <v>909</v>
      </c>
      <c r="D139" s="104" t="s">
        <v>703</v>
      </c>
      <c r="E139" s="104" t="s">
        <v>1119</v>
      </c>
      <c r="F139" s="139" t="s">
        <v>1120</v>
      </c>
      <c r="G139" s="149">
        <v>42763</v>
      </c>
      <c r="H139" s="143">
        <v>42917</v>
      </c>
      <c r="I139" s="108">
        <v>43098</v>
      </c>
      <c r="J139" s="128" t="s">
        <v>1121</v>
      </c>
      <c r="K139" s="24" t="s">
        <v>55</v>
      </c>
      <c r="L139" s="24" t="s">
        <v>103</v>
      </c>
      <c r="M139" s="134">
        <f t="shared" si="4"/>
        <v>5</v>
      </c>
    </row>
    <row r="140" spans="1:13" ht="20.100000000000001" customHeight="1">
      <c r="A140" s="105" t="s">
        <v>1122</v>
      </c>
      <c r="B140" s="117" t="s">
        <v>1123</v>
      </c>
      <c r="C140" s="104" t="s">
        <v>909</v>
      </c>
      <c r="D140" s="104" t="s">
        <v>703</v>
      </c>
      <c r="E140" s="104" t="s">
        <v>1124</v>
      </c>
      <c r="F140" s="139" t="s">
        <v>1125</v>
      </c>
      <c r="G140" s="149">
        <v>42777</v>
      </c>
      <c r="H140" s="143">
        <v>42917</v>
      </c>
      <c r="I140" s="108">
        <v>43098</v>
      </c>
      <c r="J140" s="128" t="s">
        <v>1126</v>
      </c>
      <c r="K140" s="24" t="s">
        <v>55</v>
      </c>
      <c r="L140" s="24" t="s">
        <v>103</v>
      </c>
      <c r="M140" s="134">
        <f t="shared" si="4"/>
        <v>4</v>
      </c>
    </row>
    <row r="141" spans="1:13" ht="20.100000000000001" customHeight="1">
      <c r="A141" s="105" t="s">
        <v>1127</v>
      </c>
      <c r="B141" s="117" t="s">
        <v>1128</v>
      </c>
      <c r="C141" s="104" t="s">
        <v>909</v>
      </c>
      <c r="D141" s="104" t="s">
        <v>703</v>
      </c>
      <c r="E141" s="104" t="s">
        <v>1129</v>
      </c>
      <c r="F141" s="139" t="s">
        <v>1130</v>
      </c>
      <c r="G141" s="149">
        <v>42763</v>
      </c>
      <c r="H141" s="143">
        <v>42917</v>
      </c>
      <c r="I141" s="108">
        <v>43098</v>
      </c>
      <c r="J141" s="128" t="s">
        <v>1131</v>
      </c>
      <c r="K141" s="24" t="s">
        <v>55</v>
      </c>
      <c r="L141" s="24" t="s">
        <v>103</v>
      </c>
      <c r="M141" s="134">
        <f t="shared" si="4"/>
        <v>5</v>
      </c>
    </row>
    <row r="142" spans="1:13" ht="20.100000000000001" customHeight="1">
      <c r="A142" s="105" t="s">
        <v>1132</v>
      </c>
      <c r="B142" s="117" t="s">
        <v>1133</v>
      </c>
      <c r="C142" s="104" t="s">
        <v>909</v>
      </c>
      <c r="D142" s="104" t="s">
        <v>703</v>
      </c>
      <c r="E142" s="104" t="s">
        <v>1134</v>
      </c>
      <c r="F142" s="139" t="s">
        <v>1135</v>
      </c>
      <c r="G142" s="149">
        <v>42776</v>
      </c>
      <c r="H142" s="143">
        <v>42917</v>
      </c>
      <c r="I142" s="108">
        <v>43098</v>
      </c>
      <c r="J142" s="128" t="s">
        <v>1136</v>
      </c>
      <c r="K142" s="24" t="s">
        <v>73</v>
      </c>
      <c r="L142" s="24" t="s">
        <v>74</v>
      </c>
      <c r="M142" s="134">
        <f t="shared" si="4"/>
        <v>4</v>
      </c>
    </row>
    <row r="143" spans="1:13" ht="20.100000000000001" customHeight="1">
      <c r="A143" s="105" t="s">
        <v>1137</v>
      </c>
      <c r="B143" s="117" t="s">
        <v>1138</v>
      </c>
      <c r="C143" s="104" t="s">
        <v>909</v>
      </c>
      <c r="D143" s="104" t="s">
        <v>703</v>
      </c>
      <c r="E143" s="104" t="s">
        <v>1139</v>
      </c>
      <c r="F143" s="139" t="s">
        <v>1140</v>
      </c>
      <c r="G143" s="149">
        <v>42776</v>
      </c>
      <c r="H143" s="143">
        <v>42917</v>
      </c>
      <c r="I143" s="108">
        <v>43098</v>
      </c>
      <c r="J143" s="128" t="s">
        <v>1141</v>
      </c>
      <c r="K143" s="24" t="s">
        <v>73</v>
      </c>
      <c r="L143" s="24" t="s">
        <v>74</v>
      </c>
      <c r="M143" s="134">
        <f t="shared" si="4"/>
        <v>4</v>
      </c>
    </row>
    <row r="144" spans="1:13" ht="20.100000000000001" customHeight="1">
      <c r="A144" s="105" t="s">
        <v>1142</v>
      </c>
      <c r="B144" s="117" t="s">
        <v>1143</v>
      </c>
      <c r="C144" s="104" t="s">
        <v>909</v>
      </c>
      <c r="D144" s="104" t="s">
        <v>703</v>
      </c>
      <c r="E144" s="104" t="s">
        <v>1144</v>
      </c>
      <c r="F144" s="139" t="s">
        <v>1145</v>
      </c>
      <c r="G144" s="149">
        <v>42851</v>
      </c>
      <c r="H144" s="143" t="s">
        <v>546</v>
      </c>
      <c r="I144" s="108"/>
      <c r="J144" s="128" t="s">
        <v>1146</v>
      </c>
      <c r="K144" s="24" t="s">
        <v>36</v>
      </c>
      <c r="L144" s="24" t="s">
        <v>28</v>
      </c>
      <c r="M144" s="134" t="e">
        <f t="shared" si="4"/>
        <v>#VALUE!</v>
      </c>
    </row>
    <row r="145" spans="1:13" ht="20.100000000000001" customHeight="1">
      <c r="A145" s="105" t="s">
        <v>1147</v>
      </c>
      <c r="B145" s="117" t="s">
        <v>1148</v>
      </c>
      <c r="C145" s="104" t="s">
        <v>1149</v>
      </c>
      <c r="D145" s="104" t="s">
        <v>703</v>
      </c>
      <c r="E145" s="104" t="s">
        <v>1150</v>
      </c>
      <c r="F145" s="139" t="s">
        <v>1151</v>
      </c>
      <c r="G145" s="149">
        <v>40928</v>
      </c>
      <c r="H145" s="143">
        <v>40969</v>
      </c>
      <c r="I145" s="108"/>
      <c r="J145" s="128" t="s">
        <v>1152</v>
      </c>
      <c r="K145" s="24" t="s">
        <v>540</v>
      </c>
      <c r="L145" s="62" t="s">
        <v>0</v>
      </c>
      <c r="M145" s="134">
        <f t="shared" si="4"/>
        <v>1</v>
      </c>
    </row>
    <row r="146" spans="1:13" ht="20.100000000000001" customHeight="1">
      <c r="A146" s="105" t="s">
        <v>1153</v>
      </c>
      <c r="B146" s="117" t="s">
        <v>226</v>
      </c>
      <c r="C146" s="104" t="s">
        <v>192</v>
      </c>
      <c r="D146" s="104" t="s">
        <v>703</v>
      </c>
      <c r="E146" s="104" t="s">
        <v>1154</v>
      </c>
      <c r="F146" s="139" t="s">
        <v>1155</v>
      </c>
      <c r="G146" s="149">
        <v>41312</v>
      </c>
      <c r="H146" s="143">
        <v>41495</v>
      </c>
      <c r="I146" s="108">
        <v>41578</v>
      </c>
      <c r="J146" s="128" t="s">
        <v>1156</v>
      </c>
      <c r="K146" s="24" t="s">
        <v>540</v>
      </c>
      <c r="L146" s="62" t="s">
        <v>0</v>
      </c>
      <c r="M146" s="134">
        <f t="shared" si="4"/>
        <v>6</v>
      </c>
    </row>
    <row r="147" spans="1:13" ht="20.100000000000001" customHeight="1">
      <c r="A147" s="105" t="s">
        <v>1157</v>
      </c>
      <c r="B147" s="117" t="s">
        <v>1158</v>
      </c>
      <c r="C147" s="104" t="s">
        <v>1149</v>
      </c>
      <c r="D147" s="104" t="s">
        <v>703</v>
      </c>
      <c r="E147" s="104" t="s">
        <v>1159</v>
      </c>
      <c r="F147" s="139" t="s">
        <v>1160</v>
      </c>
      <c r="G147" s="149">
        <v>40927</v>
      </c>
      <c r="H147" s="143">
        <v>40969</v>
      </c>
      <c r="I147" s="108"/>
      <c r="J147" s="128" t="s">
        <v>1152</v>
      </c>
      <c r="K147" s="24" t="s">
        <v>540</v>
      </c>
      <c r="L147" s="62" t="s">
        <v>0</v>
      </c>
      <c r="M147" s="134">
        <f t="shared" si="4"/>
        <v>1</v>
      </c>
    </row>
    <row r="148" spans="1:13" ht="20.100000000000001" customHeight="1">
      <c r="A148" s="105" t="s">
        <v>1161</v>
      </c>
      <c r="B148" s="117" t="s">
        <v>1162</v>
      </c>
      <c r="C148" s="104" t="s">
        <v>1149</v>
      </c>
      <c r="D148" s="104" t="s">
        <v>703</v>
      </c>
      <c r="E148" s="104" t="s">
        <v>1159</v>
      </c>
      <c r="F148" s="139" t="s">
        <v>1163</v>
      </c>
      <c r="G148" s="149">
        <v>41418</v>
      </c>
      <c r="H148" s="143">
        <v>41456</v>
      </c>
      <c r="I148" s="108"/>
      <c r="J148" s="128" t="s">
        <v>1152</v>
      </c>
      <c r="K148" s="24" t="s">
        <v>540</v>
      </c>
      <c r="L148" s="62" t="s">
        <v>0</v>
      </c>
      <c r="M148" s="134">
        <f t="shared" si="4"/>
        <v>1</v>
      </c>
    </row>
    <row r="149" spans="1:13" ht="20.100000000000001" customHeight="1">
      <c r="A149" s="105" t="s">
        <v>1164</v>
      </c>
      <c r="B149" s="117" t="s">
        <v>1165</v>
      </c>
      <c r="C149" s="104" t="s">
        <v>1149</v>
      </c>
      <c r="D149" s="104" t="s">
        <v>703</v>
      </c>
      <c r="E149" s="104" t="s">
        <v>1166</v>
      </c>
      <c r="F149" s="139" t="s">
        <v>1167</v>
      </c>
      <c r="G149" s="149">
        <v>40856</v>
      </c>
      <c r="H149" s="143">
        <v>40907</v>
      </c>
      <c r="I149" s="108"/>
      <c r="J149" s="128" t="s">
        <v>1152</v>
      </c>
      <c r="K149" s="24" t="s">
        <v>540</v>
      </c>
      <c r="L149" s="62" t="s">
        <v>0</v>
      </c>
      <c r="M149" s="134">
        <f t="shared" si="4"/>
        <v>1</v>
      </c>
    </row>
    <row r="150" spans="1:13" ht="20.100000000000001" customHeight="1">
      <c r="A150" s="105" t="s">
        <v>1164</v>
      </c>
      <c r="B150" s="123" t="s">
        <v>1168</v>
      </c>
      <c r="C150" s="104" t="s">
        <v>1149</v>
      </c>
      <c r="D150" s="104" t="s">
        <v>703</v>
      </c>
      <c r="E150" s="104" t="s">
        <v>1166</v>
      </c>
      <c r="F150" s="139" t="s">
        <v>1169</v>
      </c>
      <c r="G150" s="149">
        <v>40857</v>
      </c>
      <c r="H150" s="143"/>
      <c r="I150" s="108"/>
      <c r="J150" s="128"/>
      <c r="M150" s="134" t="e">
        <f t="shared" si="4"/>
        <v>#NUM!</v>
      </c>
    </row>
    <row r="151" spans="1:13" ht="20.100000000000001" customHeight="1">
      <c r="A151" s="105" t="s">
        <v>1164</v>
      </c>
      <c r="B151" s="117" t="s">
        <v>1170</v>
      </c>
      <c r="C151" s="104" t="s">
        <v>1149</v>
      </c>
      <c r="D151" s="104" t="s">
        <v>703</v>
      </c>
      <c r="E151" s="104" t="s">
        <v>1166</v>
      </c>
      <c r="F151" s="139" t="s">
        <v>1167</v>
      </c>
      <c r="G151" s="149">
        <v>40856</v>
      </c>
      <c r="H151" s="143"/>
      <c r="I151" s="108"/>
      <c r="J151" s="128"/>
      <c r="M151" s="134" t="e">
        <f t="shared" si="4"/>
        <v>#NUM!</v>
      </c>
    </row>
    <row r="152" spans="1:13" ht="20.100000000000001" customHeight="1">
      <c r="A152" s="105" t="s">
        <v>1171</v>
      </c>
      <c r="B152" s="117" t="s">
        <v>1172</v>
      </c>
      <c r="C152" s="104" t="s">
        <v>1149</v>
      </c>
      <c r="D152" s="104" t="s">
        <v>703</v>
      </c>
      <c r="E152" s="104" t="s">
        <v>1159</v>
      </c>
      <c r="F152" s="139" t="s">
        <v>1173</v>
      </c>
      <c r="G152" s="149">
        <v>41418</v>
      </c>
      <c r="H152" s="143">
        <v>41456</v>
      </c>
      <c r="I152" s="108"/>
      <c r="J152" s="128" t="s">
        <v>1152</v>
      </c>
      <c r="K152" s="24" t="s">
        <v>540</v>
      </c>
      <c r="L152" s="62" t="s">
        <v>0</v>
      </c>
      <c r="M152" s="134">
        <f t="shared" si="4"/>
        <v>1</v>
      </c>
    </row>
    <row r="153" spans="1:13" ht="20.100000000000001" customHeight="1">
      <c r="A153" s="105" t="s">
        <v>1174</v>
      </c>
      <c r="B153" s="123" t="s">
        <v>228</v>
      </c>
      <c r="C153" s="104" t="s">
        <v>192</v>
      </c>
      <c r="D153" s="104" t="s">
        <v>703</v>
      </c>
      <c r="E153" s="104" t="s">
        <v>1175</v>
      </c>
      <c r="F153" s="139" t="s">
        <v>1176</v>
      </c>
      <c r="G153" s="149">
        <v>41789</v>
      </c>
      <c r="H153" s="143">
        <v>41796</v>
      </c>
      <c r="I153" s="108"/>
      <c r="J153" s="128" t="s">
        <v>1152</v>
      </c>
      <c r="K153" s="24" t="s">
        <v>540</v>
      </c>
      <c r="L153" s="62" t="s">
        <v>0</v>
      </c>
      <c r="M153" s="134">
        <f t="shared" si="4"/>
        <v>0</v>
      </c>
    </row>
    <row r="154" spans="1:13" ht="20.100000000000001" customHeight="1">
      <c r="A154" s="105" t="s">
        <v>1177</v>
      </c>
      <c r="B154" s="117" t="s">
        <v>1178</v>
      </c>
      <c r="C154" s="104" t="s">
        <v>1149</v>
      </c>
      <c r="D154" s="104" t="s">
        <v>703</v>
      </c>
      <c r="E154" s="104" t="s">
        <v>1159</v>
      </c>
      <c r="F154" s="139" t="s">
        <v>1179</v>
      </c>
      <c r="G154" s="149">
        <v>40880</v>
      </c>
      <c r="H154" s="143">
        <v>40939</v>
      </c>
      <c r="I154" s="108"/>
      <c r="J154" s="128" t="s">
        <v>1152</v>
      </c>
      <c r="K154" s="24" t="s">
        <v>540</v>
      </c>
      <c r="L154" s="62" t="s">
        <v>0</v>
      </c>
      <c r="M154" s="134">
        <f t="shared" si="4"/>
        <v>1</v>
      </c>
    </row>
    <row r="155" spans="1:13" ht="20.100000000000001" customHeight="1">
      <c r="A155" s="105" t="s">
        <v>1180</v>
      </c>
      <c r="B155" s="117" t="s">
        <v>230</v>
      </c>
      <c r="C155" s="104" t="s">
        <v>192</v>
      </c>
      <c r="D155" s="104" t="s">
        <v>703</v>
      </c>
      <c r="E155" s="104" t="s">
        <v>1181</v>
      </c>
      <c r="F155" s="139" t="s">
        <v>1182</v>
      </c>
      <c r="G155" s="149">
        <v>42531</v>
      </c>
      <c r="H155" s="143">
        <v>42706</v>
      </c>
      <c r="I155" s="108">
        <v>42888</v>
      </c>
      <c r="J155" s="128" t="s">
        <v>1183</v>
      </c>
      <c r="K155" s="24" t="s">
        <v>73</v>
      </c>
      <c r="L155" s="24" t="s">
        <v>74</v>
      </c>
      <c r="M155" s="134">
        <f t="shared" si="4"/>
        <v>5</v>
      </c>
    </row>
    <row r="156" spans="1:13" ht="20.100000000000001" customHeight="1">
      <c r="A156" s="105" t="s">
        <v>1184</v>
      </c>
      <c r="B156" s="123" t="s">
        <v>232</v>
      </c>
      <c r="C156" s="104" t="s">
        <v>192</v>
      </c>
      <c r="D156" s="104" t="s">
        <v>703</v>
      </c>
      <c r="E156" s="104" t="s">
        <v>1185</v>
      </c>
      <c r="F156" s="139" t="s">
        <v>1186</v>
      </c>
      <c r="G156" s="149">
        <v>42291</v>
      </c>
      <c r="H156" s="143">
        <v>42454</v>
      </c>
      <c r="I156" s="108">
        <v>42643</v>
      </c>
      <c r="J156" t="s">
        <v>1187</v>
      </c>
      <c r="K156" s="24" t="s">
        <v>27</v>
      </c>
      <c r="L156" s="24" t="s">
        <v>28</v>
      </c>
      <c r="M156" s="134">
        <f t="shared" si="4"/>
        <v>5</v>
      </c>
    </row>
    <row r="157" spans="1:13" ht="20.100000000000001" customHeight="1">
      <c r="A157" s="105" t="s">
        <v>1188</v>
      </c>
      <c r="B157" s="114" t="s">
        <v>234</v>
      </c>
      <c r="C157" s="104" t="s">
        <v>192</v>
      </c>
      <c r="D157" s="104" t="s">
        <v>703</v>
      </c>
      <c r="E157" s="104" t="s">
        <v>1189</v>
      </c>
      <c r="F157" s="139" t="s">
        <v>1190</v>
      </c>
      <c r="G157" s="149">
        <v>42648</v>
      </c>
      <c r="H157" s="143">
        <v>42692</v>
      </c>
      <c r="I157" s="108">
        <v>42727</v>
      </c>
      <c r="J157" s="128" t="s">
        <v>1191</v>
      </c>
      <c r="K157" s="24" t="s">
        <v>73</v>
      </c>
      <c r="L157" s="24" t="s">
        <v>74</v>
      </c>
      <c r="M157" s="134">
        <f t="shared" si="4"/>
        <v>1</v>
      </c>
    </row>
    <row r="158" spans="1:13" ht="20.100000000000001" customHeight="1">
      <c r="A158" s="105" t="s">
        <v>1192</v>
      </c>
      <c r="B158" s="123" t="s">
        <v>237</v>
      </c>
      <c r="C158" s="104" t="s">
        <v>192</v>
      </c>
      <c r="D158" s="104" t="s">
        <v>703</v>
      </c>
      <c r="E158" s="104" t="s">
        <v>1193</v>
      </c>
      <c r="F158" s="139" t="s">
        <v>1194</v>
      </c>
      <c r="G158" s="149">
        <v>42252</v>
      </c>
      <c r="H158" s="143">
        <v>42419</v>
      </c>
      <c r="I158" s="108">
        <v>42601</v>
      </c>
      <c r="J158" s="128" t="s">
        <v>1195</v>
      </c>
      <c r="K158" s="24" t="s">
        <v>55</v>
      </c>
      <c r="L158" s="24" t="s">
        <v>103</v>
      </c>
      <c r="M158" s="134">
        <f t="shared" si="4"/>
        <v>5</v>
      </c>
    </row>
    <row r="159" spans="1:13" ht="20.100000000000001" customHeight="1">
      <c r="A159" s="105" t="s">
        <v>1196</v>
      </c>
      <c r="B159" s="123" t="s">
        <v>239</v>
      </c>
      <c r="C159" s="104" t="s">
        <v>192</v>
      </c>
      <c r="D159" s="104" t="s">
        <v>703</v>
      </c>
      <c r="E159" s="104" t="s">
        <v>1197</v>
      </c>
      <c r="F159" s="139" t="s">
        <v>1198</v>
      </c>
      <c r="G159" s="149">
        <v>42689</v>
      </c>
      <c r="H159" s="143" t="s">
        <v>1199</v>
      </c>
      <c r="I159" s="108"/>
      <c r="J159" t="s">
        <v>1200</v>
      </c>
      <c r="K159" s="24" t="s">
        <v>540</v>
      </c>
      <c r="L159" s="62" t="s">
        <v>0</v>
      </c>
      <c r="M159" s="134" t="e">
        <f t="shared" si="4"/>
        <v>#VALUE!</v>
      </c>
    </row>
    <row r="160" spans="1:13" ht="20.100000000000001" customHeight="1">
      <c r="A160" s="106" t="s">
        <v>1201</v>
      </c>
      <c r="B160" s="123" t="s">
        <v>241</v>
      </c>
      <c r="C160" s="104" t="s">
        <v>192</v>
      </c>
      <c r="D160" s="104" t="s">
        <v>703</v>
      </c>
      <c r="E160" s="104" t="s">
        <v>1202</v>
      </c>
      <c r="F160" s="139" t="s">
        <v>1203</v>
      </c>
      <c r="G160" s="149">
        <v>42279</v>
      </c>
      <c r="H160" s="143" t="s">
        <v>1204</v>
      </c>
      <c r="I160" s="108"/>
      <c r="J160" t="s">
        <v>242</v>
      </c>
      <c r="K160" s="24" t="s">
        <v>540</v>
      </c>
      <c r="L160" s="62" t="s">
        <v>0</v>
      </c>
      <c r="M160" s="134" t="e">
        <f t="shared" si="4"/>
        <v>#VALUE!</v>
      </c>
    </row>
    <row r="161" spans="1:13" ht="20.100000000000001" customHeight="1">
      <c r="A161" s="105" t="s">
        <v>1205</v>
      </c>
      <c r="B161" s="117" t="s">
        <v>244</v>
      </c>
      <c r="C161" s="104" t="s">
        <v>192</v>
      </c>
      <c r="D161" s="104" t="s">
        <v>703</v>
      </c>
      <c r="E161" s="104" t="s">
        <v>1206</v>
      </c>
      <c r="F161" s="139" t="s">
        <v>1207</v>
      </c>
      <c r="G161" s="149">
        <v>42288</v>
      </c>
      <c r="H161" s="143">
        <v>42465</v>
      </c>
      <c r="I161" s="108">
        <v>42648</v>
      </c>
      <c r="J161" s="128" t="s">
        <v>1208</v>
      </c>
      <c r="K161" s="24" t="s">
        <v>73</v>
      </c>
      <c r="L161" s="24" t="s">
        <v>74</v>
      </c>
      <c r="M161" s="134">
        <f t="shared" si="4"/>
        <v>5</v>
      </c>
    </row>
    <row r="162" spans="1:13" ht="20.100000000000001" customHeight="1">
      <c r="A162" s="105" t="s">
        <v>1209</v>
      </c>
      <c r="B162" s="117" t="s">
        <v>247</v>
      </c>
      <c r="C162" s="104" t="s">
        <v>192</v>
      </c>
      <c r="D162" s="104" t="s">
        <v>703</v>
      </c>
      <c r="E162" s="104" t="s">
        <v>1210</v>
      </c>
      <c r="F162" s="139" t="s">
        <v>1211</v>
      </c>
      <c r="G162" s="149">
        <v>42768</v>
      </c>
      <c r="H162" s="143">
        <v>42944</v>
      </c>
      <c r="I162" s="108">
        <v>43133</v>
      </c>
      <c r="J162" s="128" t="s">
        <v>1212</v>
      </c>
      <c r="K162" s="24" t="s">
        <v>27</v>
      </c>
      <c r="L162" s="24" t="s">
        <v>28</v>
      </c>
      <c r="M162" s="134">
        <f t="shared" si="4"/>
        <v>5</v>
      </c>
    </row>
    <row r="163" spans="1:13" ht="20.100000000000001" customHeight="1">
      <c r="A163" s="105" t="s">
        <v>1209</v>
      </c>
      <c r="B163" s="118" t="s">
        <v>1213</v>
      </c>
      <c r="C163" s="104" t="s">
        <v>192</v>
      </c>
      <c r="D163" s="104" t="s">
        <v>703</v>
      </c>
      <c r="E163" s="104" t="s">
        <v>1214</v>
      </c>
      <c r="F163" s="139" t="s">
        <v>1215</v>
      </c>
      <c r="G163" s="149">
        <v>42770</v>
      </c>
      <c r="H163" s="143">
        <v>42944</v>
      </c>
      <c r="I163" s="108">
        <v>43133</v>
      </c>
      <c r="J163" t="s">
        <v>248</v>
      </c>
      <c r="K163" s="24" t="s">
        <v>27</v>
      </c>
      <c r="L163" s="24" t="s">
        <v>28</v>
      </c>
      <c r="M163" s="134">
        <f t="shared" si="4"/>
        <v>5</v>
      </c>
    </row>
    <row r="164" spans="1:13" ht="20.100000000000001" customHeight="1">
      <c r="A164" s="105" t="s">
        <v>1216</v>
      </c>
      <c r="B164" s="118" t="s">
        <v>250</v>
      </c>
      <c r="C164" s="104" t="s">
        <v>192</v>
      </c>
      <c r="D164" s="104" t="s">
        <v>703</v>
      </c>
      <c r="E164" s="104" t="s">
        <v>1217</v>
      </c>
      <c r="F164" s="139" t="s">
        <v>1218</v>
      </c>
      <c r="G164" s="149">
        <v>42291</v>
      </c>
      <c r="H164" s="143">
        <v>42454</v>
      </c>
      <c r="I164" s="108">
        <v>42643</v>
      </c>
      <c r="J164" s="128" t="s">
        <v>1219</v>
      </c>
      <c r="K164" s="24" t="s">
        <v>73</v>
      </c>
      <c r="L164" s="24" t="s">
        <v>74</v>
      </c>
      <c r="M164" s="134">
        <f t="shared" si="4"/>
        <v>5</v>
      </c>
    </row>
    <row r="165" spans="1:13" ht="20.100000000000001" customHeight="1">
      <c r="A165" s="105" t="s">
        <v>1220</v>
      </c>
      <c r="B165" s="118" t="s">
        <v>253</v>
      </c>
      <c r="C165" s="104" t="s">
        <v>192</v>
      </c>
      <c r="D165" s="104" t="s">
        <v>703</v>
      </c>
      <c r="E165" s="104" t="s">
        <v>1221</v>
      </c>
      <c r="F165" s="139" t="s">
        <v>1222</v>
      </c>
      <c r="G165" s="149">
        <v>42306</v>
      </c>
      <c r="H165" s="143">
        <v>42461</v>
      </c>
      <c r="I165" s="108">
        <v>42650</v>
      </c>
      <c r="J165" s="128" t="s">
        <v>1223</v>
      </c>
      <c r="K165" s="24" t="s">
        <v>27</v>
      </c>
      <c r="L165" s="24" t="s">
        <v>28</v>
      </c>
      <c r="M165" s="134">
        <f t="shared" si="4"/>
        <v>5</v>
      </c>
    </row>
    <row r="166" spans="1:13" ht="20.100000000000001" customHeight="1">
      <c r="A166" s="105" t="s">
        <v>1224</v>
      </c>
      <c r="B166" s="118" t="s">
        <v>255</v>
      </c>
      <c r="C166" s="104" t="s">
        <v>192</v>
      </c>
      <c r="D166" s="104" t="s">
        <v>703</v>
      </c>
      <c r="E166" s="104" t="s">
        <v>1225</v>
      </c>
      <c r="F166" s="139" t="s">
        <v>1226</v>
      </c>
      <c r="G166" s="149">
        <v>42315</v>
      </c>
      <c r="H166" s="143">
        <v>42489</v>
      </c>
      <c r="I166" s="108">
        <v>42671</v>
      </c>
      <c r="J166" s="128" t="s">
        <v>1227</v>
      </c>
      <c r="K166" s="24" t="s">
        <v>36</v>
      </c>
      <c r="L166" s="24" t="s">
        <v>28</v>
      </c>
      <c r="M166" s="134">
        <f t="shared" si="4"/>
        <v>5</v>
      </c>
    </row>
    <row r="167" spans="1:13" ht="20.100000000000001" customHeight="1">
      <c r="A167" s="105" t="s">
        <v>1228</v>
      </c>
      <c r="B167" s="118" t="s">
        <v>258</v>
      </c>
      <c r="C167" s="104" t="s">
        <v>192</v>
      </c>
      <c r="D167" s="104" t="s">
        <v>703</v>
      </c>
      <c r="E167" s="104" t="s">
        <v>1229</v>
      </c>
      <c r="F167" s="139" t="s">
        <v>1230</v>
      </c>
      <c r="G167" s="149">
        <v>42368</v>
      </c>
      <c r="H167" s="143">
        <v>42545</v>
      </c>
      <c r="I167" s="109">
        <v>42720</v>
      </c>
      <c r="J167" s="128" t="s">
        <v>1231</v>
      </c>
      <c r="K167" s="24" t="s">
        <v>73</v>
      </c>
      <c r="L167" s="24" t="s">
        <v>74</v>
      </c>
      <c r="M167" s="134">
        <f t="shared" si="4"/>
        <v>5</v>
      </c>
    </row>
    <row r="168" spans="1:13" ht="20.100000000000001" customHeight="1">
      <c r="A168" s="105" t="s">
        <v>1232</v>
      </c>
      <c r="B168" s="118" t="s">
        <v>260</v>
      </c>
      <c r="C168" s="104" t="s">
        <v>192</v>
      </c>
      <c r="D168" s="104" t="s">
        <v>703</v>
      </c>
      <c r="E168" s="104" t="s">
        <v>1233</v>
      </c>
      <c r="F168" s="139" t="s">
        <v>1234</v>
      </c>
      <c r="G168" s="149">
        <v>42319</v>
      </c>
      <c r="H168" s="143">
        <v>42496</v>
      </c>
      <c r="I168" s="109">
        <v>42375</v>
      </c>
      <c r="J168" t="s">
        <v>261</v>
      </c>
      <c r="K168" s="24" t="s">
        <v>55</v>
      </c>
      <c r="L168" s="24" t="s">
        <v>103</v>
      </c>
      <c r="M168" s="134">
        <f t="shared" si="4"/>
        <v>5</v>
      </c>
    </row>
    <row r="169" spans="1:13" ht="20.100000000000001" customHeight="1">
      <c r="A169" s="105" t="s">
        <v>1235</v>
      </c>
      <c r="B169" s="118" t="s">
        <v>1236</v>
      </c>
      <c r="C169" s="104" t="s">
        <v>529</v>
      </c>
      <c r="D169" s="104" t="s">
        <v>530</v>
      </c>
      <c r="E169" s="104" t="s">
        <v>1237</v>
      </c>
      <c r="F169" s="139" t="s">
        <v>1238</v>
      </c>
      <c r="G169" s="149">
        <v>40564</v>
      </c>
      <c r="H169" s="143">
        <v>40756</v>
      </c>
      <c r="I169" s="109">
        <v>40940</v>
      </c>
      <c r="J169" s="128" t="s">
        <v>1239</v>
      </c>
      <c r="K169" s="24" t="s">
        <v>27</v>
      </c>
      <c r="L169" s="24" t="s">
        <v>28</v>
      </c>
      <c r="M169" s="134">
        <f t="shared" si="4"/>
        <v>6</v>
      </c>
    </row>
    <row r="170" spans="1:13" ht="20.100000000000001" customHeight="1">
      <c r="A170" s="105" t="s">
        <v>1240</v>
      </c>
      <c r="B170" s="118" t="s">
        <v>1241</v>
      </c>
      <c r="C170" s="104" t="s">
        <v>529</v>
      </c>
      <c r="D170" s="104" t="s">
        <v>530</v>
      </c>
      <c r="E170" s="104" t="s">
        <v>1242</v>
      </c>
      <c r="F170" s="139" t="s">
        <v>1243</v>
      </c>
      <c r="G170" s="149">
        <v>40572</v>
      </c>
      <c r="H170" s="143">
        <v>40755</v>
      </c>
      <c r="I170" s="108">
        <v>40908</v>
      </c>
      <c r="J170" s="128" t="s">
        <v>1244</v>
      </c>
      <c r="K170" s="24" t="s">
        <v>27</v>
      </c>
      <c r="L170" s="24" t="s">
        <v>28</v>
      </c>
      <c r="M170" s="134">
        <f t="shared" si="4"/>
        <v>6</v>
      </c>
    </row>
    <row r="171" spans="1:13" ht="20.100000000000001" customHeight="1">
      <c r="A171" s="105" t="s">
        <v>1245</v>
      </c>
      <c r="B171" s="118" t="s">
        <v>1246</v>
      </c>
      <c r="C171" s="104" t="s">
        <v>529</v>
      </c>
      <c r="D171" s="104" t="s">
        <v>570</v>
      </c>
      <c r="E171" s="104" t="s">
        <v>1247</v>
      </c>
      <c r="F171" s="139" t="s">
        <v>1248</v>
      </c>
      <c r="G171" s="149">
        <v>41089</v>
      </c>
      <c r="H171" s="143">
        <v>41090</v>
      </c>
      <c r="I171" s="108">
        <v>41547</v>
      </c>
      <c r="J171" s="128" t="s">
        <v>1249</v>
      </c>
      <c r="K171" s="24" t="s">
        <v>27</v>
      </c>
      <c r="L171" s="24" t="s">
        <v>28</v>
      </c>
      <c r="M171" s="134">
        <f t="shared" si="4"/>
        <v>0</v>
      </c>
    </row>
    <row r="172" spans="1:13" ht="20.100000000000001" customHeight="1">
      <c r="A172" s="105" t="s">
        <v>1250</v>
      </c>
      <c r="B172" s="118" t="s">
        <v>1251</v>
      </c>
      <c r="C172" s="104" t="s">
        <v>529</v>
      </c>
      <c r="D172" s="104" t="s">
        <v>570</v>
      </c>
      <c r="E172" s="104" t="s">
        <v>1252</v>
      </c>
      <c r="F172" s="139" t="s">
        <v>1253</v>
      </c>
      <c r="G172" s="149">
        <v>40444</v>
      </c>
      <c r="H172" s="143">
        <v>40633</v>
      </c>
      <c r="I172" s="108">
        <v>40816</v>
      </c>
      <c r="J172" s="128" t="s">
        <v>1249</v>
      </c>
      <c r="K172" s="24" t="s">
        <v>27</v>
      </c>
      <c r="L172" s="24" t="s">
        <v>28</v>
      </c>
      <c r="M172" s="134">
        <f t="shared" si="4"/>
        <v>6</v>
      </c>
    </row>
    <row r="173" spans="1:13" ht="20.100000000000001" customHeight="1">
      <c r="A173" s="105" t="s">
        <v>1254</v>
      </c>
      <c r="B173" s="118" t="s">
        <v>1255</v>
      </c>
      <c r="C173" s="104" t="s">
        <v>529</v>
      </c>
      <c r="D173" s="104" t="s">
        <v>570</v>
      </c>
      <c r="E173" s="104" t="s">
        <v>1256</v>
      </c>
      <c r="F173" s="139" t="s">
        <v>1257</v>
      </c>
      <c r="G173" s="149">
        <v>40583</v>
      </c>
      <c r="H173" s="143" t="s">
        <v>4851</v>
      </c>
      <c r="I173" s="108">
        <v>41152</v>
      </c>
      <c r="J173" s="128" t="s">
        <v>1249</v>
      </c>
      <c r="K173" s="24" t="s">
        <v>27</v>
      </c>
      <c r="L173" s="24" t="s">
        <v>28</v>
      </c>
      <c r="M173" s="134" t="e">
        <f t="shared" si="4"/>
        <v>#VALUE!</v>
      </c>
    </row>
    <row r="174" spans="1:13" ht="20.100000000000001" customHeight="1">
      <c r="A174" s="105" t="s">
        <v>1258</v>
      </c>
      <c r="B174" s="118" t="s">
        <v>1259</v>
      </c>
      <c r="C174" s="104" t="s">
        <v>529</v>
      </c>
      <c r="D174" s="104" t="s">
        <v>570</v>
      </c>
      <c r="E174" s="104" t="s">
        <v>1260</v>
      </c>
      <c r="F174" s="139" t="s">
        <v>1261</v>
      </c>
      <c r="G174" s="149">
        <v>41089</v>
      </c>
      <c r="H174" s="143">
        <v>41090</v>
      </c>
      <c r="I174" s="108">
        <v>41547</v>
      </c>
      <c r="J174" s="128" t="s">
        <v>1249</v>
      </c>
      <c r="K174" s="24" t="s">
        <v>27</v>
      </c>
      <c r="L174" s="24" t="s">
        <v>28</v>
      </c>
      <c r="M174" s="134">
        <f t="shared" si="4"/>
        <v>0</v>
      </c>
    </row>
    <row r="175" spans="1:13" ht="20.100000000000001" customHeight="1">
      <c r="A175" s="105" t="s">
        <v>1262</v>
      </c>
      <c r="B175" s="118" t="s">
        <v>1263</v>
      </c>
      <c r="C175" s="104" t="s">
        <v>529</v>
      </c>
      <c r="D175" s="104" t="s">
        <v>530</v>
      </c>
      <c r="E175" s="104" t="s">
        <v>1264</v>
      </c>
      <c r="F175" s="139" t="s">
        <v>1265</v>
      </c>
      <c r="G175" s="149">
        <v>41403</v>
      </c>
      <c r="H175" s="143">
        <v>41578</v>
      </c>
      <c r="I175" s="108" t="s">
        <v>1266</v>
      </c>
      <c r="J175" s="128" t="s">
        <v>1267</v>
      </c>
      <c r="K175" s="24" t="s">
        <v>540</v>
      </c>
      <c r="L175" s="62" t="s">
        <v>0</v>
      </c>
      <c r="M175" s="134">
        <f t="shared" si="4"/>
        <v>5</v>
      </c>
    </row>
    <row r="176" spans="1:13" ht="20.100000000000001" customHeight="1">
      <c r="A176" s="105" t="s">
        <v>1268</v>
      </c>
      <c r="B176" s="118" t="s">
        <v>1269</v>
      </c>
      <c r="C176" s="104" t="s">
        <v>529</v>
      </c>
      <c r="D176" s="104" t="s">
        <v>570</v>
      </c>
      <c r="E176" s="104" t="s">
        <v>1270</v>
      </c>
      <c r="F176" s="139" t="s">
        <v>1271</v>
      </c>
      <c r="G176" s="149">
        <v>41089</v>
      </c>
      <c r="H176" s="143">
        <v>41090</v>
      </c>
      <c r="I176" s="108">
        <v>41547</v>
      </c>
      <c r="J176" s="128" t="s">
        <v>1249</v>
      </c>
      <c r="K176" s="24" t="s">
        <v>27</v>
      </c>
      <c r="L176" s="24" t="s">
        <v>28</v>
      </c>
      <c r="M176" s="134">
        <f t="shared" si="4"/>
        <v>0</v>
      </c>
    </row>
    <row r="177" spans="1:13" ht="20.100000000000001" customHeight="1">
      <c r="A177" s="105" t="s">
        <v>1272</v>
      </c>
      <c r="B177" s="118" t="s">
        <v>1273</v>
      </c>
      <c r="C177" s="104" t="s">
        <v>529</v>
      </c>
      <c r="D177" s="104" t="s">
        <v>570</v>
      </c>
      <c r="E177" s="104" t="s">
        <v>1274</v>
      </c>
      <c r="F177" s="139" t="s">
        <v>1275</v>
      </c>
      <c r="G177" s="149">
        <v>41786</v>
      </c>
      <c r="H177" s="143">
        <v>41943</v>
      </c>
      <c r="I177" s="108">
        <v>42124</v>
      </c>
      <c r="J177" s="128" t="s">
        <v>1276</v>
      </c>
      <c r="K177" s="24" t="s">
        <v>75</v>
      </c>
      <c r="L177" s="24" t="s">
        <v>103</v>
      </c>
      <c r="M177" s="134">
        <f t="shared" si="4"/>
        <v>5</v>
      </c>
    </row>
    <row r="178" spans="1:13" ht="20.100000000000001" customHeight="1">
      <c r="A178" s="105" t="s">
        <v>1277</v>
      </c>
      <c r="B178" s="118" t="s">
        <v>1278</v>
      </c>
      <c r="C178" s="104" t="s">
        <v>529</v>
      </c>
      <c r="D178" s="104" t="s">
        <v>570</v>
      </c>
      <c r="E178" s="104" t="s">
        <v>1279</v>
      </c>
      <c r="F178" s="139" t="s">
        <v>1280</v>
      </c>
      <c r="G178" s="149">
        <v>40897</v>
      </c>
      <c r="H178" s="143">
        <v>41090</v>
      </c>
      <c r="I178" s="108">
        <v>41138</v>
      </c>
      <c r="J178" s="128" t="s">
        <v>1239</v>
      </c>
      <c r="K178" s="24" t="s">
        <v>27</v>
      </c>
      <c r="L178" s="24" t="s">
        <v>28</v>
      </c>
      <c r="M178" s="134">
        <f t="shared" si="4"/>
        <v>6</v>
      </c>
    </row>
    <row r="179" spans="1:13" ht="20.100000000000001" customHeight="1">
      <c r="A179" s="105" t="s">
        <v>1281</v>
      </c>
      <c r="B179" s="118" t="s">
        <v>1282</v>
      </c>
      <c r="C179" s="104" t="s">
        <v>529</v>
      </c>
      <c r="D179" s="104" t="s">
        <v>606</v>
      </c>
      <c r="E179" s="104" t="s">
        <v>1283</v>
      </c>
      <c r="F179" s="139" t="s">
        <v>1284</v>
      </c>
      <c r="G179" s="149">
        <v>41857</v>
      </c>
      <c r="H179" s="143">
        <v>42004</v>
      </c>
      <c r="I179" s="108" t="s">
        <v>1285</v>
      </c>
      <c r="J179" s="128" t="s">
        <v>1286</v>
      </c>
      <c r="K179" s="24" t="s">
        <v>36</v>
      </c>
      <c r="L179" s="24" t="s">
        <v>28</v>
      </c>
      <c r="M179" s="134">
        <f t="shared" si="4"/>
        <v>4</v>
      </c>
    </row>
    <row r="180" spans="1:13" ht="20.100000000000001" customHeight="1">
      <c r="A180" s="105" t="s">
        <v>1287</v>
      </c>
      <c r="B180" s="118" t="s">
        <v>1288</v>
      </c>
      <c r="C180" s="104" t="s">
        <v>529</v>
      </c>
      <c r="D180" s="104" t="s">
        <v>570</v>
      </c>
      <c r="E180" s="104" t="s">
        <v>1289</v>
      </c>
      <c r="F180" s="139" t="s">
        <v>1290</v>
      </c>
      <c r="G180" s="149">
        <v>41354</v>
      </c>
      <c r="H180" s="143">
        <v>41455</v>
      </c>
      <c r="I180" s="108">
        <v>41639</v>
      </c>
      <c r="J180" s="128" t="s">
        <v>1249</v>
      </c>
      <c r="K180" s="24" t="s">
        <v>27</v>
      </c>
      <c r="L180" s="24" t="s">
        <v>28</v>
      </c>
      <c r="M180" s="134">
        <f t="shared" si="4"/>
        <v>3</v>
      </c>
    </row>
    <row r="181" spans="1:13" ht="20.100000000000001" customHeight="1">
      <c r="A181" s="105" t="s">
        <v>1291</v>
      </c>
      <c r="B181" s="118" t="s">
        <v>1292</v>
      </c>
      <c r="C181" s="104" t="s">
        <v>763</v>
      </c>
      <c r="D181" s="104" t="s">
        <v>748</v>
      </c>
      <c r="E181" s="104" t="s">
        <v>1293</v>
      </c>
      <c r="F181" s="139" t="s">
        <v>1294</v>
      </c>
      <c r="G181" s="149">
        <v>40255</v>
      </c>
      <c r="H181" s="143">
        <v>40421</v>
      </c>
      <c r="I181" s="108">
        <v>40967</v>
      </c>
      <c r="J181" t="s">
        <v>1295</v>
      </c>
      <c r="K181" s="24" t="s">
        <v>75</v>
      </c>
      <c r="L181" s="24" t="s">
        <v>103</v>
      </c>
      <c r="M181" s="134">
        <f t="shared" si="4"/>
        <v>5</v>
      </c>
    </row>
    <row r="182" spans="1:13" ht="20.100000000000001" customHeight="1">
      <c r="A182" s="105" t="s">
        <v>1291</v>
      </c>
      <c r="B182" s="118" t="s">
        <v>122</v>
      </c>
      <c r="C182" s="104" t="s">
        <v>747</v>
      </c>
      <c r="D182" s="104" t="s">
        <v>748</v>
      </c>
      <c r="E182" s="104" t="s">
        <v>1296</v>
      </c>
      <c r="F182" s="139" t="s">
        <v>1297</v>
      </c>
      <c r="G182" s="149">
        <v>40600</v>
      </c>
      <c r="H182" s="143">
        <v>40786</v>
      </c>
      <c r="I182" s="108">
        <v>40967</v>
      </c>
      <c r="J182" t="s">
        <v>1295</v>
      </c>
      <c r="K182" s="24" t="s">
        <v>75</v>
      </c>
      <c r="L182" s="24" t="s">
        <v>103</v>
      </c>
      <c r="M182" s="134">
        <f t="shared" si="4"/>
        <v>6</v>
      </c>
    </row>
    <row r="183" spans="1:13" ht="20.100000000000001" customHeight="1">
      <c r="A183" s="105" t="s">
        <v>1298</v>
      </c>
      <c r="B183" s="118" t="s">
        <v>1299</v>
      </c>
      <c r="C183" s="104" t="s">
        <v>763</v>
      </c>
      <c r="D183" s="104" t="s">
        <v>748</v>
      </c>
      <c r="E183" s="104" t="s">
        <v>1300</v>
      </c>
      <c r="F183" s="139" t="s">
        <v>1301</v>
      </c>
      <c r="G183" s="149">
        <v>40255</v>
      </c>
      <c r="H183" s="143">
        <v>40497</v>
      </c>
      <c r="I183" s="108">
        <v>40665</v>
      </c>
      <c r="J183" t="s">
        <v>1302</v>
      </c>
      <c r="K183" s="24" t="s">
        <v>75</v>
      </c>
      <c r="L183" s="24" t="s">
        <v>103</v>
      </c>
      <c r="M183" s="134">
        <f t="shared" si="4"/>
        <v>7</v>
      </c>
    </row>
    <row r="184" spans="1:13" ht="20.100000000000001" customHeight="1">
      <c r="A184" s="105" t="s">
        <v>1303</v>
      </c>
      <c r="B184" s="118" t="s">
        <v>1304</v>
      </c>
      <c r="C184" s="104" t="s">
        <v>763</v>
      </c>
      <c r="D184" s="104" t="s">
        <v>748</v>
      </c>
      <c r="E184" s="104" t="s">
        <v>777</v>
      </c>
      <c r="F184" s="139" t="s">
        <v>1305</v>
      </c>
      <c r="G184" s="149">
        <v>40733</v>
      </c>
      <c r="H184" s="143">
        <v>40913</v>
      </c>
      <c r="I184" s="108">
        <v>41095</v>
      </c>
      <c r="J184" s="128" t="s">
        <v>1306</v>
      </c>
      <c r="K184" s="24" t="s">
        <v>27</v>
      </c>
      <c r="L184" s="24" t="s">
        <v>28</v>
      </c>
      <c r="M184" s="134">
        <f t="shared" si="4"/>
        <v>5</v>
      </c>
    </row>
    <row r="185" spans="1:13" ht="20.100000000000001" customHeight="1">
      <c r="A185" s="105" t="s">
        <v>1307</v>
      </c>
      <c r="B185" s="118" t="s">
        <v>126</v>
      </c>
      <c r="C185" s="104" t="s">
        <v>747</v>
      </c>
      <c r="D185" s="104" t="s">
        <v>748</v>
      </c>
      <c r="E185" s="104" t="s">
        <v>1308</v>
      </c>
      <c r="F185" s="139" t="s">
        <v>125</v>
      </c>
      <c r="G185" s="149">
        <v>40376</v>
      </c>
      <c r="H185" s="143">
        <v>40558</v>
      </c>
      <c r="I185" s="108">
        <v>40669</v>
      </c>
      <c r="J185" s="128" t="s">
        <v>1309</v>
      </c>
      <c r="K185" s="24" t="s">
        <v>27</v>
      </c>
      <c r="L185" s="24" t="s">
        <v>28</v>
      </c>
      <c r="M185" s="134">
        <f t="shared" si="4"/>
        <v>5</v>
      </c>
    </row>
    <row r="186" spans="1:13" ht="20.100000000000001" customHeight="1">
      <c r="A186" s="105" t="s">
        <v>1310</v>
      </c>
      <c r="B186" s="118" t="s">
        <v>131</v>
      </c>
      <c r="C186" s="104" t="s">
        <v>747</v>
      </c>
      <c r="D186" s="104" t="s">
        <v>748</v>
      </c>
      <c r="E186" s="104" t="s">
        <v>1296</v>
      </c>
      <c r="F186" s="139" t="s">
        <v>1311</v>
      </c>
      <c r="G186" s="149">
        <v>40376</v>
      </c>
      <c r="H186" s="143">
        <v>43845</v>
      </c>
      <c r="I186" s="108">
        <v>40669</v>
      </c>
      <c r="J186" t="s">
        <v>1312</v>
      </c>
      <c r="K186" s="24" t="s">
        <v>75</v>
      </c>
      <c r="L186" s="24" t="s">
        <v>103</v>
      </c>
      <c r="M186" s="134">
        <f t="shared" si="4"/>
        <v>113</v>
      </c>
    </row>
    <row r="187" spans="1:13" ht="20.100000000000001" customHeight="1">
      <c r="A187" s="105" t="s">
        <v>1313</v>
      </c>
      <c r="B187" s="118" t="s">
        <v>132</v>
      </c>
      <c r="C187" s="104" t="s">
        <v>747</v>
      </c>
      <c r="D187" s="104" t="s">
        <v>748</v>
      </c>
      <c r="E187" s="104" t="s">
        <v>777</v>
      </c>
      <c r="F187" s="139" t="s">
        <v>1314</v>
      </c>
      <c r="G187" s="149">
        <v>40792</v>
      </c>
      <c r="H187" s="143">
        <v>40973</v>
      </c>
      <c r="I187" s="108">
        <v>41157</v>
      </c>
      <c r="J187" s="128" t="s">
        <v>1315</v>
      </c>
      <c r="K187" s="24" t="s">
        <v>27</v>
      </c>
      <c r="L187" s="24" t="s">
        <v>28</v>
      </c>
      <c r="M187" s="134">
        <f t="shared" si="4"/>
        <v>5</v>
      </c>
    </row>
    <row r="188" spans="1:13" ht="20.100000000000001" customHeight="1">
      <c r="A188" s="105" t="s">
        <v>1316</v>
      </c>
      <c r="B188" s="118" t="s">
        <v>1317</v>
      </c>
      <c r="C188" s="104" t="s">
        <v>747</v>
      </c>
      <c r="D188" s="104" t="s">
        <v>748</v>
      </c>
      <c r="E188" s="104" t="s">
        <v>1318</v>
      </c>
      <c r="F188" s="139" t="s">
        <v>1319</v>
      </c>
      <c r="G188" s="149">
        <v>40376</v>
      </c>
      <c r="H188" s="143">
        <v>40574</v>
      </c>
      <c r="I188" s="108">
        <v>40829</v>
      </c>
      <c r="J188" s="128" t="s">
        <v>1320</v>
      </c>
      <c r="K188" s="24" t="s">
        <v>75</v>
      </c>
      <c r="L188" s="24" t="s">
        <v>103</v>
      </c>
      <c r="M188" s="134">
        <f t="shared" si="4"/>
        <v>6</v>
      </c>
    </row>
    <row r="189" spans="1:13" ht="20.100000000000001" customHeight="1">
      <c r="A189" s="105" t="s">
        <v>1321</v>
      </c>
      <c r="B189" s="118" t="s">
        <v>135</v>
      </c>
      <c r="C189" s="104" t="s">
        <v>747</v>
      </c>
      <c r="D189" s="104" t="s">
        <v>748</v>
      </c>
      <c r="E189" s="104" t="s">
        <v>749</v>
      </c>
      <c r="F189" s="139" t="s">
        <v>1322</v>
      </c>
      <c r="G189" s="149">
        <v>40094</v>
      </c>
      <c r="H189" s="143">
        <v>40178</v>
      </c>
      <c r="I189" s="108">
        <v>40268</v>
      </c>
      <c r="J189" t="s">
        <v>1323</v>
      </c>
      <c r="K189" s="24" t="s">
        <v>73</v>
      </c>
      <c r="L189" s="24" t="s">
        <v>74</v>
      </c>
      <c r="M189" s="134">
        <f t="shared" si="4"/>
        <v>2</v>
      </c>
    </row>
    <row r="190" spans="1:13" ht="20.100000000000001" customHeight="1">
      <c r="A190" s="105" t="s">
        <v>1324</v>
      </c>
      <c r="B190" s="118" t="s">
        <v>137</v>
      </c>
      <c r="C190" s="104" t="s">
        <v>747</v>
      </c>
      <c r="D190" s="104" t="s">
        <v>748</v>
      </c>
      <c r="E190" s="104" t="s">
        <v>1296</v>
      </c>
      <c r="F190" s="139" t="s">
        <v>1325</v>
      </c>
      <c r="G190" s="149">
        <v>40094</v>
      </c>
      <c r="H190" s="143">
        <v>40193</v>
      </c>
      <c r="I190" s="108">
        <v>40283</v>
      </c>
      <c r="J190" t="s">
        <v>1326</v>
      </c>
      <c r="K190" s="24" t="s">
        <v>75</v>
      </c>
      <c r="L190" s="24" t="s">
        <v>103</v>
      </c>
      <c r="M190" s="134">
        <f t="shared" si="4"/>
        <v>3</v>
      </c>
    </row>
    <row r="191" spans="1:13" ht="20.100000000000001" customHeight="1">
      <c r="A191" s="105" t="s">
        <v>1327</v>
      </c>
      <c r="B191" s="118" t="s">
        <v>138</v>
      </c>
      <c r="C191" s="104" t="s">
        <v>747</v>
      </c>
      <c r="D191" s="104" t="s">
        <v>748</v>
      </c>
      <c r="E191" s="104" t="s">
        <v>749</v>
      </c>
      <c r="F191" s="139" t="s">
        <v>1328</v>
      </c>
      <c r="G191" s="149">
        <v>40824</v>
      </c>
      <c r="H191" s="143">
        <v>41008</v>
      </c>
      <c r="I191" s="108">
        <v>41190</v>
      </c>
      <c r="J191" s="128" t="s">
        <v>1329</v>
      </c>
      <c r="K191" s="24" t="s">
        <v>27</v>
      </c>
      <c r="L191" s="24" t="s">
        <v>28</v>
      </c>
      <c r="M191" s="134">
        <f t="shared" si="4"/>
        <v>6</v>
      </c>
    </row>
    <row r="192" spans="1:13" ht="20.100000000000001" customHeight="1">
      <c r="A192" s="105" t="s">
        <v>1330</v>
      </c>
      <c r="B192" s="118" t="s">
        <v>141</v>
      </c>
      <c r="C192" s="104" t="s">
        <v>747</v>
      </c>
      <c r="D192" s="104" t="s">
        <v>748</v>
      </c>
      <c r="E192" s="104" t="s">
        <v>777</v>
      </c>
      <c r="F192" s="139" t="s">
        <v>1331</v>
      </c>
      <c r="G192" s="149">
        <v>40894</v>
      </c>
      <c r="H192" s="143">
        <v>41078</v>
      </c>
      <c r="I192" s="108">
        <v>41260</v>
      </c>
      <c r="J192" s="128" t="s">
        <v>1332</v>
      </c>
      <c r="K192" s="24" t="s">
        <v>75</v>
      </c>
      <c r="L192" s="24" t="s">
        <v>103</v>
      </c>
      <c r="M192" s="134">
        <f t="shared" si="4"/>
        <v>6</v>
      </c>
    </row>
    <row r="193" spans="1:13" ht="20.100000000000001" customHeight="1">
      <c r="A193" s="105" t="s">
        <v>1333</v>
      </c>
      <c r="B193" s="118" t="s">
        <v>1334</v>
      </c>
      <c r="C193" s="104" t="s">
        <v>763</v>
      </c>
      <c r="D193" s="104" t="s">
        <v>748</v>
      </c>
      <c r="E193" s="104" t="s">
        <v>1335</v>
      </c>
      <c r="F193" s="139" t="s">
        <v>1336</v>
      </c>
      <c r="G193" s="149">
        <v>40168</v>
      </c>
      <c r="H193" s="143">
        <v>40344</v>
      </c>
      <c r="I193" s="108">
        <v>40527</v>
      </c>
      <c r="J193" s="128" t="s">
        <v>1337</v>
      </c>
      <c r="K193" s="24" t="s">
        <v>75</v>
      </c>
      <c r="L193" s="24" t="s">
        <v>103</v>
      </c>
      <c r="M193" s="134">
        <f t="shared" si="4"/>
        <v>5</v>
      </c>
    </row>
    <row r="194" spans="1:13" ht="20.100000000000001" customHeight="1">
      <c r="A194" s="105" t="s">
        <v>1338</v>
      </c>
      <c r="B194" s="118" t="s">
        <v>1339</v>
      </c>
      <c r="C194" s="104" t="s">
        <v>529</v>
      </c>
      <c r="D194" s="104" t="s">
        <v>1340</v>
      </c>
      <c r="E194" s="104" t="s">
        <v>1341</v>
      </c>
      <c r="F194" s="139" t="s">
        <v>1342</v>
      </c>
      <c r="G194" s="149">
        <v>40572</v>
      </c>
      <c r="H194" s="143" t="s">
        <v>1343</v>
      </c>
      <c r="I194" s="108"/>
      <c r="J194" s="128" t="s">
        <v>1344</v>
      </c>
      <c r="M194" s="134" t="e">
        <f t="shared" si="4"/>
        <v>#VALUE!</v>
      </c>
    </row>
    <row r="195" spans="1:13" ht="20.100000000000001" customHeight="1">
      <c r="A195" s="105" t="s">
        <v>1345</v>
      </c>
      <c r="B195" s="118" t="s">
        <v>1346</v>
      </c>
      <c r="C195" s="104" t="s">
        <v>529</v>
      </c>
      <c r="D195" s="104" t="s">
        <v>1340</v>
      </c>
      <c r="E195" s="104" t="s">
        <v>1347</v>
      </c>
      <c r="F195" s="139" t="s">
        <v>1348</v>
      </c>
      <c r="G195" s="149">
        <v>41682</v>
      </c>
      <c r="H195" s="143">
        <v>41854</v>
      </c>
      <c r="I195" s="108">
        <v>42038</v>
      </c>
      <c r="J195" s="130" t="s">
        <v>1349</v>
      </c>
      <c r="K195" s="24" t="s">
        <v>27</v>
      </c>
      <c r="L195" s="24" t="s">
        <v>28</v>
      </c>
      <c r="M195" s="134">
        <f t="shared" ref="M195:M258" si="5">DATEDIF(G195,H195,"m")</f>
        <v>5</v>
      </c>
    </row>
    <row r="196" spans="1:13" ht="20.100000000000001" customHeight="1">
      <c r="A196" s="105" t="s">
        <v>1350</v>
      </c>
      <c r="B196" s="118" t="s">
        <v>1351</v>
      </c>
      <c r="C196" s="104" t="s">
        <v>529</v>
      </c>
      <c r="D196" s="104" t="s">
        <v>1340</v>
      </c>
      <c r="E196" s="104" t="s">
        <v>1352</v>
      </c>
      <c r="F196" s="139" t="s">
        <v>1353</v>
      </c>
      <c r="G196" s="149">
        <v>42770</v>
      </c>
      <c r="H196" s="143">
        <v>42967</v>
      </c>
      <c r="I196" s="108">
        <v>43151</v>
      </c>
      <c r="J196" s="129" t="s">
        <v>1354</v>
      </c>
      <c r="K196" s="24" t="s">
        <v>36</v>
      </c>
      <c r="L196" s="24" t="s">
        <v>28</v>
      </c>
      <c r="M196" s="134">
        <f t="shared" si="5"/>
        <v>6</v>
      </c>
    </row>
    <row r="197" spans="1:13" ht="20.100000000000001" customHeight="1">
      <c r="A197" s="105" t="s">
        <v>1355</v>
      </c>
      <c r="B197" s="118" t="s">
        <v>1356</v>
      </c>
      <c r="C197" s="104" t="s">
        <v>529</v>
      </c>
      <c r="D197" s="104" t="s">
        <v>1340</v>
      </c>
      <c r="E197" s="104" t="s">
        <v>1357</v>
      </c>
      <c r="F197" s="139" t="s">
        <v>1358</v>
      </c>
      <c r="G197" s="149">
        <v>40572</v>
      </c>
      <c r="H197" s="143" t="s">
        <v>1359</v>
      </c>
      <c r="I197" s="108"/>
      <c r="J197" s="129" t="s">
        <v>1360</v>
      </c>
      <c r="M197" s="134" t="e">
        <f t="shared" si="5"/>
        <v>#VALUE!</v>
      </c>
    </row>
    <row r="198" spans="1:13" ht="20.100000000000001" customHeight="1">
      <c r="A198" s="105" t="s">
        <v>1361</v>
      </c>
      <c r="B198" s="118" t="s">
        <v>1362</v>
      </c>
      <c r="C198" s="104" t="s">
        <v>529</v>
      </c>
      <c r="D198" s="104" t="s">
        <v>1340</v>
      </c>
      <c r="E198" s="104" t="s">
        <v>1363</v>
      </c>
      <c r="F198" s="139" t="s">
        <v>1364</v>
      </c>
      <c r="G198" s="149">
        <v>41370</v>
      </c>
      <c r="H198" s="143">
        <v>41550</v>
      </c>
      <c r="I198" s="108">
        <v>41729</v>
      </c>
      <c r="J198" s="129" t="s">
        <v>1349</v>
      </c>
      <c r="K198" s="24" t="s">
        <v>27</v>
      </c>
      <c r="L198" s="24" t="s">
        <v>28</v>
      </c>
      <c r="M198" s="134">
        <f t="shared" si="5"/>
        <v>5</v>
      </c>
    </row>
    <row r="199" spans="1:13" ht="20.100000000000001" customHeight="1">
      <c r="A199" s="105" t="s">
        <v>1365</v>
      </c>
      <c r="B199" s="118" t="s">
        <v>1366</v>
      </c>
      <c r="C199" s="104" t="s">
        <v>529</v>
      </c>
      <c r="D199" s="104" t="s">
        <v>1340</v>
      </c>
      <c r="E199" s="104" t="s">
        <v>1367</v>
      </c>
      <c r="F199" s="139" t="s">
        <v>1368</v>
      </c>
      <c r="G199" s="149">
        <v>41890</v>
      </c>
      <c r="H199" s="143" t="s">
        <v>666</v>
      </c>
      <c r="I199" s="109"/>
      <c r="J199" s="129" t="s">
        <v>1349</v>
      </c>
      <c r="K199" s="24" t="s">
        <v>27</v>
      </c>
      <c r="L199" s="24" t="s">
        <v>28</v>
      </c>
      <c r="M199" s="134" t="e">
        <f t="shared" si="5"/>
        <v>#VALUE!</v>
      </c>
    </row>
    <row r="200" spans="1:13" s="101" customFormat="1" ht="20.100000000000001" customHeight="1">
      <c r="A200" s="105" t="s">
        <v>1369</v>
      </c>
      <c r="B200" s="118" t="s">
        <v>1370</v>
      </c>
      <c r="C200" s="104" t="s">
        <v>529</v>
      </c>
      <c r="D200" s="104" t="s">
        <v>1340</v>
      </c>
      <c r="E200" s="104" t="s">
        <v>1371</v>
      </c>
      <c r="F200" s="139" t="s">
        <v>1372</v>
      </c>
      <c r="G200" s="149">
        <v>42770</v>
      </c>
      <c r="H200" s="143">
        <v>42947</v>
      </c>
      <c r="I200" s="108">
        <v>43131</v>
      </c>
      <c r="J200" s="129" t="s">
        <v>1349</v>
      </c>
      <c r="K200" s="24" t="s">
        <v>27</v>
      </c>
      <c r="L200" s="24" t="s">
        <v>28</v>
      </c>
      <c r="M200" s="134">
        <f t="shared" si="5"/>
        <v>5</v>
      </c>
    </row>
    <row r="201" spans="1:13" ht="20.100000000000001" customHeight="1">
      <c r="A201" s="105" t="s">
        <v>1373</v>
      </c>
      <c r="B201" s="118" t="s">
        <v>1374</v>
      </c>
      <c r="C201" s="104" t="s">
        <v>529</v>
      </c>
      <c r="D201" s="104" t="s">
        <v>1340</v>
      </c>
      <c r="E201" s="104" t="s">
        <v>1375</v>
      </c>
      <c r="F201" s="139" t="s">
        <v>1376</v>
      </c>
      <c r="G201" s="149">
        <v>41370</v>
      </c>
      <c r="H201" s="143">
        <v>41550</v>
      </c>
      <c r="I201" s="109">
        <v>41729</v>
      </c>
      <c r="J201" s="129" t="s">
        <v>1349</v>
      </c>
      <c r="K201" s="24" t="s">
        <v>27</v>
      </c>
      <c r="L201" s="24" t="s">
        <v>28</v>
      </c>
      <c r="M201" s="134">
        <f t="shared" si="5"/>
        <v>5</v>
      </c>
    </row>
    <row r="202" spans="1:13" ht="20.100000000000001" customHeight="1">
      <c r="A202" s="105" t="s">
        <v>1377</v>
      </c>
      <c r="B202" s="118" t="s">
        <v>1378</v>
      </c>
      <c r="C202" s="104" t="s">
        <v>529</v>
      </c>
      <c r="D202" s="104" t="s">
        <v>1340</v>
      </c>
      <c r="E202" s="104" t="s">
        <v>1379</v>
      </c>
      <c r="F202" s="139" t="s">
        <v>1380</v>
      </c>
      <c r="G202" s="149">
        <v>41890</v>
      </c>
      <c r="H202" s="143" t="s">
        <v>1381</v>
      </c>
      <c r="I202" s="108"/>
      <c r="J202" s="130" t="s">
        <v>1349</v>
      </c>
      <c r="K202" s="24" t="s">
        <v>27</v>
      </c>
      <c r="L202" s="24" t="s">
        <v>28</v>
      </c>
      <c r="M202" s="134" t="e">
        <f t="shared" si="5"/>
        <v>#VALUE!</v>
      </c>
    </row>
    <row r="203" spans="1:13" ht="20.100000000000001" customHeight="1">
      <c r="A203" s="121" t="s">
        <v>1382</v>
      </c>
      <c r="B203" s="119" t="s">
        <v>1383</v>
      </c>
      <c r="C203" s="107" t="s">
        <v>529</v>
      </c>
      <c r="D203" s="107" t="s">
        <v>1340</v>
      </c>
      <c r="E203" s="107" t="s">
        <v>1384</v>
      </c>
      <c r="F203" s="140" t="s">
        <v>1385</v>
      </c>
      <c r="G203" s="149">
        <v>42770</v>
      </c>
      <c r="H203" s="143">
        <v>42947</v>
      </c>
      <c r="I203" s="108">
        <v>43131</v>
      </c>
      <c r="J203" s="130" t="s">
        <v>1349</v>
      </c>
      <c r="K203" s="24" t="s">
        <v>27</v>
      </c>
      <c r="L203" s="24" t="s">
        <v>28</v>
      </c>
      <c r="M203" s="134">
        <f t="shared" si="5"/>
        <v>5</v>
      </c>
    </row>
    <row r="204" spans="1:13" ht="20.100000000000001" customHeight="1">
      <c r="A204" s="105" t="s">
        <v>1386</v>
      </c>
      <c r="B204" s="119" t="s">
        <v>1387</v>
      </c>
      <c r="C204" s="104" t="s">
        <v>529</v>
      </c>
      <c r="D204" s="104" t="s">
        <v>1340</v>
      </c>
      <c r="E204" s="104" t="s">
        <v>1388</v>
      </c>
      <c r="F204" s="139" t="s">
        <v>1389</v>
      </c>
      <c r="G204" s="149">
        <v>41391</v>
      </c>
      <c r="H204" s="143">
        <v>41570</v>
      </c>
      <c r="I204" s="108">
        <v>41752</v>
      </c>
      <c r="J204" s="130" t="s">
        <v>1349</v>
      </c>
      <c r="K204" s="24" t="s">
        <v>27</v>
      </c>
      <c r="L204" s="24" t="s">
        <v>28</v>
      </c>
      <c r="M204" s="134">
        <f t="shared" si="5"/>
        <v>5</v>
      </c>
    </row>
    <row r="205" spans="1:13" ht="20.100000000000001" customHeight="1">
      <c r="A205" s="105" t="s">
        <v>1390</v>
      </c>
      <c r="B205" s="119" t="s">
        <v>1391</v>
      </c>
      <c r="C205" s="104" t="s">
        <v>529</v>
      </c>
      <c r="D205" s="104" t="s">
        <v>1340</v>
      </c>
      <c r="E205" s="104" t="s">
        <v>1392</v>
      </c>
      <c r="F205" s="139" t="s">
        <v>1393</v>
      </c>
      <c r="G205" s="149">
        <v>42767</v>
      </c>
      <c r="H205" s="143">
        <v>42940</v>
      </c>
      <c r="I205" s="108">
        <v>43124</v>
      </c>
      <c r="J205" s="130" t="s">
        <v>1349</v>
      </c>
      <c r="K205" s="24" t="s">
        <v>27</v>
      </c>
      <c r="L205" s="24" t="s">
        <v>28</v>
      </c>
      <c r="M205" s="134">
        <f t="shared" si="5"/>
        <v>5</v>
      </c>
    </row>
    <row r="206" spans="1:13" ht="20.100000000000001" customHeight="1">
      <c r="A206" s="105" t="s">
        <v>1394</v>
      </c>
      <c r="B206" s="119" t="s">
        <v>1395</v>
      </c>
      <c r="C206" s="104" t="s">
        <v>529</v>
      </c>
      <c r="D206" s="104" t="s">
        <v>1340</v>
      </c>
      <c r="E206" s="104" t="s">
        <v>1396</v>
      </c>
      <c r="F206" s="139" t="s">
        <v>1397</v>
      </c>
      <c r="G206" s="149">
        <v>41398</v>
      </c>
      <c r="H206" s="143">
        <v>41577</v>
      </c>
      <c r="I206" s="108">
        <v>41759</v>
      </c>
      <c r="J206" s="130" t="s">
        <v>1349</v>
      </c>
      <c r="K206" s="24" t="s">
        <v>27</v>
      </c>
      <c r="L206" s="24" t="s">
        <v>28</v>
      </c>
      <c r="M206" s="134">
        <f t="shared" si="5"/>
        <v>5</v>
      </c>
    </row>
    <row r="207" spans="1:13" ht="20.100000000000001" customHeight="1">
      <c r="A207" s="105" t="s">
        <v>1398</v>
      </c>
      <c r="B207" s="119" t="s">
        <v>1399</v>
      </c>
      <c r="C207" s="104" t="s">
        <v>529</v>
      </c>
      <c r="D207" s="104" t="s">
        <v>1340</v>
      </c>
      <c r="E207" s="104" t="s">
        <v>1400</v>
      </c>
      <c r="F207" s="139" t="s">
        <v>1401</v>
      </c>
      <c r="G207" s="149">
        <v>42767</v>
      </c>
      <c r="H207" s="143">
        <v>42940</v>
      </c>
      <c r="I207" s="108">
        <v>43124</v>
      </c>
      <c r="J207" s="129" t="s">
        <v>1349</v>
      </c>
      <c r="K207" s="24" t="s">
        <v>27</v>
      </c>
      <c r="L207" s="24" t="s">
        <v>28</v>
      </c>
      <c r="M207" s="134">
        <f t="shared" si="5"/>
        <v>5</v>
      </c>
    </row>
    <row r="208" spans="1:13" ht="20.100000000000001" customHeight="1">
      <c r="A208" s="105" t="s">
        <v>1402</v>
      </c>
      <c r="B208" s="119" t="s">
        <v>1403</v>
      </c>
      <c r="C208" s="104" t="s">
        <v>529</v>
      </c>
      <c r="D208" s="104" t="s">
        <v>1340</v>
      </c>
      <c r="E208" s="104" t="s">
        <v>1404</v>
      </c>
      <c r="F208" s="139" t="s">
        <v>1405</v>
      </c>
      <c r="G208" s="149">
        <v>41429</v>
      </c>
      <c r="H208" s="143">
        <v>41605</v>
      </c>
      <c r="I208" s="108">
        <v>41786</v>
      </c>
      <c r="J208" s="130" t="s">
        <v>1349</v>
      </c>
      <c r="K208" s="24" t="s">
        <v>27</v>
      </c>
      <c r="L208" s="24" t="s">
        <v>28</v>
      </c>
      <c r="M208" s="134">
        <f t="shared" si="5"/>
        <v>5</v>
      </c>
    </row>
    <row r="209" spans="1:13" ht="20.100000000000001" customHeight="1">
      <c r="A209" s="105" t="s">
        <v>1406</v>
      </c>
      <c r="B209" s="119" t="s">
        <v>1407</v>
      </c>
      <c r="C209" s="104" t="s">
        <v>529</v>
      </c>
      <c r="D209" s="104" t="s">
        <v>1340</v>
      </c>
      <c r="E209" s="104" t="s">
        <v>1408</v>
      </c>
      <c r="F209" s="139" t="s">
        <v>1409</v>
      </c>
      <c r="G209" s="149">
        <v>42767</v>
      </c>
      <c r="H209" s="143">
        <v>42940</v>
      </c>
      <c r="I209" s="108">
        <v>43124</v>
      </c>
      <c r="J209" s="130" t="s">
        <v>1349</v>
      </c>
      <c r="K209" s="24" t="s">
        <v>27</v>
      </c>
      <c r="L209" s="24" t="s">
        <v>28</v>
      </c>
      <c r="M209" s="134">
        <f t="shared" si="5"/>
        <v>5</v>
      </c>
    </row>
    <row r="210" spans="1:13" ht="20.100000000000001" customHeight="1">
      <c r="A210" s="105" t="s">
        <v>1410</v>
      </c>
      <c r="B210" s="119" t="s">
        <v>1411</v>
      </c>
      <c r="C210" s="104" t="s">
        <v>529</v>
      </c>
      <c r="D210" s="104" t="s">
        <v>1340</v>
      </c>
      <c r="E210" s="104" t="s">
        <v>1412</v>
      </c>
      <c r="F210" s="139" t="s">
        <v>1413</v>
      </c>
      <c r="G210" s="149">
        <v>42767</v>
      </c>
      <c r="H210" s="143">
        <v>42940</v>
      </c>
      <c r="I210" s="108">
        <v>43124</v>
      </c>
      <c r="J210" s="130" t="s">
        <v>1349</v>
      </c>
      <c r="K210" s="24" t="s">
        <v>27</v>
      </c>
      <c r="L210" s="24" t="s">
        <v>28</v>
      </c>
      <c r="M210" s="134">
        <f t="shared" si="5"/>
        <v>5</v>
      </c>
    </row>
    <row r="211" spans="1:13" ht="20.100000000000001" customHeight="1">
      <c r="A211" s="105" t="s">
        <v>1414</v>
      </c>
      <c r="B211" s="119" t="s">
        <v>1415</v>
      </c>
      <c r="C211" s="104" t="s">
        <v>529</v>
      </c>
      <c r="D211" s="104" t="s">
        <v>1340</v>
      </c>
      <c r="E211" s="104" t="s">
        <v>1416</v>
      </c>
      <c r="F211" s="139" t="s">
        <v>1417</v>
      </c>
      <c r="G211" s="149">
        <v>41629</v>
      </c>
      <c r="H211" s="142">
        <v>41714</v>
      </c>
      <c r="I211" s="109"/>
      <c r="J211" s="130" t="s">
        <v>1349</v>
      </c>
      <c r="K211" s="24" t="s">
        <v>27</v>
      </c>
      <c r="L211" s="24" t="s">
        <v>28</v>
      </c>
      <c r="M211" s="134">
        <f t="shared" si="5"/>
        <v>2</v>
      </c>
    </row>
    <row r="212" spans="1:13" ht="20.100000000000001" customHeight="1">
      <c r="A212" s="105" t="s">
        <v>1418</v>
      </c>
      <c r="B212" s="118" t="s">
        <v>1419</v>
      </c>
      <c r="C212" s="104" t="s">
        <v>1420</v>
      </c>
      <c r="D212" s="104" t="s">
        <v>740</v>
      </c>
      <c r="E212" s="104" t="s">
        <v>1421</v>
      </c>
      <c r="F212" s="139" t="s">
        <v>1422</v>
      </c>
      <c r="G212" s="149">
        <v>42060</v>
      </c>
      <c r="H212" s="144">
        <v>42216</v>
      </c>
      <c r="I212" s="110">
        <v>42277</v>
      </c>
      <c r="J212" t="s">
        <v>1423</v>
      </c>
      <c r="K212" s="24" t="s">
        <v>73</v>
      </c>
      <c r="L212" s="24" t="s">
        <v>74</v>
      </c>
      <c r="M212" s="134">
        <f t="shared" si="5"/>
        <v>5</v>
      </c>
    </row>
    <row r="213" spans="1:13" ht="20.100000000000001" customHeight="1">
      <c r="A213" s="105" t="s">
        <v>1424</v>
      </c>
      <c r="B213" s="118" t="s">
        <v>264</v>
      </c>
      <c r="C213" s="104" t="s">
        <v>192</v>
      </c>
      <c r="D213" s="104" t="s">
        <v>1425</v>
      </c>
      <c r="E213" s="104" t="s">
        <v>1426</v>
      </c>
      <c r="F213" s="139" t="s">
        <v>263</v>
      </c>
      <c r="G213" s="149">
        <v>42466</v>
      </c>
      <c r="H213" s="144">
        <v>42551</v>
      </c>
      <c r="I213" s="110">
        <v>42643</v>
      </c>
      <c r="J213" t="s">
        <v>1427</v>
      </c>
      <c r="K213" s="24" t="s">
        <v>75</v>
      </c>
      <c r="L213" s="24" t="s">
        <v>103</v>
      </c>
      <c r="M213" s="134">
        <f t="shared" si="5"/>
        <v>2</v>
      </c>
    </row>
    <row r="214" spans="1:13" ht="20.100000000000001" customHeight="1">
      <c r="A214" s="105" t="s">
        <v>1428</v>
      </c>
      <c r="B214" s="118" t="s">
        <v>1429</v>
      </c>
      <c r="C214" s="104" t="s">
        <v>1420</v>
      </c>
      <c r="D214" s="104" t="s">
        <v>703</v>
      </c>
      <c r="E214" s="104" t="s">
        <v>1430</v>
      </c>
      <c r="F214" s="139" t="s">
        <v>1431</v>
      </c>
      <c r="G214" s="149">
        <v>41599</v>
      </c>
      <c r="H214" s="142">
        <v>41547</v>
      </c>
      <c r="I214" s="109">
        <v>41639</v>
      </c>
      <c r="J214" s="128" t="s">
        <v>1432</v>
      </c>
      <c r="K214" s="24" t="s">
        <v>73</v>
      </c>
      <c r="L214" s="24" t="s">
        <v>74</v>
      </c>
      <c r="M214" s="134" t="e">
        <f t="shared" si="5"/>
        <v>#NUM!</v>
      </c>
    </row>
    <row r="215" spans="1:13" ht="20.100000000000001" customHeight="1">
      <c r="A215" s="105" t="s">
        <v>1433</v>
      </c>
      <c r="B215" s="119" t="s">
        <v>1434</v>
      </c>
      <c r="C215" s="104" t="s">
        <v>1420</v>
      </c>
      <c r="D215" s="104" t="s">
        <v>703</v>
      </c>
      <c r="E215" s="104" t="s">
        <v>1435</v>
      </c>
      <c r="F215" s="139" t="s">
        <v>1436</v>
      </c>
      <c r="G215" s="149">
        <v>41599</v>
      </c>
      <c r="H215" s="142">
        <v>41547</v>
      </c>
      <c r="I215" s="109">
        <v>41639</v>
      </c>
      <c r="J215" s="128" t="s">
        <v>1432</v>
      </c>
      <c r="K215" s="24" t="s">
        <v>73</v>
      </c>
      <c r="L215" s="24" t="s">
        <v>74</v>
      </c>
      <c r="M215" s="134" t="e">
        <f t="shared" si="5"/>
        <v>#NUM!</v>
      </c>
    </row>
    <row r="216" spans="1:13" ht="20.100000000000001" customHeight="1">
      <c r="A216" s="105" t="s">
        <v>1437</v>
      </c>
      <c r="B216" s="118" t="s">
        <v>267</v>
      </c>
      <c r="C216" s="104" t="s">
        <v>192</v>
      </c>
      <c r="D216" s="104" t="s">
        <v>530</v>
      </c>
      <c r="E216" s="104" t="s">
        <v>1438</v>
      </c>
      <c r="F216" s="139" t="s">
        <v>1439</v>
      </c>
      <c r="G216" s="149">
        <v>42577</v>
      </c>
      <c r="H216" s="144" t="s">
        <v>1359</v>
      </c>
      <c r="I216" s="110"/>
      <c r="J216" s="128" t="s">
        <v>1440</v>
      </c>
      <c r="K216" s="24" t="s">
        <v>540</v>
      </c>
      <c r="L216" s="62" t="s">
        <v>0</v>
      </c>
      <c r="M216" s="134" t="e">
        <f t="shared" si="5"/>
        <v>#VALUE!</v>
      </c>
    </row>
    <row r="217" spans="1:13" ht="20.100000000000001" customHeight="1">
      <c r="A217" s="105" t="s">
        <v>1441</v>
      </c>
      <c r="B217" s="119" t="s">
        <v>1442</v>
      </c>
      <c r="C217" s="104" t="s">
        <v>1420</v>
      </c>
      <c r="D217" s="104" t="s">
        <v>530</v>
      </c>
      <c r="E217" s="104" t="s">
        <v>1443</v>
      </c>
      <c r="F217" s="139" t="s">
        <v>1444</v>
      </c>
      <c r="G217" s="149">
        <v>41599</v>
      </c>
      <c r="H217" s="142">
        <v>41729</v>
      </c>
      <c r="I217" s="109">
        <v>41704</v>
      </c>
      <c r="J217" s="128" t="s">
        <v>1445</v>
      </c>
      <c r="K217" s="24" t="s">
        <v>73</v>
      </c>
      <c r="L217" s="24" t="s">
        <v>74</v>
      </c>
      <c r="M217" s="134">
        <f t="shared" si="5"/>
        <v>4</v>
      </c>
    </row>
    <row r="218" spans="1:13" ht="20.100000000000001" customHeight="1">
      <c r="A218" s="105" t="s">
        <v>1446</v>
      </c>
      <c r="B218" s="118" t="s">
        <v>1447</v>
      </c>
      <c r="C218" s="104" t="s">
        <v>1149</v>
      </c>
      <c r="D218" s="104" t="s">
        <v>748</v>
      </c>
      <c r="E218" s="104" t="s">
        <v>1448</v>
      </c>
      <c r="F218" s="139" t="s">
        <v>1449</v>
      </c>
      <c r="G218" s="149">
        <v>40400</v>
      </c>
      <c r="H218" s="144">
        <v>40399</v>
      </c>
      <c r="I218" s="110">
        <v>40560</v>
      </c>
      <c r="J218" t="s">
        <v>1450</v>
      </c>
      <c r="K218" s="24" t="s">
        <v>75</v>
      </c>
      <c r="L218" s="24" t="s">
        <v>103</v>
      </c>
      <c r="M218" s="134" t="e">
        <f t="shared" si="5"/>
        <v>#NUM!</v>
      </c>
    </row>
    <row r="219" spans="1:13" ht="20.100000000000001" customHeight="1">
      <c r="A219" s="105" t="s">
        <v>1451</v>
      </c>
      <c r="B219" s="118" t="s">
        <v>1452</v>
      </c>
      <c r="C219" s="104" t="s">
        <v>1149</v>
      </c>
      <c r="D219" s="104" t="s">
        <v>748</v>
      </c>
      <c r="E219" s="104" t="s">
        <v>1453</v>
      </c>
      <c r="F219" s="139" t="s">
        <v>1454</v>
      </c>
      <c r="G219" s="149">
        <v>40499</v>
      </c>
      <c r="H219" s="142">
        <v>40664</v>
      </c>
      <c r="I219" s="109">
        <v>40847</v>
      </c>
      <c r="J219" s="128" t="s">
        <v>1455</v>
      </c>
      <c r="K219" s="24" t="s">
        <v>27</v>
      </c>
      <c r="L219" s="24" t="s">
        <v>28</v>
      </c>
      <c r="M219" s="134">
        <f t="shared" si="5"/>
        <v>5</v>
      </c>
    </row>
    <row r="220" spans="1:13" ht="20.100000000000001" customHeight="1">
      <c r="A220" s="105" t="s">
        <v>1456</v>
      </c>
      <c r="B220" s="118" t="s">
        <v>1457</v>
      </c>
      <c r="C220" s="104" t="s">
        <v>1149</v>
      </c>
      <c r="D220" s="104" t="s">
        <v>748</v>
      </c>
      <c r="E220" s="104" t="s">
        <v>1458</v>
      </c>
      <c r="F220" s="139" t="s">
        <v>1459</v>
      </c>
      <c r="G220" s="149">
        <v>40499</v>
      </c>
      <c r="H220" s="150"/>
      <c r="I220" s="110">
        <v>40633</v>
      </c>
      <c r="J220" t="s">
        <v>1460</v>
      </c>
      <c r="K220" s="24" t="s">
        <v>540</v>
      </c>
      <c r="L220" s="62" t="s">
        <v>0</v>
      </c>
      <c r="M220" s="134" t="e">
        <f t="shared" si="5"/>
        <v>#NUM!</v>
      </c>
    </row>
    <row r="221" spans="1:13" ht="20.100000000000001" customHeight="1">
      <c r="A221" s="105" t="s">
        <v>1461</v>
      </c>
      <c r="B221" s="123" t="s">
        <v>1462</v>
      </c>
      <c r="C221" s="104" t="s">
        <v>1149</v>
      </c>
      <c r="D221" s="104" t="s">
        <v>748</v>
      </c>
      <c r="E221" s="104" t="s">
        <v>749</v>
      </c>
      <c r="F221" s="139" t="s">
        <v>1463</v>
      </c>
      <c r="G221" s="149">
        <v>40506</v>
      </c>
      <c r="H221" s="150">
        <v>40689</v>
      </c>
      <c r="I221" s="109">
        <v>40872</v>
      </c>
      <c r="J221" s="128" t="s">
        <v>1464</v>
      </c>
      <c r="K221" s="24" t="s">
        <v>540</v>
      </c>
      <c r="L221" s="62" t="s">
        <v>0</v>
      </c>
      <c r="M221" s="134">
        <f t="shared" si="5"/>
        <v>6</v>
      </c>
    </row>
    <row r="222" spans="1:13" ht="20.100000000000001" customHeight="1">
      <c r="A222" s="105" t="s">
        <v>1465</v>
      </c>
      <c r="B222" s="118" t="s">
        <v>1466</v>
      </c>
      <c r="C222" s="104" t="s">
        <v>1149</v>
      </c>
      <c r="D222" s="104" t="s">
        <v>748</v>
      </c>
      <c r="E222" s="104" t="s">
        <v>855</v>
      </c>
      <c r="F222" s="139" t="s">
        <v>1463</v>
      </c>
      <c r="G222" s="149">
        <v>40612</v>
      </c>
      <c r="H222" s="150">
        <v>40633</v>
      </c>
      <c r="I222" s="109">
        <v>40795</v>
      </c>
      <c r="J222" s="128" t="s">
        <v>1467</v>
      </c>
      <c r="K222" s="24" t="s">
        <v>540</v>
      </c>
      <c r="L222" s="62" t="s">
        <v>0</v>
      </c>
      <c r="M222" s="134">
        <f t="shared" si="5"/>
        <v>0</v>
      </c>
    </row>
    <row r="223" spans="1:13" ht="20.100000000000001" customHeight="1">
      <c r="A223" s="105" t="s">
        <v>1468</v>
      </c>
      <c r="B223" s="123" t="s">
        <v>1469</v>
      </c>
      <c r="C223" s="104" t="s">
        <v>1149</v>
      </c>
      <c r="D223" s="104" t="s">
        <v>748</v>
      </c>
      <c r="E223" s="104" t="s">
        <v>749</v>
      </c>
      <c r="F223" s="139" t="s">
        <v>1470</v>
      </c>
      <c r="G223" s="149">
        <v>40628</v>
      </c>
      <c r="H223" s="150">
        <v>40618</v>
      </c>
      <c r="I223" s="109">
        <v>40765</v>
      </c>
      <c r="J223" s="128" t="s">
        <v>1471</v>
      </c>
      <c r="K223" s="24" t="s">
        <v>75</v>
      </c>
      <c r="L223" s="24" t="s">
        <v>28</v>
      </c>
      <c r="M223" s="134" t="e">
        <f t="shared" si="5"/>
        <v>#NUM!</v>
      </c>
    </row>
    <row r="224" spans="1:13" ht="20.100000000000001" customHeight="1">
      <c r="A224" s="105" t="s">
        <v>1472</v>
      </c>
      <c r="B224" s="118" t="s">
        <v>1473</v>
      </c>
      <c r="C224" s="104" t="s">
        <v>1149</v>
      </c>
      <c r="D224" s="104" t="s">
        <v>782</v>
      </c>
      <c r="E224" s="104" t="s">
        <v>1474</v>
      </c>
      <c r="F224" s="139" t="s">
        <v>1475</v>
      </c>
      <c r="G224" s="149">
        <v>40852</v>
      </c>
      <c r="H224" s="150">
        <v>41029</v>
      </c>
      <c r="I224" s="109">
        <v>41213</v>
      </c>
      <c r="J224" s="128" t="s">
        <v>1476</v>
      </c>
      <c r="M224" s="134">
        <f t="shared" si="5"/>
        <v>5</v>
      </c>
    </row>
    <row r="225" spans="1:13" ht="20.100000000000001" customHeight="1">
      <c r="A225" s="105" t="s">
        <v>1477</v>
      </c>
      <c r="B225" s="118" t="s">
        <v>1478</v>
      </c>
      <c r="C225" s="104" t="s">
        <v>1149</v>
      </c>
      <c r="D225" s="104" t="s">
        <v>748</v>
      </c>
      <c r="E225" s="104" t="s">
        <v>1479</v>
      </c>
      <c r="F225" s="139" t="s">
        <v>1480</v>
      </c>
      <c r="G225" s="149">
        <v>40954</v>
      </c>
      <c r="H225" s="150">
        <v>41138</v>
      </c>
      <c r="I225" s="109">
        <v>41320</v>
      </c>
      <c r="J225" s="128" t="s">
        <v>1481</v>
      </c>
      <c r="K225" s="24" t="s">
        <v>27</v>
      </c>
      <c r="L225" s="24" t="s">
        <v>28</v>
      </c>
      <c r="M225" s="134">
        <f t="shared" si="5"/>
        <v>6</v>
      </c>
    </row>
    <row r="226" spans="1:13" ht="20.100000000000001" customHeight="1">
      <c r="A226" s="105" t="s">
        <v>1482</v>
      </c>
      <c r="B226" s="118" t="s">
        <v>1483</v>
      </c>
      <c r="C226" s="104" t="s">
        <v>1149</v>
      </c>
      <c r="D226" s="104" t="s">
        <v>748</v>
      </c>
      <c r="E226" s="104" t="s">
        <v>1484</v>
      </c>
      <c r="F226" s="139" t="s">
        <v>1485</v>
      </c>
      <c r="G226" s="149">
        <v>40992</v>
      </c>
      <c r="H226" s="150">
        <v>41044</v>
      </c>
      <c r="I226" s="109">
        <v>41166</v>
      </c>
      <c r="J226" s="128" t="s">
        <v>1486</v>
      </c>
      <c r="K226" s="24" t="s">
        <v>27</v>
      </c>
      <c r="L226" s="24" t="s">
        <v>28</v>
      </c>
      <c r="M226" s="134">
        <f t="shared" si="5"/>
        <v>1</v>
      </c>
    </row>
    <row r="227" spans="1:13" ht="20.100000000000001" customHeight="1">
      <c r="A227" s="105" t="s">
        <v>1487</v>
      </c>
      <c r="B227" s="118" t="s">
        <v>1488</v>
      </c>
      <c r="C227" s="104" t="s">
        <v>1149</v>
      </c>
      <c r="D227" s="104" t="s">
        <v>748</v>
      </c>
      <c r="E227" s="104" t="s">
        <v>1489</v>
      </c>
      <c r="F227" s="139" t="s">
        <v>1490</v>
      </c>
      <c r="G227" s="149">
        <v>41005</v>
      </c>
      <c r="H227" s="150">
        <v>41183</v>
      </c>
      <c r="I227" s="109">
        <v>41371</v>
      </c>
      <c r="J227" s="128" t="s">
        <v>1491</v>
      </c>
      <c r="K227" s="24" t="s">
        <v>75</v>
      </c>
      <c r="L227" s="24" t="s">
        <v>103</v>
      </c>
      <c r="M227" s="134">
        <f t="shared" si="5"/>
        <v>5</v>
      </c>
    </row>
    <row r="228" spans="1:13" ht="20.100000000000001" customHeight="1">
      <c r="A228" s="105" t="s">
        <v>1492</v>
      </c>
      <c r="B228" s="118" t="s">
        <v>1493</v>
      </c>
      <c r="C228" s="104" t="s">
        <v>1149</v>
      </c>
      <c r="D228" s="104" t="s">
        <v>748</v>
      </c>
      <c r="E228" s="104" t="s">
        <v>1494</v>
      </c>
      <c r="F228" s="139" t="s">
        <v>1495</v>
      </c>
      <c r="G228" s="149">
        <v>41013</v>
      </c>
      <c r="H228" s="150">
        <v>41012</v>
      </c>
      <c r="I228" s="109">
        <v>41012</v>
      </c>
      <c r="J228" s="128" t="s">
        <v>1496</v>
      </c>
      <c r="K228" s="24" t="s">
        <v>73</v>
      </c>
      <c r="L228" s="24" t="s">
        <v>74</v>
      </c>
      <c r="M228" s="134" t="e">
        <f t="shared" si="5"/>
        <v>#NUM!</v>
      </c>
    </row>
    <row r="229" spans="1:13" ht="20.100000000000001" customHeight="1">
      <c r="A229" s="105" t="s">
        <v>1497</v>
      </c>
      <c r="B229" s="118" t="s">
        <v>1498</v>
      </c>
      <c r="C229" s="104" t="s">
        <v>1149</v>
      </c>
      <c r="D229" s="104" t="s">
        <v>748</v>
      </c>
      <c r="E229" s="104" t="s">
        <v>1499</v>
      </c>
      <c r="F229" s="139" t="s">
        <v>1500</v>
      </c>
      <c r="G229" s="149">
        <v>41109</v>
      </c>
      <c r="H229" s="150">
        <v>41103</v>
      </c>
      <c r="I229" s="109">
        <v>41103</v>
      </c>
      <c r="J229" s="128" t="s">
        <v>1501</v>
      </c>
      <c r="K229" s="24" t="s">
        <v>73</v>
      </c>
      <c r="L229" s="24" t="s">
        <v>74</v>
      </c>
      <c r="M229" s="134" t="e">
        <f t="shared" si="5"/>
        <v>#NUM!</v>
      </c>
    </row>
    <row r="230" spans="1:13" ht="20.100000000000001" customHeight="1">
      <c r="A230" s="105" t="s">
        <v>1502</v>
      </c>
      <c r="B230" s="118" t="s">
        <v>1503</v>
      </c>
      <c r="C230" s="104" t="s">
        <v>1149</v>
      </c>
      <c r="D230" s="104" t="s">
        <v>748</v>
      </c>
      <c r="E230" s="104" t="s">
        <v>1504</v>
      </c>
      <c r="F230" s="139" t="s">
        <v>1505</v>
      </c>
      <c r="G230" s="149">
        <v>41109</v>
      </c>
      <c r="H230" s="150">
        <v>41196</v>
      </c>
      <c r="I230" s="109">
        <v>41289</v>
      </c>
      <c r="J230" s="128" t="s">
        <v>1506</v>
      </c>
      <c r="K230" s="24" t="s">
        <v>73</v>
      </c>
      <c r="L230" s="24" t="s">
        <v>74</v>
      </c>
      <c r="M230" s="134">
        <f t="shared" si="5"/>
        <v>2</v>
      </c>
    </row>
    <row r="231" spans="1:13" ht="20.100000000000001" customHeight="1">
      <c r="A231" s="105" t="s">
        <v>1507</v>
      </c>
      <c r="B231" s="118" t="s">
        <v>1508</v>
      </c>
      <c r="C231" s="104" t="s">
        <v>1149</v>
      </c>
      <c r="D231" s="104" t="s">
        <v>748</v>
      </c>
      <c r="E231" s="104" t="s">
        <v>855</v>
      </c>
      <c r="F231" s="139" t="s">
        <v>1509</v>
      </c>
      <c r="G231" s="149">
        <v>41139</v>
      </c>
      <c r="H231" s="150">
        <v>41144</v>
      </c>
      <c r="I231" s="109">
        <v>41205</v>
      </c>
      <c r="J231" s="128" t="s">
        <v>1510</v>
      </c>
      <c r="K231" s="24" t="s">
        <v>75</v>
      </c>
      <c r="L231" s="24" t="s">
        <v>28</v>
      </c>
      <c r="M231" s="134">
        <f t="shared" si="5"/>
        <v>0</v>
      </c>
    </row>
    <row r="232" spans="1:13" ht="20.100000000000001" customHeight="1">
      <c r="A232" s="105" t="s">
        <v>1511</v>
      </c>
      <c r="B232" s="123" t="s">
        <v>1512</v>
      </c>
      <c r="C232" s="104" t="s">
        <v>1149</v>
      </c>
      <c r="D232" s="104" t="s">
        <v>748</v>
      </c>
      <c r="E232" s="104" t="s">
        <v>1513</v>
      </c>
      <c r="F232" s="139" t="s">
        <v>1514</v>
      </c>
      <c r="G232" s="149">
        <v>41166</v>
      </c>
      <c r="H232" s="150">
        <v>41341</v>
      </c>
      <c r="I232" s="109">
        <v>41523</v>
      </c>
      <c r="J232" t="s">
        <v>1515</v>
      </c>
      <c r="K232" s="24" t="s">
        <v>36</v>
      </c>
      <c r="L232" s="24" t="s">
        <v>28</v>
      </c>
      <c r="M232" s="134">
        <f t="shared" si="5"/>
        <v>5</v>
      </c>
    </row>
    <row r="233" spans="1:13" ht="20.100000000000001" customHeight="1">
      <c r="A233" s="105" t="s">
        <v>1516</v>
      </c>
      <c r="B233" s="118" t="s">
        <v>1517</v>
      </c>
      <c r="C233" s="104" t="s">
        <v>1149</v>
      </c>
      <c r="D233" s="104" t="s">
        <v>748</v>
      </c>
      <c r="E233" s="104" t="s">
        <v>1518</v>
      </c>
      <c r="F233" s="139" t="s">
        <v>1519</v>
      </c>
      <c r="G233" s="149">
        <v>41152</v>
      </c>
      <c r="H233" s="150">
        <v>41143</v>
      </c>
      <c r="I233" s="109">
        <v>41143</v>
      </c>
      <c r="J233" s="128" t="s">
        <v>1520</v>
      </c>
      <c r="K233" s="24" t="s">
        <v>73</v>
      </c>
      <c r="L233" s="24" t="s">
        <v>74</v>
      </c>
      <c r="M233" s="134" t="e">
        <f t="shared" si="5"/>
        <v>#NUM!</v>
      </c>
    </row>
    <row r="234" spans="1:13" ht="20.100000000000001" customHeight="1">
      <c r="A234" s="105" t="s">
        <v>1521</v>
      </c>
      <c r="B234" s="118" t="s">
        <v>1522</v>
      </c>
      <c r="C234" s="104" t="s">
        <v>1149</v>
      </c>
      <c r="D234" s="104" t="s">
        <v>748</v>
      </c>
      <c r="E234" s="104" t="s">
        <v>1523</v>
      </c>
      <c r="F234" s="139" t="s">
        <v>1524</v>
      </c>
      <c r="G234" s="149">
        <v>41172</v>
      </c>
      <c r="H234" s="150">
        <v>41365</v>
      </c>
      <c r="I234" s="109">
        <v>41548</v>
      </c>
      <c r="J234" s="128" t="s">
        <v>1525</v>
      </c>
      <c r="K234" s="24" t="s">
        <v>27</v>
      </c>
      <c r="L234" s="24" t="s">
        <v>28</v>
      </c>
      <c r="M234" s="134">
        <f t="shared" si="5"/>
        <v>6</v>
      </c>
    </row>
    <row r="235" spans="1:13" ht="20.100000000000001" customHeight="1">
      <c r="A235" s="105" t="s">
        <v>1526</v>
      </c>
      <c r="B235" s="123" t="s">
        <v>1527</v>
      </c>
      <c r="C235" s="104" t="s">
        <v>1149</v>
      </c>
      <c r="D235" s="104" t="s">
        <v>748</v>
      </c>
      <c r="E235" s="104" t="s">
        <v>1528</v>
      </c>
      <c r="F235" s="139" t="s">
        <v>1529</v>
      </c>
      <c r="G235" s="149">
        <v>41494</v>
      </c>
      <c r="H235" s="150">
        <v>41490</v>
      </c>
      <c r="I235" s="109">
        <v>41528</v>
      </c>
      <c r="J235" s="128" t="s">
        <v>1530</v>
      </c>
      <c r="K235" s="24" t="s">
        <v>73</v>
      </c>
      <c r="L235" s="24" t="s">
        <v>74</v>
      </c>
      <c r="M235" s="134" t="e">
        <f t="shared" si="5"/>
        <v>#NUM!</v>
      </c>
    </row>
    <row r="236" spans="1:13" ht="20.100000000000001" customHeight="1">
      <c r="A236" s="105" t="s">
        <v>1531</v>
      </c>
      <c r="B236" s="118" t="s">
        <v>1532</v>
      </c>
      <c r="C236" s="104" t="s">
        <v>1149</v>
      </c>
      <c r="D236" s="104" t="s">
        <v>748</v>
      </c>
      <c r="E236" s="104" t="s">
        <v>1489</v>
      </c>
      <c r="F236" s="139" t="s">
        <v>1533</v>
      </c>
      <c r="G236" s="149">
        <v>41494</v>
      </c>
      <c r="H236" s="150">
        <v>41678</v>
      </c>
      <c r="I236" s="109">
        <v>41678</v>
      </c>
      <c r="J236" s="128" t="s">
        <v>1534</v>
      </c>
      <c r="K236" s="24" t="s">
        <v>27</v>
      </c>
      <c r="L236" s="24" t="s">
        <v>28</v>
      </c>
      <c r="M236" s="134">
        <f t="shared" si="5"/>
        <v>6</v>
      </c>
    </row>
    <row r="237" spans="1:13" ht="20.100000000000001" customHeight="1">
      <c r="A237" s="105" t="s">
        <v>1535</v>
      </c>
      <c r="B237" s="118" t="s">
        <v>1536</v>
      </c>
      <c r="C237" s="104" t="s">
        <v>1149</v>
      </c>
      <c r="D237" s="104" t="s">
        <v>748</v>
      </c>
      <c r="E237" s="104" t="s">
        <v>1537</v>
      </c>
      <c r="F237" s="139" t="s">
        <v>1538</v>
      </c>
      <c r="G237" s="149">
        <v>41513</v>
      </c>
      <c r="H237" s="150">
        <v>41730</v>
      </c>
      <c r="I237" s="109">
        <v>41821</v>
      </c>
      <c r="J237" s="128" t="s">
        <v>1534</v>
      </c>
      <c r="K237" s="24" t="s">
        <v>27</v>
      </c>
      <c r="L237" s="24" t="s">
        <v>28</v>
      </c>
      <c r="M237" s="134">
        <f t="shared" si="5"/>
        <v>7</v>
      </c>
    </row>
    <row r="238" spans="1:13" ht="20.100000000000001" customHeight="1">
      <c r="A238" s="105" t="s">
        <v>1539</v>
      </c>
      <c r="B238" s="118" t="s">
        <v>1540</v>
      </c>
      <c r="C238" s="104" t="s">
        <v>1149</v>
      </c>
      <c r="D238" s="104" t="s">
        <v>748</v>
      </c>
      <c r="E238" s="104" t="s">
        <v>1541</v>
      </c>
      <c r="F238" s="139" t="s">
        <v>1542</v>
      </c>
      <c r="G238" s="149">
        <v>41529</v>
      </c>
      <c r="H238" s="150">
        <v>41606</v>
      </c>
      <c r="I238" s="109">
        <v>41698</v>
      </c>
      <c r="J238" s="128" t="s">
        <v>1543</v>
      </c>
      <c r="K238" s="24" t="s">
        <v>73</v>
      </c>
      <c r="L238" s="24" t="s">
        <v>74</v>
      </c>
      <c r="M238" s="134">
        <f t="shared" si="5"/>
        <v>2</v>
      </c>
    </row>
    <row r="239" spans="1:13" ht="20.100000000000001" customHeight="1">
      <c r="A239" s="105" t="s">
        <v>1544</v>
      </c>
      <c r="B239" s="118" t="s">
        <v>1545</v>
      </c>
      <c r="C239" s="104" t="s">
        <v>1149</v>
      </c>
      <c r="D239" s="104" t="s">
        <v>748</v>
      </c>
      <c r="E239" s="104" t="s">
        <v>1546</v>
      </c>
      <c r="F239" s="139" t="s">
        <v>1547</v>
      </c>
      <c r="G239" s="149">
        <v>41530</v>
      </c>
      <c r="H239" s="150">
        <v>41572</v>
      </c>
      <c r="I239" s="109">
        <v>41664</v>
      </c>
      <c r="J239" s="128" t="s">
        <v>1548</v>
      </c>
      <c r="K239" s="24" t="s">
        <v>73</v>
      </c>
      <c r="L239" s="24" t="s">
        <v>74</v>
      </c>
      <c r="M239" s="134">
        <f t="shared" si="5"/>
        <v>1</v>
      </c>
    </row>
    <row r="240" spans="1:13" ht="20.100000000000001" customHeight="1">
      <c r="A240" s="105" t="s">
        <v>1549</v>
      </c>
      <c r="B240" s="118" t="s">
        <v>1550</v>
      </c>
      <c r="C240" s="104" t="s">
        <v>1149</v>
      </c>
      <c r="D240" s="104" t="s">
        <v>748</v>
      </c>
      <c r="E240" s="104" t="s">
        <v>1551</v>
      </c>
      <c r="F240" s="139" t="s">
        <v>1552</v>
      </c>
      <c r="G240" s="149">
        <v>41542</v>
      </c>
      <c r="H240" s="150">
        <v>41620</v>
      </c>
      <c r="I240" s="109">
        <v>41892</v>
      </c>
      <c r="J240" s="128" t="s">
        <v>1553</v>
      </c>
      <c r="K240" s="24" t="s">
        <v>75</v>
      </c>
      <c r="L240" s="24" t="s">
        <v>28</v>
      </c>
      <c r="M240" s="134">
        <f t="shared" si="5"/>
        <v>2</v>
      </c>
    </row>
    <row r="241" spans="1:13" ht="20.100000000000001" customHeight="1">
      <c r="A241" s="105" t="s">
        <v>1554</v>
      </c>
      <c r="B241" s="118" t="s">
        <v>1555</v>
      </c>
      <c r="C241" s="104" t="s">
        <v>1149</v>
      </c>
      <c r="D241" s="104" t="s">
        <v>748</v>
      </c>
      <c r="E241" s="104" t="s">
        <v>1556</v>
      </c>
      <c r="F241" s="139" t="s">
        <v>1557</v>
      </c>
      <c r="G241" s="149">
        <v>41558</v>
      </c>
      <c r="H241" s="150">
        <v>41549</v>
      </c>
      <c r="I241" s="109">
        <v>41549</v>
      </c>
      <c r="J241" s="128" t="s">
        <v>1558</v>
      </c>
      <c r="K241" s="24" t="s">
        <v>73</v>
      </c>
      <c r="L241" s="24" t="s">
        <v>74</v>
      </c>
      <c r="M241" s="134" t="e">
        <f t="shared" si="5"/>
        <v>#NUM!</v>
      </c>
    </row>
    <row r="242" spans="1:13" ht="20.100000000000001" customHeight="1">
      <c r="A242" s="105" t="s">
        <v>1559</v>
      </c>
      <c r="B242" s="118" t="s">
        <v>1560</v>
      </c>
      <c r="C242" s="104" t="s">
        <v>1149</v>
      </c>
      <c r="D242" s="104" t="s">
        <v>748</v>
      </c>
      <c r="E242" s="104" t="s">
        <v>1561</v>
      </c>
      <c r="F242" s="139" t="s">
        <v>1562</v>
      </c>
      <c r="G242" s="149">
        <v>41590</v>
      </c>
      <c r="H242" s="150">
        <v>41669</v>
      </c>
      <c r="I242" s="109">
        <v>41759</v>
      </c>
      <c r="J242" s="128" t="s">
        <v>1563</v>
      </c>
      <c r="K242" s="24" t="s">
        <v>27</v>
      </c>
      <c r="L242" s="24" t="s">
        <v>28</v>
      </c>
      <c r="M242" s="134">
        <f t="shared" si="5"/>
        <v>2</v>
      </c>
    </row>
    <row r="243" spans="1:13" ht="20.100000000000001" customHeight="1">
      <c r="A243" s="105" t="s">
        <v>1564</v>
      </c>
      <c r="B243" s="118" t="s">
        <v>1565</v>
      </c>
      <c r="C243" s="104" t="s">
        <v>1149</v>
      </c>
      <c r="D243" s="104" t="s">
        <v>748</v>
      </c>
      <c r="E243" s="104" t="s">
        <v>1566</v>
      </c>
      <c r="F243" s="139" t="s">
        <v>1567</v>
      </c>
      <c r="G243" s="149">
        <v>41627</v>
      </c>
      <c r="H243" s="150">
        <v>41620</v>
      </c>
      <c r="I243" s="109">
        <v>41620</v>
      </c>
      <c r="J243" s="128" t="s">
        <v>1520</v>
      </c>
      <c r="K243" s="24" t="s">
        <v>73</v>
      </c>
      <c r="L243" s="24" t="s">
        <v>74</v>
      </c>
      <c r="M243" s="134" t="e">
        <f t="shared" si="5"/>
        <v>#NUM!</v>
      </c>
    </row>
    <row r="244" spans="1:13" ht="20.100000000000001" customHeight="1">
      <c r="A244" s="105" t="s">
        <v>1568</v>
      </c>
      <c r="B244" s="118" t="s">
        <v>1569</v>
      </c>
      <c r="C244" s="104" t="s">
        <v>1149</v>
      </c>
      <c r="D244" s="104" t="s">
        <v>748</v>
      </c>
      <c r="E244" s="104" t="s">
        <v>1570</v>
      </c>
      <c r="F244" s="139" t="s">
        <v>1571</v>
      </c>
      <c r="G244" s="149">
        <v>41627</v>
      </c>
      <c r="H244" s="150">
        <v>41818</v>
      </c>
      <c r="I244" s="109">
        <v>41988</v>
      </c>
      <c r="J244" s="128" t="s">
        <v>1572</v>
      </c>
      <c r="K244" s="24" t="s">
        <v>73</v>
      </c>
      <c r="L244" s="24" t="s">
        <v>74</v>
      </c>
      <c r="M244" s="134">
        <f t="shared" si="5"/>
        <v>6</v>
      </c>
    </row>
    <row r="245" spans="1:13" ht="20.100000000000001" customHeight="1">
      <c r="A245" s="105" t="s">
        <v>1573</v>
      </c>
      <c r="B245" s="118" t="s">
        <v>1574</v>
      </c>
      <c r="C245" s="104" t="s">
        <v>1149</v>
      </c>
      <c r="D245" s="104" t="s">
        <v>748</v>
      </c>
      <c r="E245" s="104" t="s">
        <v>1489</v>
      </c>
      <c r="F245" s="139" t="s">
        <v>1575</v>
      </c>
      <c r="G245" s="149">
        <v>41682</v>
      </c>
      <c r="H245" s="150">
        <v>41944</v>
      </c>
      <c r="I245" s="109">
        <v>42125</v>
      </c>
      <c r="J245" s="128" t="s">
        <v>1534</v>
      </c>
      <c r="K245" s="24" t="s">
        <v>27</v>
      </c>
      <c r="L245" s="24" t="s">
        <v>28</v>
      </c>
      <c r="M245" s="134">
        <f t="shared" si="5"/>
        <v>8</v>
      </c>
    </row>
    <row r="246" spans="1:13" ht="20.100000000000001" customHeight="1">
      <c r="A246" s="105" t="s">
        <v>1576</v>
      </c>
      <c r="B246" s="118" t="s">
        <v>1577</v>
      </c>
      <c r="C246" s="104" t="s">
        <v>1149</v>
      </c>
      <c r="D246" s="104" t="s">
        <v>748</v>
      </c>
      <c r="E246" s="104" t="s">
        <v>1578</v>
      </c>
      <c r="F246" s="139" t="s">
        <v>1579</v>
      </c>
      <c r="G246" s="149">
        <v>41706</v>
      </c>
      <c r="H246" s="150">
        <v>41883</v>
      </c>
      <c r="I246" s="109">
        <v>42064</v>
      </c>
      <c r="J246" s="128" t="s">
        <v>1580</v>
      </c>
      <c r="K246" s="24" t="s">
        <v>27</v>
      </c>
      <c r="L246" s="24" t="s">
        <v>28</v>
      </c>
      <c r="M246" s="134">
        <f t="shared" si="5"/>
        <v>5</v>
      </c>
    </row>
    <row r="247" spans="1:13" ht="20.100000000000001" customHeight="1">
      <c r="A247" s="105" t="s">
        <v>1581</v>
      </c>
      <c r="B247" s="118" t="s">
        <v>1582</v>
      </c>
      <c r="C247" s="104" t="s">
        <v>1149</v>
      </c>
      <c r="D247" s="104" t="s">
        <v>748</v>
      </c>
      <c r="E247" s="104" t="s">
        <v>1583</v>
      </c>
      <c r="F247" s="139" t="s">
        <v>1584</v>
      </c>
      <c r="G247" s="149">
        <v>41723</v>
      </c>
      <c r="H247" s="150">
        <v>41792</v>
      </c>
      <c r="I247" s="109">
        <v>42080</v>
      </c>
      <c r="J247" s="128" t="s">
        <v>1585</v>
      </c>
      <c r="K247" s="24" t="s">
        <v>73</v>
      </c>
      <c r="L247" s="24" t="s">
        <v>74</v>
      </c>
      <c r="M247" s="134">
        <f t="shared" si="5"/>
        <v>2</v>
      </c>
    </row>
    <row r="248" spans="1:13" ht="20.100000000000001" customHeight="1">
      <c r="A248" s="105" t="s">
        <v>1586</v>
      </c>
      <c r="B248" s="118" t="s">
        <v>1587</v>
      </c>
      <c r="C248" s="104" t="s">
        <v>1149</v>
      </c>
      <c r="D248" s="104" t="s">
        <v>748</v>
      </c>
      <c r="E248" s="104" t="s">
        <v>1588</v>
      </c>
      <c r="F248" s="139" t="s">
        <v>1589</v>
      </c>
      <c r="G248" s="149">
        <v>41726</v>
      </c>
      <c r="H248" s="150">
        <v>41910</v>
      </c>
      <c r="I248" s="109">
        <v>42092</v>
      </c>
      <c r="J248" s="128" t="s">
        <v>1534</v>
      </c>
      <c r="K248" s="24" t="s">
        <v>27</v>
      </c>
      <c r="L248" s="24" t="s">
        <v>28</v>
      </c>
      <c r="M248" s="134">
        <f t="shared" si="5"/>
        <v>6</v>
      </c>
    </row>
    <row r="249" spans="1:13" ht="20.100000000000001" customHeight="1">
      <c r="A249" s="105" t="s">
        <v>1590</v>
      </c>
      <c r="B249" s="118" t="s">
        <v>1591</v>
      </c>
      <c r="C249" s="104" t="s">
        <v>1149</v>
      </c>
      <c r="D249" s="104" t="s">
        <v>748</v>
      </c>
      <c r="E249" s="104" t="s">
        <v>1592</v>
      </c>
      <c r="F249" s="139" t="s">
        <v>1593</v>
      </c>
      <c r="G249" s="149">
        <v>41808</v>
      </c>
      <c r="H249" s="150">
        <v>42004</v>
      </c>
      <c r="I249" s="109">
        <v>42186</v>
      </c>
      <c r="J249" s="128" t="s">
        <v>1534</v>
      </c>
      <c r="K249" s="24" t="s">
        <v>27</v>
      </c>
      <c r="L249" s="24" t="s">
        <v>28</v>
      </c>
      <c r="M249" s="134">
        <f t="shared" si="5"/>
        <v>6</v>
      </c>
    </row>
    <row r="250" spans="1:13" ht="20.100000000000001" customHeight="1">
      <c r="A250" s="105" t="s">
        <v>1594</v>
      </c>
      <c r="B250" s="118" t="s">
        <v>1595</v>
      </c>
      <c r="C250" s="104" t="s">
        <v>1149</v>
      </c>
      <c r="D250" s="104" t="s">
        <v>748</v>
      </c>
      <c r="E250" s="104" t="s">
        <v>1596</v>
      </c>
      <c r="F250" s="139" t="s">
        <v>1597</v>
      </c>
      <c r="G250" s="149">
        <v>41901</v>
      </c>
      <c r="H250" s="150">
        <v>42071</v>
      </c>
      <c r="I250" s="109">
        <v>42253</v>
      </c>
      <c r="J250" s="128" t="s">
        <v>1598</v>
      </c>
      <c r="K250" s="24" t="s">
        <v>73</v>
      </c>
      <c r="L250" s="24" t="s">
        <v>74</v>
      </c>
      <c r="M250" s="134">
        <f t="shared" si="5"/>
        <v>5</v>
      </c>
    </row>
    <row r="251" spans="1:13" ht="20.100000000000001" customHeight="1">
      <c r="A251" s="105" t="s">
        <v>1599</v>
      </c>
      <c r="B251" s="118" t="s">
        <v>1600</v>
      </c>
      <c r="C251" s="104" t="s">
        <v>1149</v>
      </c>
      <c r="D251" s="104" t="s">
        <v>748</v>
      </c>
      <c r="E251" s="104" t="s">
        <v>1601</v>
      </c>
      <c r="F251" s="139" t="s">
        <v>1602</v>
      </c>
      <c r="G251" s="149">
        <v>41944</v>
      </c>
      <c r="H251" s="150">
        <v>42113</v>
      </c>
      <c r="I251" s="109">
        <v>42295</v>
      </c>
      <c r="J251" s="128" t="s">
        <v>1603</v>
      </c>
      <c r="K251" s="24" t="s">
        <v>27</v>
      </c>
      <c r="L251" s="24" t="s">
        <v>28</v>
      </c>
      <c r="M251" s="134">
        <f t="shared" si="5"/>
        <v>5</v>
      </c>
    </row>
    <row r="252" spans="1:13" ht="20.100000000000001" customHeight="1">
      <c r="A252" s="105" t="s">
        <v>1604</v>
      </c>
      <c r="B252" s="118" t="s">
        <v>1605</v>
      </c>
      <c r="C252" s="104" t="s">
        <v>1606</v>
      </c>
      <c r="D252" s="104" t="s">
        <v>748</v>
      </c>
      <c r="E252" s="104" t="s">
        <v>1607</v>
      </c>
      <c r="F252" s="139" t="s">
        <v>1608</v>
      </c>
      <c r="G252" s="149">
        <v>41965</v>
      </c>
      <c r="H252" s="150">
        <v>41955</v>
      </c>
      <c r="I252" s="109">
        <v>41955</v>
      </c>
      <c r="J252" s="128" t="s">
        <v>1609</v>
      </c>
      <c r="K252" s="24" t="s">
        <v>73</v>
      </c>
      <c r="L252" s="24" t="s">
        <v>74</v>
      </c>
      <c r="M252" s="134" t="e">
        <f t="shared" si="5"/>
        <v>#NUM!</v>
      </c>
    </row>
    <row r="253" spans="1:13" ht="20.100000000000001" customHeight="1">
      <c r="A253" s="105" t="s">
        <v>1610</v>
      </c>
      <c r="B253" s="118" t="s">
        <v>1611</v>
      </c>
      <c r="C253" s="104" t="s">
        <v>1149</v>
      </c>
      <c r="D253" s="104" t="s">
        <v>748</v>
      </c>
      <c r="E253" s="104" t="s">
        <v>1612</v>
      </c>
      <c r="F253" s="139" t="s">
        <v>1613</v>
      </c>
      <c r="G253" s="149">
        <v>42102</v>
      </c>
      <c r="H253" s="150">
        <v>42278</v>
      </c>
      <c r="I253" s="109">
        <v>42461</v>
      </c>
      <c r="J253" s="128" t="s">
        <v>1580</v>
      </c>
      <c r="K253" s="24" t="s">
        <v>27</v>
      </c>
      <c r="L253" s="24" t="s">
        <v>28</v>
      </c>
      <c r="M253" s="134">
        <f t="shared" si="5"/>
        <v>5</v>
      </c>
    </row>
    <row r="254" spans="1:13" ht="20.100000000000001" customHeight="1">
      <c r="A254" s="105" t="s">
        <v>1614</v>
      </c>
      <c r="B254" s="118" t="s">
        <v>1615</v>
      </c>
      <c r="C254" s="104" t="s">
        <v>1149</v>
      </c>
      <c r="D254" s="104" t="s">
        <v>748</v>
      </c>
      <c r="E254" s="104" t="s">
        <v>1616</v>
      </c>
      <c r="F254" s="139" t="s">
        <v>1617</v>
      </c>
      <c r="G254" s="149">
        <v>42164</v>
      </c>
      <c r="H254" s="150">
        <v>42336</v>
      </c>
      <c r="I254" s="109">
        <v>42518</v>
      </c>
      <c r="J254" s="128" t="s">
        <v>1618</v>
      </c>
      <c r="K254" s="24" t="s">
        <v>27</v>
      </c>
      <c r="L254" s="24" t="s">
        <v>28</v>
      </c>
      <c r="M254" s="134">
        <f t="shared" si="5"/>
        <v>5</v>
      </c>
    </row>
    <row r="255" spans="1:13" ht="20.100000000000001" customHeight="1">
      <c r="A255" s="105" t="s">
        <v>1619</v>
      </c>
      <c r="B255" s="118" t="s">
        <v>1620</v>
      </c>
      <c r="C255" s="104" t="s">
        <v>1149</v>
      </c>
      <c r="D255" s="104" t="s">
        <v>748</v>
      </c>
      <c r="E255" s="104" t="s">
        <v>1621</v>
      </c>
      <c r="F255" s="139" t="s">
        <v>1622</v>
      </c>
      <c r="G255" s="149">
        <v>42240</v>
      </c>
      <c r="H255" s="150">
        <v>42400</v>
      </c>
      <c r="I255" s="109">
        <v>42582</v>
      </c>
      <c r="J255" s="128" t="s">
        <v>1623</v>
      </c>
      <c r="K255" s="24" t="s">
        <v>1624</v>
      </c>
      <c r="L255" s="24" t="s">
        <v>28</v>
      </c>
      <c r="M255" s="134">
        <f t="shared" si="5"/>
        <v>5</v>
      </c>
    </row>
    <row r="256" spans="1:13" ht="20.100000000000001" customHeight="1">
      <c r="A256" s="105" t="s">
        <v>1625</v>
      </c>
      <c r="B256" s="123" t="s">
        <v>1626</v>
      </c>
      <c r="C256" s="104" t="s">
        <v>1149</v>
      </c>
      <c r="D256" s="104" t="s">
        <v>748</v>
      </c>
      <c r="E256" s="104" t="s">
        <v>1627</v>
      </c>
      <c r="F256" s="139" t="s">
        <v>1628</v>
      </c>
      <c r="G256" s="149">
        <v>42288</v>
      </c>
      <c r="H256" s="150">
        <v>42326</v>
      </c>
      <c r="I256" s="109">
        <v>42653</v>
      </c>
      <c r="J256" s="128" t="s">
        <v>1629</v>
      </c>
      <c r="K256" s="24" t="s">
        <v>75</v>
      </c>
      <c r="L256" s="24" t="s">
        <v>28</v>
      </c>
      <c r="M256" s="134">
        <f t="shared" si="5"/>
        <v>1</v>
      </c>
    </row>
    <row r="257" spans="1:13" ht="20.100000000000001" customHeight="1">
      <c r="A257" s="105" t="s">
        <v>1630</v>
      </c>
      <c r="B257" s="118" t="s">
        <v>1631</v>
      </c>
      <c r="C257" s="104" t="s">
        <v>1149</v>
      </c>
      <c r="D257" s="104" t="s">
        <v>748</v>
      </c>
      <c r="E257" s="104" t="s">
        <v>1632</v>
      </c>
      <c r="F257" s="139" t="s">
        <v>1633</v>
      </c>
      <c r="G257" s="149">
        <v>42391</v>
      </c>
      <c r="H257" s="150">
        <v>42551</v>
      </c>
      <c r="I257" s="109">
        <v>42735</v>
      </c>
      <c r="J257" s="128" t="s">
        <v>1634</v>
      </c>
      <c r="K257" s="24" t="s">
        <v>73</v>
      </c>
      <c r="L257" s="24" t="s">
        <v>74</v>
      </c>
      <c r="M257" s="134">
        <f t="shared" si="5"/>
        <v>5</v>
      </c>
    </row>
    <row r="258" spans="1:13" ht="20.100000000000001" customHeight="1">
      <c r="A258" s="105" t="s">
        <v>1635</v>
      </c>
      <c r="B258" s="118" t="s">
        <v>1636</v>
      </c>
      <c r="C258" s="104" t="s">
        <v>1149</v>
      </c>
      <c r="D258" s="104" t="s">
        <v>748</v>
      </c>
      <c r="E258" s="104" t="s">
        <v>1637</v>
      </c>
      <c r="F258" s="139" t="s">
        <v>1638</v>
      </c>
      <c r="G258" s="149">
        <v>42404</v>
      </c>
      <c r="H258" s="150">
        <v>42766</v>
      </c>
      <c r="I258" s="109">
        <v>42947</v>
      </c>
      <c r="J258" s="128" t="s">
        <v>1639</v>
      </c>
      <c r="K258" s="24" t="s">
        <v>540</v>
      </c>
      <c r="L258" s="24" t="s">
        <v>0</v>
      </c>
      <c r="M258" s="134">
        <f t="shared" si="5"/>
        <v>11</v>
      </c>
    </row>
    <row r="259" spans="1:13" ht="20.100000000000001" customHeight="1">
      <c r="A259" s="105" t="s">
        <v>1640</v>
      </c>
      <c r="B259" s="118" t="s">
        <v>1641</v>
      </c>
      <c r="C259" s="104" t="s">
        <v>1149</v>
      </c>
      <c r="D259" s="104" t="s">
        <v>748</v>
      </c>
      <c r="E259" s="104" t="s">
        <v>1642</v>
      </c>
      <c r="F259" s="139" t="s">
        <v>1643</v>
      </c>
      <c r="G259" s="149">
        <v>42451</v>
      </c>
      <c r="H259" s="150">
        <v>42531</v>
      </c>
      <c r="I259" s="109">
        <v>42623</v>
      </c>
      <c r="J259" s="128" t="s">
        <v>1644</v>
      </c>
      <c r="K259" s="24" t="s">
        <v>73</v>
      </c>
      <c r="L259" s="24" t="s">
        <v>74</v>
      </c>
      <c r="M259" s="134">
        <f t="shared" ref="M259:M322" si="6">DATEDIF(G259,H259,"m")</f>
        <v>2</v>
      </c>
    </row>
    <row r="260" spans="1:13" ht="20.100000000000001" customHeight="1">
      <c r="A260" s="105" t="s">
        <v>1645</v>
      </c>
      <c r="B260" s="118" t="s">
        <v>1646</v>
      </c>
      <c r="C260" s="104" t="s">
        <v>1149</v>
      </c>
      <c r="D260" s="104" t="s">
        <v>748</v>
      </c>
      <c r="E260" s="104" t="s">
        <v>1647</v>
      </c>
      <c r="F260" s="139" t="s">
        <v>1648</v>
      </c>
      <c r="G260" s="149">
        <v>42538</v>
      </c>
      <c r="H260" s="150">
        <v>42534</v>
      </c>
      <c r="I260" s="109">
        <v>42534</v>
      </c>
      <c r="J260" s="128" t="s">
        <v>1649</v>
      </c>
      <c r="K260" s="24" t="s">
        <v>27</v>
      </c>
      <c r="L260" s="24" t="s">
        <v>28</v>
      </c>
      <c r="M260" s="134" t="e">
        <f t="shared" si="6"/>
        <v>#NUM!</v>
      </c>
    </row>
    <row r="261" spans="1:13" ht="20.100000000000001" customHeight="1">
      <c r="A261" s="105" t="s">
        <v>1650</v>
      </c>
      <c r="B261" s="118" t="s">
        <v>1651</v>
      </c>
      <c r="C261" s="104" t="s">
        <v>1149</v>
      </c>
      <c r="D261" s="104" t="s">
        <v>748</v>
      </c>
      <c r="E261" s="104" t="s">
        <v>1652</v>
      </c>
      <c r="F261" s="139" t="s">
        <v>1653</v>
      </c>
      <c r="G261" s="149">
        <v>42525</v>
      </c>
      <c r="H261" s="150">
        <v>42724</v>
      </c>
      <c r="I261" s="109">
        <v>42886</v>
      </c>
      <c r="J261" s="128" t="s">
        <v>1654</v>
      </c>
      <c r="K261" s="24" t="s">
        <v>73</v>
      </c>
      <c r="L261" s="24" t="s">
        <v>74</v>
      </c>
      <c r="M261" s="134">
        <f t="shared" si="6"/>
        <v>6</v>
      </c>
    </row>
    <row r="262" spans="1:13" ht="20.100000000000001" customHeight="1">
      <c r="A262" s="105" t="s">
        <v>1650</v>
      </c>
      <c r="B262" s="118" t="s">
        <v>1655</v>
      </c>
      <c r="C262" s="104" t="s">
        <v>1149</v>
      </c>
      <c r="D262" s="104" t="s">
        <v>748</v>
      </c>
      <c r="E262" s="104" t="s">
        <v>1656</v>
      </c>
      <c r="F262" s="139" t="s">
        <v>1653</v>
      </c>
      <c r="G262" s="149">
        <v>42718</v>
      </c>
      <c r="H262" s="150">
        <v>42724</v>
      </c>
      <c r="I262" s="109">
        <v>42886</v>
      </c>
      <c r="J262" s="128" t="s">
        <v>1654</v>
      </c>
      <c r="K262" s="24" t="s">
        <v>73</v>
      </c>
      <c r="L262" s="24" t="s">
        <v>74</v>
      </c>
      <c r="M262" s="134">
        <f t="shared" si="6"/>
        <v>0</v>
      </c>
    </row>
    <row r="263" spans="1:13" ht="20.100000000000001" customHeight="1">
      <c r="A263" s="105" t="s">
        <v>1657</v>
      </c>
      <c r="B263" s="118" t="s">
        <v>1658</v>
      </c>
      <c r="C263" s="104" t="s">
        <v>1149</v>
      </c>
      <c r="D263" s="104" t="s">
        <v>748</v>
      </c>
      <c r="E263" s="104" t="s">
        <v>1659</v>
      </c>
      <c r="F263" s="139" t="s">
        <v>1660</v>
      </c>
      <c r="G263" s="149">
        <v>42769</v>
      </c>
      <c r="H263" s="150">
        <v>42944</v>
      </c>
      <c r="I263" s="109">
        <v>43126</v>
      </c>
      <c r="J263" s="128" t="s">
        <v>1661</v>
      </c>
      <c r="K263" s="24" t="s">
        <v>73</v>
      </c>
      <c r="L263" s="24" t="s">
        <v>74</v>
      </c>
      <c r="M263" s="134">
        <f t="shared" si="6"/>
        <v>5</v>
      </c>
    </row>
    <row r="264" spans="1:13" ht="20.100000000000001" customHeight="1">
      <c r="A264" s="105" t="s">
        <v>1662</v>
      </c>
      <c r="B264" s="118" t="s">
        <v>1663</v>
      </c>
      <c r="C264" s="104" t="s">
        <v>1149</v>
      </c>
      <c r="D264" s="104" t="s">
        <v>748</v>
      </c>
      <c r="E264" s="104" t="s">
        <v>1664</v>
      </c>
      <c r="F264" s="139" t="s">
        <v>1665</v>
      </c>
      <c r="G264" s="149">
        <v>42787</v>
      </c>
      <c r="H264" s="150">
        <v>42958</v>
      </c>
      <c r="I264" s="109">
        <v>43147</v>
      </c>
      <c r="J264" s="128" t="s">
        <v>1666</v>
      </c>
      <c r="K264" s="24" t="s">
        <v>27</v>
      </c>
      <c r="L264" s="24" t="s">
        <v>28</v>
      </c>
      <c r="M264" s="134">
        <f t="shared" si="6"/>
        <v>5</v>
      </c>
    </row>
    <row r="265" spans="1:13" ht="20.100000000000001" customHeight="1">
      <c r="A265" s="105" t="s">
        <v>1667</v>
      </c>
      <c r="B265" s="123" t="s">
        <v>1668</v>
      </c>
      <c r="C265" s="104" t="s">
        <v>1149</v>
      </c>
      <c r="D265" s="104" t="s">
        <v>748</v>
      </c>
      <c r="E265" s="104" t="s">
        <v>1669</v>
      </c>
      <c r="F265" s="139" t="s">
        <v>1670</v>
      </c>
      <c r="G265" s="149">
        <v>42787</v>
      </c>
      <c r="H265" s="150">
        <v>42944</v>
      </c>
      <c r="I265" s="109">
        <v>42944</v>
      </c>
      <c r="J265" t="s">
        <v>1671</v>
      </c>
      <c r="K265" s="24" t="s">
        <v>73</v>
      </c>
      <c r="L265" s="24" t="s">
        <v>74</v>
      </c>
      <c r="M265" s="134">
        <f t="shared" si="6"/>
        <v>5</v>
      </c>
    </row>
    <row r="266" spans="1:13" ht="20.100000000000001" customHeight="1">
      <c r="A266" s="105" t="s">
        <v>1672</v>
      </c>
      <c r="B266" s="123" t="s">
        <v>1673</v>
      </c>
      <c r="C266" s="104" t="s">
        <v>1149</v>
      </c>
      <c r="D266" s="104" t="s">
        <v>748</v>
      </c>
      <c r="E266" s="104" t="s">
        <v>1674</v>
      </c>
      <c r="F266" s="139" t="s">
        <v>1675</v>
      </c>
      <c r="G266" s="149">
        <v>42809</v>
      </c>
      <c r="H266" s="150">
        <v>42979</v>
      </c>
      <c r="I266" s="109">
        <v>43161</v>
      </c>
      <c r="J266" t="s">
        <v>1676</v>
      </c>
      <c r="K266" s="24" t="s">
        <v>540</v>
      </c>
      <c r="L266" s="24" t="s">
        <v>0</v>
      </c>
      <c r="M266" s="134">
        <f t="shared" si="6"/>
        <v>5</v>
      </c>
    </row>
    <row r="267" spans="1:13" ht="20.100000000000001" customHeight="1">
      <c r="A267" s="105" t="s">
        <v>1677</v>
      </c>
      <c r="B267" s="118" t="s">
        <v>1678</v>
      </c>
      <c r="C267" s="104" t="s">
        <v>1149</v>
      </c>
      <c r="D267" s="104" t="s">
        <v>748</v>
      </c>
      <c r="E267" s="104" t="s">
        <v>1679</v>
      </c>
      <c r="F267" s="139" t="s">
        <v>1680</v>
      </c>
      <c r="G267" s="149">
        <v>42851</v>
      </c>
      <c r="H267" s="150">
        <v>43008</v>
      </c>
      <c r="I267" s="109">
        <v>43191</v>
      </c>
      <c r="J267" s="128" t="s">
        <v>1580</v>
      </c>
      <c r="K267" s="24" t="s">
        <v>27</v>
      </c>
      <c r="L267" s="24" t="s">
        <v>28</v>
      </c>
      <c r="M267" s="134">
        <f t="shared" si="6"/>
        <v>5</v>
      </c>
    </row>
    <row r="268" spans="1:13" ht="20.100000000000001" customHeight="1">
      <c r="A268" s="105" t="s">
        <v>1681</v>
      </c>
      <c r="B268" s="118" t="s">
        <v>1682</v>
      </c>
      <c r="C268" s="104" t="s">
        <v>1149</v>
      </c>
      <c r="D268" s="104" t="s">
        <v>748</v>
      </c>
      <c r="E268" s="104" t="s">
        <v>1683</v>
      </c>
      <c r="F268" s="139" t="s">
        <v>1684</v>
      </c>
      <c r="G268" s="149">
        <v>42851</v>
      </c>
      <c r="H268" s="150">
        <v>42841</v>
      </c>
      <c r="I268" s="109">
        <v>42841</v>
      </c>
      <c r="J268" s="128" t="s">
        <v>1685</v>
      </c>
      <c r="K268" s="24" t="s">
        <v>73</v>
      </c>
      <c r="L268" s="24" t="s">
        <v>74</v>
      </c>
      <c r="M268" s="134" t="e">
        <f t="shared" si="6"/>
        <v>#NUM!</v>
      </c>
    </row>
    <row r="269" spans="1:13" ht="20.100000000000001" customHeight="1">
      <c r="A269" s="105" t="s">
        <v>1686</v>
      </c>
      <c r="B269" s="118" t="s">
        <v>1687</v>
      </c>
      <c r="C269" s="104" t="s">
        <v>1149</v>
      </c>
      <c r="D269" s="104" t="s">
        <v>748</v>
      </c>
      <c r="E269" s="104" t="s">
        <v>1688</v>
      </c>
      <c r="F269" s="139" t="s">
        <v>1689</v>
      </c>
      <c r="G269" s="149">
        <v>40123</v>
      </c>
      <c r="H269" s="150">
        <v>40270</v>
      </c>
      <c r="I269" s="126">
        <v>40361</v>
      </c>
      <c r="J269" s="128" t="s">
        <v>1690</v>
      </c>
      <c r="K269" s="24" t="s">
        <v>73</v>
      </c>
      <c r="L269" s="24" t="s">
        <v>74</v>
      </c>
      <c r="M269" s="134">
        <f t="shared" si="6"/>
        <v>4</v>
      </c>
    </row>
    <row r="270" spans="1:13" ht="20.100000000000001" customHeight="1">
      <c r="A270" s="105" t="s">
        <v>1691</v>
      </c>
      <c r="B270" s="118" t="s">
        <v>1692</v>
      </c>
      <c r="C270" s="104" t="s">
        <v>1149</v>
      </c>
      <c r="D270" s="104" t="s">
        <v>748</v>
      </c>
      <c r="E270" s="104" t="s">
        <v>1693</v>
      </c>
      <c r="F270" s="139" t="s">
        <v>1694</v>
      </c>
      <c r="G270" s="149">
        <v>40165</v>
      </c>
      <c r="H270" s="150">
        <v>40249</v>
      </c>
      <c r="I270" s="109">
        <v>40359</v>
      </c>
      <c r="J270" s="128" t="s">
        <v>1455</v>
      </c>
      <c r="K270" s="24" t="s">
        <v>27</v>
      </c>
      <c r="L270" s="24" t="s">
        <v>28</v>
      </c>
      <c r="M270" s="134">
        <f t="shared" si="6"/>
        <v>2</v>
      </c>
    </row>
    <row r="271" spans="1:13" ht="20.100000000000001" customHeight="1">
      <c r="A271" s="105" t="s">
        <v>1695</v>
      </c>
      <c r="B271" s="118" t="s">
        <v>1696</v>
      </c>
      <c r="C271" s="104" t="s">
        <v>1149</v>
      </c>
      <c r="D271" s="104" t="s">
        <v>748</v>
      </c>
      <c r="E271" s="104" t="s">
        <v>1697</v>
      </c>
      <c r="F271" s="139" t="s">
        <v>1698</v>
      </c>
      <c r="G271" s="149">
        <v>40165</v>
      </c>
      <c r="H271" s="150">
        <v>40249</v>
      </c>
      <c r="I271" s="126">
        <v>40359</v>
      </c>
      <c r="J271" s="128" t="s">
        <v>1699</v>
      </c>
      <c r="K271" s="24" t="s">
        <v>27</v>
      </c>
      <c r="L271" s="24" t="s">
        <v>28</v>
      </c>
      <c r="M271" s="134">
        <f t="shared" si="6"/>
        <v>2</v>
      </c>
    </row>
    <row r="272" spans="1:13" ht="20.100000000000001" customHeight="1">
      <c r="A272" s="105" t="s">
        <v>1700</v>
      </c>
      <c r="B272" s="119" t="s">
        <v>1701</v>
      </c>
      <c r="C272" s="104" t="s">
        <v>1149</v>
      </c>
      <c r="D272" s="104" t="s">
        <v>748</v>
      </c>
      <c r="E272" s="104" t="s">
        <v>1702</v>
      </c>
      <c r="F272" s="139" t="s">
        <v>1703</v>
      </c>
      <c r="G272" s="149">
        <v>40435</v>
      </c>
      <c r="H272" s="150">
        <v>40603</v>
      </c>
      <c r="I272" s="109">
        <v>40786</v>
      </c>
      <c r="J272" s="128" t="s">
        <v>1704</v>
      </c>
      <c r="K272" s="24" t="s">
        <v>73</v>
      </c>
      <c r="L272" s="24" t="s">
        <v>74</v>
      </c>
      <c r="M272" s="134">
        <f t="shared" si="6"/>
        <v>5</v>
      </c>
    </row>
    <row r="273" spans="1:13" ht="20.100000000000001" customHeight="1">
      <c r="A273" s="105" t="s">
        <v>1705</v>
      </c>
      <c r="B273" s="118" t="s">
        <v>1706</v>
      </c>
      <c r="C273" s="104" t="s">
        <v>1149</v>
      </c>
      <c r="D273" s="104" t="s">
        <v>748</v>
      </c>
      <c r="E273" s="104" t="s">
        <v>1707</v>
      </c>
      <c r="F273" s="139" t="s">
        <v>1708</v>
      </c>
      <c r="G273" s="149">
        <v>40506</v>
      </c>
      <c r="H273" s="150">
        <v>40523</v>
      </c>
      <c r="I273" s="108">
        <v>44286</v>
      </c>
      <c r="J273" s="128" t="s">
        <v>1709</v>
      </c>
      <c r="K273" s="24" t="s">
        <v>540</v>
      </c>
      <c r="L273" s="24" t="s">
        <v>0</v>
      </c>
      <c r="M273" s="134">
        <f t="shared" si="6"/>
        <v>0</v>
      </c>
    </row>
    <row r="274" spans="1:13" ht="20.100000000000001" customHeight="1">
      <c r="A274" s="105" t="s">
        <v>1710</v>
      </c>
      <c r="B274" s="118" t="s">
        <v>1711</v>
      </c>
      <c r="C274" s="104" t="s">
        <v>1149</v>
      </c>
      <c r="D274" s="104" t="s">
        <v>748</v>
      </c>
      <c r="E274" s="104" t="s">
        <v>1712</v>
      </c>
      <c r="F274" s="139" t="s">
        <v>1713</v>
      </c>
      <c r="G274" s="149">
        <v>40628</v>
      </c>
      <c r="H274" s="150">
        <v>40847</v>
      </c>
      <c r="I274" s="109">
        <v>41029</v>
      </c>
      <c r="J274" s="128" t="s">
        <v>1714</v>
      </c>
      <c r="K274" s="24" t="s">
        <v>73</v>
      </c>
      <c r="L274" s="24" t="s">
        <v>74</v>
      </c>
      <c r="M274" s="134">
        <f t="shared" si="6"/>
        <v>7</v>
      </c>
    </row>
    <row r="275" spans="1:13" ht="20.100000000000001" customHeight="1">
      <c r="A275" s="105" t="s">
        <v>1715</v>
      </c>
      <c r="B275" s="118" t="s">
        <v>1716</v>
      </c>
      <c r="C275" s="104" t="s">
        <v>1149</v>
      </c>
      <c r="D275" s="104" t="s">
        <v>748</v>
      </c>
      <c r="E275" s="104" t="s">
        <v>1717</v>
      </c>
      <c r="F275" s="139" t="s">
        <v>1718</v>
      </c>
      <c r="G275" s="149">
        <v>40712</v>
      </c>
      <c r="H275" s="150">
        <v>40724</v>
      </c>
      <c r="I275" s="108">
        <v>40724</v>
      </c>
      <c r="J275" s="128" t="s">
        <v>1719</v>
      </c>
      <c r="K275" s="24" t="s">
        <v>73</v>
      </c>
      <c r="L275" s="24" t="s">
        <v>74</v>
      </c>
      <c r="M275" s="134">
        <f t="shared" si="6"/>
        <v>0</v>
      </c>
    </row>
    <row r="276" spans="1:13" ht="20.100000000000001" customHeight="1">
      <c r="A276" s="105" t="s">
        <v>1720</v>
      </c>
      <c r="B276" s="118" t="s">
        <v>1721</v>
      </c>
      <c r="C276" s="104" t="s">
        <v>1149</v>
      </c>
      <c r="D276" s="104" t="s">
        <v>748</v>
      </c>
      <c r="E276" s="104" t="s">
        <v>1722</v>
      </c>
      <c r="F276" s="139" t="s">
        <v>1723</v>
      </c>
      <c r="G276" s="149">
        <v>40852</v>
      </c>
      <c r="H276" s="150">
        <v>40939</v>
      </c>
      <c r="I276" s="109">
        <v>41029</v>
      </c>
      <c r="J276" s="128" t="s">
        <v>1724</v>
      </c>
      <c r="M276" s="134">
        <f t="shared" si="6"/>
        <v>2</v>
      </c>
    </row>
    <row r="277" spans="1:13" ht="20.100000000000001" customHeight="1">
      <c r="A277" s="105" t="s">
        <v>1725</v>
      </c>
      <c r="B277" s="118" t="s">
        <v>1726</v>
      </c>
      <c r="C277" s="104" t="s">
        <v>1727</v>
      </c>
      <c r="D277" s="104" t="s">
        <v>782</v>
      </c>
      <c r="E277" s="104" t="s">
        <v>1728</v>
      </c>
      <c r="F277" s="139" t="s">
        <v>1729</v>
      </c>
      <c r="G277" s="149">
        <v>41005</v>
      </c>
      <c r="H277" s="150">
        <v>40991</v>
      </c>
      <c r="I277" s="108">
        <v>40991</v>
      </c>
      <c r="J277" s="128" t="s">
        <v>1730</v>
      </c>
      <c r="K277" s="24" t="s">
        <v>73</v>
      </c>
      <c r="L277" s="24" t="s">
        <v>74</v>
      </c>
      <c r="M277" s="134" t="e">
        <f t="shared" si="6"/>
        <v>#NUM!</v>
      </c>
    </row>
    <row r="278" spans="1:13" ht="20.100000000000001" customHeight="1">
      <c r="A278" s="105" t="s">
        <v>1731</v>
      </c>
      <c r="B278" s="118" t="s">
        <v>1732</v>
      </c>
      <c r="C278" s="104" t="s">
        <v>1727</v>
      </c>
      <c r="D278" s="104" t="s">
        <v>748</v>
      </c>
      <c r="E278" s="104" t="s">
        <v>1733</v>
      </c>
      <c r="F278" s="139" t="s">
        <v>1734</v>
      </c>
      <c r="G278" s="149">
        <v>41045</v>
      </c>
      <c r="H278" s="150">
        <v>41020</v>
      </c>
      <c r="I278" s="109">
        <v>41020</v>
      </c>
      <c r="J278" s="128" t="s">
        <v>1735</v>
      </c>
      <c r="K278" s="24" t="s">
        <v>73</v>
      </c>
      <c r="L278" s="24" t="s">
        <v>74</v>
      </c>
      <c r="M278" s="134" t="e">
        <f t="shared" si="6"/>
        <v>#NUM!</v>
      </c>
    </row>
    <row r="279" spans="1:13" ht="20.100000000000001" customHeight="1">
      <c r="A279" s="105" t="s">
        <v>1736</v>
      </c>
      <c r="B279" s="118" t="s">
        <v>1737</v>
      </c>
      <c r="C279" s="104" t="s">
        <v>1149</v>
      </c>
      <c r="D279" s="104" t="s">
        <v>748</v>
      </c>
      <c r="E279" s="104" t="s">
        <v>1738</v>
      </c>
      <c r="F279" s="139" t="s">
        <v>1739</v>
      </c>
      <c r="G279" s="149">
        <v>41293</v>
      </c>
      <c r="H279" s="150">
        <v>41456</v>
      </c>
      <c r="I279" s="108">
        <v>41639</v>
      </c>
      <c r="J279" s="129" t="s">
        <v>1740</v>
      </c>
      <c r="K279" s="24" t="s">
        <v>73</v>
      </c>
      <c r="L279" s="24" t="s">
        <v>74</v>
      </c>
      <c r="M279" s="134">
        <f t="shared" si="6"/>
        <v>5</v>
      </c>
    </row>
    <row r="280" spans="1:13" ht="20.100000000000001" customHeight="1">
      <c r="A280" s="105" t="s">
        <v>1741</v>
      </c>
      <c r="B280" s="118" t="s">
        <v>1742</v>
      </c>
      <c r="C280" s="104" t="s">
        <v>1149</v>
      </c>
      <c r="D280" s="104" t="s">
        <v>748</v>
      </c>
      <c r="E280" s="104" t="s">
        <v>1743</v>
      </c>
      <c r="F280" s="139" t="s">
        <v>1744</v>
      </c>
      <c r="G280" s="149">
        <v>41293</v>
      </c>
      <c r="H280" s="150">
        <v>41453</v>
      </c>
      <c r="I280" s="109">
        <v>41623</v>
      </c>
      <c r="J280" s="129" t="s">
        <v>1745</v>
      </c>
      <c r="K280" s="24" t="s">
        <v>73</v>
      </c>
      <c r="L280" s="24" t="s">
        <v>74</v>
      </c>
      <c r="M280" s="134">
        <f t="shared" si="6"/>
        <v>5</v>
      </c>
    </row>
    <row r="281" spans="1:13" ht="20.100000000000001" customHeight="1">
      <c r="A281" s="105" t="s">
        <v>1746</v>
      </c>
      <c r="B281" s="118" t="s">
        <v>1747</v>
      </c>
      <c r="C281" s="104" t="s">
        <v>1727</v>
      </c>
      <c r="D281" s="104" t="s">
        <v>748</v>
      </c>
      <c r="E281" s="104" t="s">
        <v>1748</v>
      </c>
      <c r="F281" s="139" t="s">
        <v>1749</v>
      </c>
      <c r="G281" s="149">
        <v>41412</v>
      </c>
      <c r="H281" s="150">
        <v>41402</v>
      </c>
      <c r="I281" s="108">
        <v>41402</v>
      </c>
      <c r="J281" s="128" t="s">
        <v>1750</v>
      </c>
      <c r="K281" s="24" t="s">
        <v>75</v>
      </c>
      <c r="L281" s="24" t="s">
        <v>28</v>
      </c>
      <c r="M281" s="134" t="e">
        <f t="shared" si="6"/>
        <v>#NUM!</v>
      </c>
    </row>
    <row r="282" spans="1:13" ht="20.100000000000001" customHeight="1">
      <c r="A282" s="105" t="s">
        <v>1751</v>
      </c>
      <c r="B282" s="118" t="s">
        <v>1752</v>
      </c>
      <c r="C282" s="104" t="s">
        <v>1149</v>
      </c>
      <c r="D282" s="104" t="s">
        <v>748</v>
      </c>
      <c r="E282" s="104" t="s">
        <v>1753</v>
      </c>
      <c r="F282" s="139" t="s">
        <v>1754</v>
      </c>
      <c r="G282" s="149">
        <v>41472</v>
      </c>
      <c r="H282" s="150">
        <v>41670</v>
      </c>
      <c r="I282" s="108">
        <v>41670</v>
      </c>
      <c r="J282" s="128" t="s">
        <v>1755</v>
      </c>
      <c r="K282" s="24" t="s">
        <v>73</v>
      </c>
      <c r="L282" s="24" t="s">
        <v>74</v>
      </c>
      <c r="M282" s="134">
        <f t="shared" si="6"/>
        <v>6</v>
      </c>
    </row>
    <row r="283" spans="1:13" ht="20.100000000000001" customHeight="1">
      <c r="A283" s="105" t="s">
        <v>1756</v>
      </c>
      <c r="B283" s="118" t="s">
        <v>1757</v>
      </c>
      <c r="C283" s="104" t="s">
        <v>1149</v>
      </c>
      <c r="D283" s="104" t="s">
        <v>748</v>
      </c>
      <c r="E283" s="104" t="s">
        <v>1758</v>
      </c>
      <c r="F283" s="139" t="s">
        <v>1759</v>
      </c>
      <c r="G283" s="149">
        <v>41472</v>
      </c>
      <c r="H283" s="150">
        <v>41729</v>
      </c>
      <c r="I283" s="108">
        <v>41851</v>
      </c>
      <c r="J283" s="128" t="s">
        <v>1760</v>
      </c>
      <c r="M283" s="134">
        <f t="shared" si="6"/>
        <v>8</v>
      </c>
    </row>
    <row r="284" spans="1:13" ht="20.100000000000001" customHeight="1">
      <c r="A284" s="105" t="s">
        <v>1761</v>
      </c>
      <c r="B284" s="118" t="s">
        <v>1762</v>
      </c>
      <c r="C284" s="104" t="s">
        <v>1727</v>
      </c>
      <c r="D284" s="104" t="s">
        <v>748</v>
      </c>
      <c r="E284" s="104" t="s">
        <v>1763</v>
      </c>
      <c r="F284" s="139" t="s">
        <v>1764</v>
      </c>
      <c r="G284" s="149">
        <v>41619</v>
      </c>
      <c r="H284" s="150">
        <v>41790</v>
      </c>
      <c r="I284" s="109">
        <v>42004</v>
      </c>
      <c r="J284" s="128" t="s">
        <v>1765</v>
      </c>
      <c r="K284" s="24" t="s">
        <v>73</v>
      </c>
      <c r="L284" s="24" t="s">
        <v>74</v>
      </c>
      <c r="M284" s="134">
        <f t="shared" si="6"/>
        <v>5</v>
      </c>
    </row>
    <row r="285" spans="1:13" ht="20.100000000000001" customHeight="1">
      <c r="A285" s="105" t="s">
        <v>1766</v>
      </c>
      <c r="B285" s="118" t="s">
        <v>1767</v>
      </c>
      <c r="C285" s="104" t="s">
        <v>1149</v>
      </c>
      <c r="D285" s="104" t="s">
        <v>748</v>
      </c>
      <c r="E285" s="104" t="s">
        <v>1768</v>
      </c>
      <c r="F285" s="139" t="s">
        <v>1769</v>
      </c>
      <c r="G285" s="149">
        <v>41667</v>
      </c>
      <c r="H285" s="150">
        <v>41729</v>
      </c>
      <c r="I285" s="108">
        <v>41820</v>
      </c>
      <c r="J285" s="128" t="s">
        <v>1770</v>
      </c>
      <c r="K285" s="24" t="s">
        <v>73</v>
      </c>
      <c r="L285" s="24" t="s">
        <v>74</v>
      </c>
      <c r="M285" s="134">
        <f t="shared" si="6"/>
        <v>2</v>
      </c>
    </row>
    <row r="286" spans="1:13" ht="20.100000000000001" customHeight="1">
      <c r="A286" s="105" t="s">
        <v>1771</v>
      </c>
      <c r="B286" s="118" t="s">
        <v>1772</v>
      </c>
      <c r="C286" s="104" t="s">
        <v>1727</v>
      </c>
      <c r="D286" s="104" t="s">
        <v>748</v>
      </c>
      <c r="E286" s="104" t="s">
        <v>1773</v>
      </c>
      <c r="F286" s="139" t="s">
        <v>1774</v>
      </c>
      <c r="G286" s="149">
        <v>41821</v>
      </c>
      <c r="H286" s="150">
        <v>41851</v>
      </c>
      <c r="I286" s="108">
        <v>41882</v>
      </c>
      <c r="J286" s="128" t="s">
        <v>1775</v>
      </c>
      <c r="K286" s="24" t="s">
        <v>73</v>
      </c>
      <c r="L286" s="24" t="s">
        <v>74</v>
      </c>
      <c r="M286" s="134">
        <f t="shared" si="6"/>
        <v>0</v>
      </c>
    </row>
    <row r="287" spans="1:13" ht="20.100000000000001" customHeight="1">
      <c r="A287" s="105" t="s">
        <v>1776</v>
      </c>
      <c r="B287" s="118" t="s">
        <v>1777</v>
      </c>
      <c r="C287" s="104" t="s">
        <v>1149</v>
      </c>
      <c r="D287" s="104" t="s">
        <v>748</v>
      </c>
      <c r="E287" s="104" t="s">
        <v>1778</v>
      </c>
      <c r="F287" s="139" t="s">
        <v>1779</v>
      </c>
      <c r="G287" s="149">
        <v>41872</v>
      </c>
      <c r="H287" s="150">
        <v>41880</v>
      </c>
      <c r="I287" s="108">
        <v>41912</v>
      </c>
      <c r="J287" s="128" t="s">
        <v>1780</v>
      </c>
      <c r="K287" s="24" t="s">
        <v>73</v>
      </c>
      <c r="L287" s="24" t="s">
        <v>74</v>
      </c>
      <c r="M287" s="134">
        <f t="shared" si="6"/>
        <v>0</v>
      </c>
    </row>
    <row r="288" spans="1:13" ht="20.100000000000001" customHeight="1">
      <c r="A288" s="105" t="s">
        <v>1781</v>
      </c>
      <c r="B288" s="118" t="s">
        <v>1782</v>
      </c>
      <c r="C288" s="104" t="s">
        <v>1149</v>
      </c>
      <c r="D288" s="104" t="s">
        <v>748</v>
      </c>
      <c r="E288" s="104" t="s">
        <v>1783</v>
      </c>
      <c r="F288" s="139" t="s">
        <v>1784</v>
      </c>
      <c r="G288" s="149">
        <v>41951</v>
      </c>
      <c r="H288" s="150">
        <v>42124</v>
      </c>
      <c r="I288" s="108">
        <v>42308</v>
      </c>
      <c r="J288" s="128" t="s">
        <v>1785</v>
      </c>
      <c r="K288" s="24" t="s">
        <v>73</v>
      </c>
      <c r="L288" s="24" t="s">
        <v>74</v>
      </c>
      <c r="M288" s="134">
        <f t="shared" si="6"/>
        <v>5</v>
      </c>
    </row>
    <row r="289" spans="1:13" ht="20.100000000000001" customHeight="1">
      <c r="A289" s="105" t="s">
        <v>1786</v>
      </c>
      <c r="B289" s="118" t="s">
        <v>1787</v>
      </c>
      <c r="C289" s="104" t="s">
        <v>1149</v>
      </c>
      <c r="D289" s="104" t="s">
        <v>748</v>
      </c>
      <c r="E289" s="104" t="s">
        <v>1788</v>
      </c>
      <c r="F289" s="139" t="s">
        <v>1789</v>
      </c>
      <c r="G289" s="149">
        <v>42026</v>
      </c>
      <c r="H289" s="150">
        <v>42155</v>
      </c>
      <c r="I289" s="108">
        <v>42338</v>
      </c>
      <c r="J289" s="128" t="s">
        <v>1790</v>
      </c>
      <c r="K289" s="24" t="s">
        <v>540</v>
      </c>
      <c r="L289" s="62" t="s">
        <v>0</v>
      </c>
      <c r="M289" s="134">
        <f t="shared" si="6"/>
        <v>4</v>
      </c>
    </row>
    <row r="290" spans="1:13" ht="20.100000000000001" customHeight="1">
      <c r="A290" s="105" t="s">
        <v>1791</v>
      </c>
      <c r="B290" s="118" t="s">
        <v>1792</v>
      </c>
      <c r="C290" s="104" t="s">
        <v>1727</v>
      </c>
      <c r="D290" s="104" t="s">
        <v>748</v>
      </c>
      <c r="E290" s="104" t="s">
        <v>1793</v>
      </c>
      <c r="F290" s="139" t="s">
        <v>1794</v>
      </c>
      <c r="G290" s="149">
        <v>42087</v>
      </c>
      <c r="H290" s="150">
        <v>42114</v>
      </c>
      <c r="I290" s="126">
        <v>42183</v>
      </c>
      <c r="J290" s="129" t="s">
        <v>1795</v>
      </c>
      <c r="K290" s="24" t="s">
        <v>73</v>
      </c>
      <c r="L290" s="24" t="s">
        <v>74</v>
      </c>
      <c r="M290" s="134">
        <f t="shared" si="6"/>
        <v>0</v>
      </c>
    </row>
    <row r="291" spans="1:13" ht="20.100000000000001" customHeight="1">
      <c r="A291" s="105" t="s">
        <v>1796</v>
      </c>
      <c r="B291" s="118" t="s">
        <v>1797</v>
      </c>
      <c r="C291" s="104" t="s">
        <v>1149</v>
      </c>
      <c r="D291" s="104" t="s">
        <v>748</v>
      </c>
      <c r="E291" s="104" t="s">
        <v>1798</v>
      </c>
      <c r="F291" s="139" t="s">
        <v>1799</v>
      </c>
      <c r="G291" s="149">
        <v>42243</v>
      </c>
      <c r="H291" s="150">
        <v>42234</v>
      </c>
      <c r="I291" s="108">
        <v>42234</v>
      </c>
      <c r="J291" s="128" t="s">
        <v>1780</v>
      </c>
      <c r="K291" s="24" t="s">
        <v>73</v>
      </c>
      <c r="L291" s="24" t="s">
        <v>74</v>
      </c>
      <c r="M291" s="134" t="e">
        <f t="shared" si="6"/>
        <v>#NUM!</v>
      </c>
    </row>
    <row r="292" spans="1:13" ht="20.100000000000001" customHeight="1">
      <c r="A292" s="105" t="s">
        <v>1800</v>
      </c>
      <c r="B292" s="118" t="s">
        <v>1801</v>
      </c>
      <c r="C292" s="104" t="s">
        <v>1149</v>
      </c>
      <c r="D292" s="104" t="s">
        <v>748</v>
      </c>
      <c r="E292" s="104" t="s">
        <v>1802</v>
      </c>
      <c r="F292" s="139" t="s">
        <v>1803</v>
      </c>
      <c r="G292" s="149">
        <v>42280</v>
      </c>
      <c r="H292" s="150">
        <v>42275</v>
      </c>
      <c r="I292" s="108">
        <v>42275</v>
      </c>
      <c r="J292" s="128" t="s">
        <v>1780</v>
      </c>
      <c r="K292" s="24" t="s">
        <v>73</v>
      </c>
      <c r="L292" s="24" t="s">
        <v>74</v>
      </c>
      <c r="M292" s="134" t="e">
        <f t="shared" si="6"/>
        <v>#NUM!</v>
      </c>
    </row>
    <row r="293" spans="1:13" ht="20.100000000000001" customHeight="1">
      <c r="A293" s="105" t="s">
        <v>1804</v>
      </c>
      <c r="B293" s="118" t="s">
        <v>1805</v>
      </c>
      <c r="C293" s="104" t="s">
        <v>1806</v>
      </c>
      <c r="D293" s="104" t="s">
        <v>748</v>
      </c>
      <c r="E293" s="104" t="s">
        <v>1807</v>
      </c>
      <c r="F293" s="139" t="s">
        <v>1807</v>
      </c>
      <c r="G293" s="149">
        <v>42451</v>
      </c>
      <c r="H293" s="150">
        <v>42421</v>
      </c>
      <c r="I293" s="108">
        <v>42421</v>
      </c>
      <c r="J293" s="128" t="s">
        <v>1808</v>
      </c>
      <c r="K293" s="24" t="s">
        <v>540</v>
      </c>
      <c r="L293" s="24" t="s">
        <v>0</v>
      </c>
      <c r="M293" s="134" t="e">
        <f t="shared" si="6"/>
        <v>#NUM!</v>
      </c>
    </row>
    <row r="294" spans="1:13" ht="20.100000000000001" customHeight="1">
      <c r="A294" s="105" t="s">
        <v>1809</v>
      </c>
      <c r="B294" s="118" t="s">
        <v>1810</v>
      </c>
      <c r="C294" s="104" t="s">
        <v>1149</v>
      </c>
      <c r="D294" s="104" t="s">
        <v>748</v>
      </c>
      <c r="E294" s="104" t="s">
        <v>1811</v>
      </c>
      <c r="F294" s="139" t="s">
        <v>1812</v>
      </c>
      <c r="G294" s="149">
        <v>42809</v>
      </c>
      <c r="H294" s="150">
        <v>42978</v>
      </c>
      <c r="I294" s="110"/>
      <c r="J294" s="128" t="s">
        <v>1813</v>
      </c>
      <c r="K294" s="24" t="s">
        <v>73</v>
      </c>
      <c r="L294" s="24" t="s">
        <v>74</v>
      </c>
      <c r="M294" s="134">
        <f t="shared" si="6"/>
        <v>5</v>
      </c>
    </row>
    <row r="295" spans="1:13" ht="20.100000000000001" customHeight="1">
      <c r="A295" s="105" t="s">
        <v>1814</v>
      </c>
      <c r="B295" s="118" t="s">
        <v>1815</v>
      </c>
      <c r="C295" s="104" t="s">
        <v>1806</v>
      </c>
      <c r="D295" s="104" t="s">
        <v>748</v>
      </c>
      <c r="E295" s="104" t="s">
        <v>1816</v>
      </c>
      <c r="F295" s="139" t="s">
        <v>1817</v>
      </c>
      <c r="G295" s="149">
        <v>42787</v>
      </c>
      <c r="H295" s="150">
        <v>42775</v>
      </c>
      <c r="I295" s="108">
        <v>42775</v>
      </c>
      <c r="J295" s="128" t="s">
        <v>1818</v>
      </c>
      <c r="K295" s="24" t="s">
        <v>73</v>
      </c>
      <c r="L295" s="24" t="s">
        <v>74</v>
      </c>
      <c r="M295" s="134" t="e">
        <f t="shared" si="6"/>
        <v>#NUM!</v>
      </c>
    </row>
    <row r="296" spans="1:13" ht="20.100000000000001" customHeight="1">
      <c r="A296" s="105" t="s">
        <v>1819</v>
      </c>
      <c r="B296" s="118" t="s">
        <v>1820</v>
      </c>
      <c r="C296" s="104" t="s">
        <v>1806</v>
      </c>
      <c r="D296" s="104" t="s">
        <v>748</v>
      </c>
      <c r="E296" s="104" t="s">
        <v>1821</v>
      </c>
      <c r="F296" s="139" t="s">
        <v>1822</v>
      </c>
      <c r="G296" s="149">
        <v>42787</v>
      </c>
      <c r="H296" s="150">
        <v>42775</v>
      </c>
      <c r="I296" s="108">
        <v>42775</v>
      </c>
      <c r="J296" s="128" t="s">
        <v>1818</v>
      </c>
      <c r="K296" s="24" t="s">
        <v>73</v>
      </c>
      <c r="L296" s="24" t="s">
        <v>74</v>
      </c>
      <c r="M296" s="134" t="e">
        <f t="shared" si="6"/>
        <v>#NUM!</v>
      </c>
    </row>
    <row r="297" spans="1:13" ht="20.100000000000001" customHeight="1">
      <c r="A297" s="105" t="s">
        <v>1823</v>
      </c>
      <c r="B297" s="118" t="s">
        <v>1824</v>
      </c>
      <c r="C297" s="104" t="s">
        <v>1806</v>
      </c>
      <c r="D297" s="104" t="s">
        <v>748</v>
      </c>
      <c r="E297" s="104" t="s">
        <v>1825</v>
      </c>
      <c r="F297" s="139" t="s">
        <v>1826</v>
      </c>
      <c r="G297" s="149">
        <v>42790</v>
      </c>
      <c r="H297" s="150">
        <v>42776</v>
      </c>
      <c r="I297" s="108">
        <v>42776</v>
      </c>
      <c r="J297" s="128" t="s">
        <v>1827</v>
      </c>
      <c r="K297" s="24" t="s">
        <v>73</v>
      </c>
      <c r="L297" s="24" t="s">
        <v>74</v>
      </c>
      <c r="M297" s="134" t="e">
        <f t="shared" si="6"/>
        <v>#NUM!</v>
      </c>
    </row>
    <row r="298" spans="1:13" ht="20.100000000000001" customHeight="1">
      <c r="A298" s="105" t="s">
        <v>1828</v>
      </c>
      <c r="B298" s="118" t="s">
        <v>1829</v>
      </c>
      <c r="C298" s="104" t="s">
        <v>747</v>
      </c>
      <c r="D298" s="104" t="s">
        <v>782</v>
      </c>
      <c r="E298" s="104" t="s">
        <v>1830</v>
      </c>
      <c r="F298" s="139" t="s">
        <v>1831</v>
      </c>
      <c r="G298" s="149">
        <v>40282</v>
      </c>
      <c r="H298" s="150">
        <v>40466</v>
      </c>
      <c r="I298" s="108">
        <v>40648</v>
      </c>
      <c r="J298" s="128" t="s">
        <v>1832</v>
      </c>
      <c r="K298" s="24" t="s">
        <v>73</v>
      </c>
      <c r="L298" s="24" t="s">
        <v>74</v>
      </c>
      <c r="M298" s="134">
        <f t="shared" si="6"/>
        <v>6</v>
      </c>
    </row>
    <row r="299" spans="1:13" ht="20.100000000000001" customHeight="1">
      <c r="A299" s="105" t="s">
        <v>1833</v>
      </c>
      <c r="B299" s="118" t="s">
        <v>1834</v>
      </c>
      <c r="C299" s="104" t="s">
        <v>747</v>
      </c>
      <c r="D299" s="104" t="s">
        <v>782</v>
      </c>
      <c r="E299" s="104" t="s">
        <v>1835</v>
      </c>
      <c r="F299" s="139" t="s">
        <v>1836</v>
      </c>
      <c r="G299" s="149">
        <v>40341</v>
      </c>
      <c r="H299" s="150">
        <v>40527</v>
      </c>
      <c r="I299" s="108">
        <v>40709</v>
      </c>
      <c r="J299" s="128" t="s">
        <v>1837</v>
      </c>
      <c r="K299" s="24" t="s">
        <v>27</v>
      </c>
      <c r="L299" s="24" t="s">
        <v>28</v>
      </c>
      <c r="M299" s="134">
        <f t="shared" si="6"/>
        <v>6</v>
      </c>
    </row>
    <row r="300" spans="1:13" ht="20.100000000000001" customHeight="1">
      <c r="A300" s="105" t="s">
        <v>1838</v>
      </c>
      <c r="B300" s="118" t="s">
        <v>1839</v>
      </c>
      <c r="C300" s="104" t="s">
        <v>747</v>
      </c>
      <c r="D300" s="104" t="s">
        <v>782</v>
      </c>
      <c r="E300" s="104" t="s">
        <v>1840</v>
      </c>
      <c r="F300" s="139" t="s">
        <v>1841</v>
      </c>
      <c r="G300" s="149">
        <v>40789</v>
      </c>
      <c r="H300" s="150">
        <v>40968</v>
      </c>
      <c r="I300" s="108">
        <v>41150</v>
      </c>
      <c r="J300" t="s">
        <v>1842</v>
      </c>
      <c r="K300" s="24" t="s">
        <v>73</v>
      </c>
      <c r="L300" s="24" t="s">
        <v>74</v>
      </c>
      <c r="M300" s="134">
        <f t="shared" si="6"/>
        <v>5</v>
      </c>
    </row>
    <row r="301" spans="1:13" ht="20.100000000000001" customHeight="1">
      <c r="A301" s="105" t="s">
        <v>1843</v>
      </c>
      <c r="B301" s="118" t="s">
        <v>1844</v>
      </c>
      <c r="C301" s="104" t="s">
        <v>747</v>
      </c>
      <c r="D301" s="104" t="s">
        <v>782</v>
      </c>
      <c r="E301" s="104" t="s">
        <v>1845</v>
      </c>
      <c r="F301" s="139" t="s">
        <v>1703</v>
      </c>
      <c r="G301" s="149">
        <v>40453</v>
      </c>
      <c r="H301" s="150">
        <v>40633</v>
      </c>
      <c r="I301" s="108"/>
      <c r="J301" s="128" t="s">
        <v>1846</v>
      </c>
      <c r="K301" s="24" t="s">
        <v>27</v>
      </c>
      <c r="L301" s="24" t="s">
        <v>28</v>
      </c>
      <c r="M301" s="134">
        <f t="shared" si="6"/>
        <v>5</v>
      </c>
    </row>
    <row r="302" spans="1:13" ht="20.100000000000001" customHeight="1">
      <c r="A302" s="105" t="s">
        <v>1847</v>
      </c>
      <c r="B302" s="118" t="s">
        <v>1848</v>
      </c>
      <c r="C302" s="104" t="s">
        <v>747</v>
      </c>
      <c r="D302" s="104" t="s">
        <v>782</v>
      </c>
      <c r="E302" s="104" t="s">
        <v>1849</v>
      </c>
      <c r="F302" s="139" t="s">
        <v>1850</v>
      </c>
      <c r="G302" s="149">
        <v>40870</v>
      </c>
      <c r="H302" s="150">
        <v>41054</v>
      </c>
      <c r="I302" s="109">
        <v>41237</v>
      </c>
      <c r="J302" s="128" t="s">
        <v>88</v>
      </c>
      <c r="K302" s="24" t="s">
        <v>36</v>
      </c>
      <c r="L302" s="24" t="s">
        <v>28</v>
      </c>
      <c r="M302" s="134">
        <f t="shared" si="6"/>
        <v>6</v>
      </c>
    </row>
    <row r="303" spans="1:13" ht="20.100000000000001" customHeight="1">
      <c r="A303" s="105" t="s">
        <v>1851</v>
      </c>
      <c r="B303" s="118" t="s">
        <v>1852</v>
      </c>
      <c r="C303" s="104" t="s">
        <v>747</v>
      </c>
      <c r="D303" s="104" t="s">
        <v>782</v>
      </c>
      <c r="E303" s="104" t="s">
        <v>848</v>
      </c>
      <c r="F303" s="139" t="s">
        <v>1703</v>
      </c>
      <c r="G303" s="149">
        <v>40516</v>
      </c>
      <c r="H303" s="150">
        <v>40694</v>
      </c>
      <c r="I303" s="110"/>
      <c r="J303" t="s">
        <v>1853</v>
      </c>
      <c r="K303" s="24" t="s">
        <v>36</v>
      </c>
      <c r="L303" s="24" t="s">
        <v>28</v>
      </c>
      <c r="M303" s="134">
        <f t="shared" si="6"/>
        <v>5</v>
      </c>
    </row>
    <row r="304" spans="1:13" ht="20.100000000000001" customHeight="1">
      <c r="A304" s="105" t="s">
        <v>1854</v>
      </c>
      <c r="B304" s="118" t="s">
        <v>270</v>
      </c>
      <c r="C304" s="104" t="s">
        <v>192</v>
      </c>
      <c r="D304" s="104" t="s">
        <v>1855</v>
      </c>
      <c r="E304" s="104" t="s">
        <v>1856</v>
      </c>
      <c r="F304" s="139" t="s">
        <v>1857</v>
      </c>
      <c r="G304" s="149">
        <v>40131</v>
      </c>
      <c r="H304" s="150" t="s">
        <v>1359</v>
      </c>
      <c r="I304" s="110"/>
      <c r="J304" t="s">
        <v>271</v>
      </c>
      <c r="K304" s="24" t="s">
        <v>73</v>
      </c>
      <c r="L304" s="24" t="s">
        <v>74</v>
      </c>
      <c r="M304" s="134" t="e">
        <f t="shared" si="6"/>
        <v>#VALUE!</v>
      </c>
    </row>
    <row r="305" spans="1:13" ht="20.100000000000001" customHeight="1">
      <c r="A305" s="105" t="s">
        <v>1858</v>
      </c>
      <c r="B305" s="118" t="s">
        <v>272</v>
      </c>
      <c r="C305" s="104" t="s">
        <v>192</v>
      </c>
      <c r="D305" s="104" t="s">
        <v>1855</v>
      </c>
      <c r="E305" s="104" t="s">
        <v>1859</v>
      </c>
      <c r="F305" s="139" t="s">
        <v>1860</v>
      </c>
      <c r="G305" s="149">
        <v>40152</v>
      </c>
      <c r="H305" s="150">
        <v>40268</v>
      </c>
      <c r="I305" s="108"/>
      <c r="J305" s="128" t="s">
        <v>1861</v>
      </c>
      <c r="K305" s="24" t="s">
        <v>73</v>
      </c>
      <c r="L305" s="24" t="s">
        <v>74</v>
      </c>
      <c r="M305" s="134">
        <f t="shared" si="6"/>
        <v>3</v>
      </c>
    </row>
    <row r="306" spans="1:13" ht="20.100000000000001" customHeight="1">
      <c r="A306" s="105" t="s">
        <v>1862</v>
      </c>
      <c r="B306" s="118" t="s">
        <v>274</v>
      </c>
      <c r="C306" s="104" t="s">
        <v>192</v>
      </c>
      <c r="D306" s="104" t="s">
        <v>1855</v>
      </c>
      <c r="E306" s="104" t="s">
        <v>1863</v>
      </c>
      <c r="F306" s="139" t="s">
        <v>1864</v>
      </c>
      <c r="G306" s="149">
        <v>40687</v>
      </c>
      <c r="H306" s="150">
        <v>40908</v>
      </c>
      <c r="I306" s="108">
        <v>40999</v>
      </c>
      <c r="J306" s="128" t="s">
        <v>1865</v>
      </c>
      <c r="K306" s="24" t="s">
        <v>73</v>
      </c>
      <c r="L306" s="24" t="s">
        <v>74</v>
      </c>
      <c r="M306" s="134">
        <f t="shared" si="6"/>
        <v>7</v>
      </c>
    </row>
    <row r="307" spans="1:13" ht="20.100000000000001" customHeight="1">
      <c r="A307" s="105" t="s">
        <v>1866</v>
      </c>
      <c r="B307" s="118" t="s">
        <v>276</v>
      </c>
      <c r="C307" s="104" t="s">
        <v>192</v>
      </c>
      <c r="D307" s="104" t="s">
        <v>1855</v>
      </c>
      <c r="E307" s="104" t="s">
        <v>1867</v>
      </c>
      <c r="F307" s="139" t="s">
        <v>1868</v>
      </c>
      <c r="G307" s="149">
        <v>40687</v>
      </c>
      <c r="H307" s="150">
        <v>40877</v>
      </c>
      <c r="I307" s="108">
        <v>40877</v>
      </c>
      <c r="J307" s="128" t="s">
        <v>1869</v>
      </c>
      <c r="K307" s="24" t="s">
        <v>578</v>
      </c>
      <c r="L307" s="24" t="s">
        <v>28</v>
      </c>
      <c r="M307" s="134">
        <f t="shared" si="6"/>
        <v>6</v>
      </c>
    </row>
    <row r="308" spans="1:13" ht="20.100000000000001" customHeight="1">
      <c r="A308" s="105" t="s">
        <v>1870</v>
      </c>
      <c r="B308" s="118" t="s">
        <v>279</v>
      </c>
      <c r="C308" s="104" t="s">
        <v>192</v>
      </c>
      <c r="D308" s="104" t="s">
        <v>1855</v>
      </c>
      <c r="E308" s="104" t="s">
        <v>1871</v>
      </c>
      <c r="F308" s="139" t="s">
        <v>1872</v>
      </c>
      <c r="G308" s="149">
        <v>40687</v>
      </c>
      <c r="H308" s="150">
        <v>40877</v>
      </c>
      <c r="I308" s="109">
        <v>40877</v>
      </c>
      <c r="J308" s="128" t="s">
        <v>1873</v>
      </c>
      <c r="K308" s="24" t="s">
        <v>578</v>
      </c>
      <c r="L308" s="24" t="s">
        <v>28</v>
      </c>
      <c r="M308" s="134">
        <f t="shared" si="6"/>
        <v>6</v>
      </c>
    </row>
    <row r="309" spans="1:13" ht="20.100000000000001" customHeight="1">
      <c r="A309" s="105" t="s">
        <v>1874</v>
      </c>
      <c r="B309" s="118" t="s">
        <v>281</v>
      </c>
      <c r="C309" s="104" t="s">
        <v>192</v>
      </c>
      <c r="D309" s="104" t="s">
        <v>1855</v>
      </c>
      <c r="E309" s="104" t="s">
        <v>1875</v>
      </c>
      <c r="F309" s="139" t="s">
        <v>1876</v>
      </c>
      <c r="G309" s="149">
        <v>41165</v>
      </c>
      <c r="H309" s="150">
        <v>41182</v>
      </c>
      <c r="I309" s="108">
        <v>41243</v>
      </c>
      <c r="J309" s="128" t="s">
        <v>1877</v>
      </c>
      <c r="K309" s="24" t="s">
        <v>578</v>
      </c>
      <c r="L309" s="24" t="s">
        <v>28</v>
      </c>
      <c r="M309" s="134">
        <f t="shared" si="6"/>
        <v>0</v>
      </c>
    </row>
    <row r="310" spans="1:13" ht="20.100000000000001" customHeight="1">
      <c r="A310" s="105" t="s">
        <v>1878</v>
      </c>
      <c r="B310" s="118" t="s">
        <v>1879</v>
      </c>
      <c r="C310" s="104" t="s">
        <v>909</v>
      </c>
      <c r="D310" s="104" t="s">
        <v>1880</v>
      </c>
      <c r="E310" s="104" t="s">
        <v>1881</v>
      </c>
      <c r="F310" s="139" t="s">
        <v>1882</v>
      </c>
      <c r="G310" s="149">
        <v>41628</v>
      </c>
      <c r="H310" s="150">
        <v>41684</v>
      </c>
      <c r="I310" s="110">
        <v>41747</v>
      </c>
      <c r="J310" t="s">
        <v>1883</v>
      </c>
      <c r="K310" s="24" t="s">
        <v>540</v>
      </c>
      <c r="L310" s="24" t="s">
        <v>0</v>
      </c>
      <c r="M310" s="134">
        <f t="shared" si="6"/>
        <v>1</v>
      </c>
    </row>
    <row r="311" spans="1:13" ht="20.100000000000001" customHeight="1">
      <c r="A311" s="105" t="s">
        <v>1884</v>
      </c>
      <c r="B311" s="118" t="s">
        <v>283</v>
      </c>
      <c r="C311" s="104" t="s">
        <v>192</v>
      </c>
      <c r="D311" s="104" t="s">
        <v>1855</v>
      </c>
      <c r="E311" s="104" t="s">
        <v>1885</v>
      </c>
      <c r="F311" s="139" t="s">
        <v>1886</v>
      </c>
      <c r="G311" s="149">
        <v>41891</v>
      </c>
      <c r="H311" s="150">
        <v>41997</v>
      </c>
      <c r="I311" s="108">
        <v>42124</v>
      </c>
      <c r="J311" s="129" t="s">
        <v>1887</v>
      </c>
      <c r="K311" s="24" t="s">
        <v>73</v>
      </c>
      <c r="L311" s="24" t="s">
        <v>74</v>
      </c>
      <c r="M311" s="134">
        <f t="shared" si="6"/>
        <v>3</v>
      </c>
    </row>
    <row r="312" spans="1:13" ht="20.100000000000001" customHeight="1">
      <c r="A312" s="105" t="s">
        <v>1888</v>
      </c>
      <c r="B312" s="118" t="s">
        <v>1889</v>
      </c>
      <c r="C312" s="104" t="s">
        <v>909</v>
      </c>
      <c r="D312" s="104" t="s">
        <v>1880</v>
      </c>
      <c r="E312" s="104" t="s">
        <v>1890</v>
      </c>
      <c r="F312" s="139" t="s">
        <v>1891</v>
      </c>
      <c r="G312" s="149">
        <v>42025</v>
      </c>
      <c r="H312" s="150">
        <v>42048</v>
      </c>
      <c r="I312" s="108">
        <v>42124</v>
      </c>
      <c r="J312" t="s">
        <v>1892</v>
      </c>
      <c r="K312" s="24" t="s">
        <v>75</v>
      </c>
      <c r="L312" s="24" t="s">
        <v>103</v>
      </c>
      <c r="M312" s="134">
        <f t="shared" si="6"/>
        <v>0</v>
      </c>
    </row>
    <row r="313" spans="1:13" ht="20.100000000000001" customHeight="1">
      <c r="A313" s="105" t="s">
        <v>1893</v>
      </c>
      <c r="B313" s="118" t="s">
        <v>386</v>
      </c>
      <c r="C313" s="104" t="s">
        <v>1894</v>
      </c>
      <c r="D313" s="104" t="s">
        <v>1895</v>
      </c>
      <c r="E313" s="104" t="s">
        <v>1896</v>
      </c>
      <c r="F313" s="139" t="s">
        <v>518</v>
      </c>
      <c r="G313" s="149">
        <v>40196</v>
      </c>
      <c r="H313" s="150">
        <v>40379</v>
      </c>
      <c r="I313" s="108">
        <v>40471</v>
      </c>
      <c r="J313" s="128" t="s">
        <v>1897</v>
      </c>
      <c r="K313" s="24" t="s">
        <v>36</v>
      </c>
      <c r="L313" s="24" t="s">
        <v>28</v>
      </c>
      <c r="M313" s="134">
        <f t="shared" si="6"/>
        <v>6</v>
      </c>
    </row>
    <row r="314" spans="1:13" ht="20.100000000000001" customHeight="1">
      <c r="A314" s="105" t="s">
        <v>1898</v>
      </c>
      <c r="B314" s="118" t="s">
        <v>1899</v>
      </c>
      <c r="C314" s="104" t="s">
        <v>1894</v>
      </c>
      <c r="D314" s="104" t="s">
        <v>1895</v>
      </c>
      <c r="E314" s="104" t="s">
        <v>1900</v>
      </c>
      <c r="F314" s="139" t="s">
        <v>1901</v>
      </c>
      <c r="G314" s="149">
        <v>40568</v>
      </c>
      <c r="H314" s="150">
        <v>40748</v>
      </c>
      <c r="I314" s="108">
        <v>40932</v>
      </c>
      <c r="J314" s="128" t="s">
        <v>1902</v>
      </c>
      <c r="K314" s="134" t="s">
        <v>60</v>
      </c>
      <c r="L314" s="24" t="s">
        <v>28</v>
      </c>
      <c r="M314" s="134">
        <f t="shared" si="6"/>
        <v>5</v>
      </c>
    </row>
    <row r="315" spans="1:13" ht="20.100000000000001" customHeight="1">
      <c r="A315" s="105" t="s">
        <v>1903</v>
      </c>
      <c r="B315" s="118" t="s">
        <v>1904</v>
      </c>
      <c r="C315" s="104" t="s">
        <v>1905</v>
      </c>
      <c r="D315" s="104" t="s">
        <v>1895</v>
      </c>
      <c r="E315" s="104" t="s">
        <v>1906</v>
      </c>
      <c r="F315" s="139" t="s">
        <v>1907</v>
      </c>
      <c r="G315" s="149">
        <v>42076</v>
      </c>
      <c r="H315" s="150">
        <v>42260</v>
      </c>
      <c r="I315" s="108">
        <v>42442</v>
      </c>
      <c r="J315" s="128" t="s">
        <v>1908</v>
      </c>
      <c r="K315" s="134" t="s">
        <v>60</v>
      </c>
      <c r="L315" s="24" t="s">
        <v>28</v>
      </c>
      <c r="M315" s="134">
        <f t="shared" si="6"/>
        <v>6</v>
      </c>
    </row>
    <row r="316" spans="1:13" ht="20.100000000000001" customHeight="1">
      <c r="A316" s="105" t="s">
        <v>1909</v>
      </c>
      <c r="B316" s="118" t="s">
        <v>392</v>
      </c>
      <c r="C316" s="104" t="s">
        <v>1894</v>
      </c>
      <c r="D316" s="104" t="s">
        <v>1895</v>
      </c>
      <c r="E316" s="104" t="s">
        <v>1910</v>
      </c>
      <c r="F316" s="139" t="s">
        <v>1911</v>
      </c>
      <c r="G316" s="149">
        <v>40199</v>
      </c>
      <c r="H316" s="150"/>
      <c r="I316" s="108"/>
      <c r="J316" s="129" t="s">
        <v>1912</v>
      </c>
      <c r="M316" s="134" t="e">
        <f t="shared" si="6"/>
        <v>#NUM!</v>
      </c>
    </row>
    <row r="317" spans="1:13" ht="20.100000000000001" customHeight="1">
      <c r="A317" s="105" t="s">
        <v>1913</v>
      </c>
      <c r="B317" s="118" t="s">
        <v>1914</v>
      </c>
      <c r="C317" s="104" t="s">
        <v>1915</v>
      </c>
      <c r="D317" s="104" t="s">
        <v>1895</v>
      </c>
      <c r="E317" s="104" t="s">
        <v>1916</v>
      </c>
      <c r="F317" s="139" t="s">
        <v>1917</v>
      </c>
      <c r="G317" s="149">
        <v>41675</v>
      </c>
      <c r="H317" s="150">
        <v>41852</v>
      </c>
      <c r="I317" s="108">
        <v>41946</v>
      </c>
      <c r="J317" s="129" t="s">
        <v>1918</v>
      </c>
      <c r="M317" s="134">
        <f t="shared" si="6"/>
        <v>5</v>
      </c>
    </row>
    <row r="318" spans="1:13" ht="20.100000000000001" customHeight="1">
      <c r="A318" s="105" t="s">
        <v>1919</v>
      </c>
      <c r="B318" s="118" t="s">
        <v>1920</v>
      </c>
      <c r="C318" s="104" t="s">
        <v>1905</v>
      </c>
      <c r="D318" s="104" t="s">
        <v>1895</v>
      </c>
      <c r="E318" s="104" t="s">
        <v>1921</v>
      </c>
      <c r="F318" s="139" t="s">
        <v>1922</v>
      </c>
      <c r="G318" s="149">
        <v>42496</v>
      </c>
      <c r="H318" s="150">
        <v>42672</v>
      </c>
      <c r="I318" s="110">
        <v>42854</v>
      </c>
      <c r="J318" s="128" t="s">
        <v>1923</v>
      </c>
      <c r="K318" s="134" t="s">
        <v>60</v>
      </c>
      <c r="L318" s="24" t="s">
        <v>28</v>
      </c>
      <c r="M318" s="134">
        <f t="shared" si="6"/>
        <v>5</v>
      </c>
    </row>
    <row r="319" spans="1:13" ht="20.100000000000001" customHeight="1">
      <c r="A319" s="105" t="s">
        <v>1924</v>
      </c>
      <c r="B319" s="118" t="s">
        <v>1925</v>
      </c>
      <c r="C319" s="104" t="s">
        <v>1894</v>
      </c>
      <c r="D319" s="104" t="s">
        <v>1895</v>
      </c>
      <c r="E319" s="104" t="s">
        <v>1926</v>
      </c>
      <c r="F319" s="139" t="s">
        <v>518</v>
      </c>
      <c r="G319" s="149">
        <v>40221</v>
      </c>
      <c r="H319" s="150">
        <v>40402</v>
      </c>
      <c r="I319" s="108"/>
      <c r="J319" s="128" t="s">
        <v>1927</v>
      </c>
      <c r="K319" s="24" t="s">
        <v>36</v>
      </c>
      <c r="M319" s="134">
        <f t="shared" si="6"/>
        <v>6</v>
      </c>
    </row>
    <row r="320" spans="1:13" ht="20.100000000000001" customHeight="1">
      <c r="A320" s="105" t="s">
        <v>1928</v>
      </c>
      <c r="B320" s="118" t="s">
        <v>1929</v>
      </c>
      <c r="C320" s="104" t="s">
        <v>1905</v>
      </c>
      <c r="D320" s="104" t="s">
        <v>1895</v>
      </c>
      <c r="E320" s="104" t="s">
        <v>1930</v>
      </c>
      <c r="F320" s="139" t="s">
        <v>1931</v>
      </c>
      <c r="G320" s="149">
        <v>41031</v>
      </c>
      <c r="H320" s="150">
        <v>41201</v>
      </c>
      <c r="I320" s="110"/>
      <c r="J320" s="128" t="s">
        <v>1902</v>
      </c>
      <c r="K320" s="134" t="s">
        <v>60</v>
      </c>
      <c r="L320" s="24" t="s">
        <v>28</v>
      </c>
      <c r="M320" s="134">
        <f t="shared" si="6"/>
        <v>5</v>
      </c>
    </row>
    <row r="321" spans="1:13" ht="20.100000000000001" customHeight="1">
      <c r="A321" s="105" t="s">
        <v>1932</v>
      </c>
      <c r="B321" s="118" t="s">
        <v>1933</v>
      </c>
      <c r="C321" s="104" t="s">
        <v>1894</v>
      </c>
      <c r="D321" s="104" t="s">
        <v>1895</v>
      </c>
      <c r="E321" s="104" t="s">
        <v>1934</v>
      </c>
      <c r="F321" s="139" t="s">
        <v>518</v>
      </c>
      <c r="G321" s="149">
        <v>40235</v>
      </c>
      <c r="H321" s="150"/>
      <c r="I321" s="110"/>
      <c r="J321" s="128" t="s">
        <v>1935</v>
      </c>
      <c r="K321" s="134" t="s">
        <v>60</v>
      </c>
      <c r="L321" s="24" t="s">
        <v>28</v>
      </c>
      <c r="M321" s="134" t="e">
        <f t="shared" si="6"/>
        <v>#NUM!</v>
      </c>
    </row>
    <row r="322" spans="1:13" ht="20.100000000000001" customHeight="1">
      <c r="A322" s="105" t="s">
        <v>1936</v>
      </c>
      <c r="B322" s="118" t="s">
        <v>1937</v>
      </c>
      <c r="C322" s="104" t="s">
        <v>1905</v>
      </c>
      <c r="D322" s="104" t="s">
        <v>1895</v>
      </c>
      <c r="E322" s="104" t="s">
        <v>1938</v>
      </c>
      <c r="F322" s="139" t="s">
        <v>1939</v>
      </c>
      <c r="G322" s="149">
        <v>42056</v>
      </c>
      <c r="H322" s="150">
        <v>42234</v>
      </c>
      <c r="I322" s="110">
        <v>42418</v>
      </c>
      <c r="J322" s="128" t="s">
        <v>1923</v>
      </c>
      <c r="K322" s="134" t="s">
        <v>60</v>
      </c>
      <c r="L322" s="24" t="s">
        <v>28</v>
      </c>
      <c r="M322" s="134">
        <f t="shared" si="6"/>
        <v>5</v>
      </c>
    </row>
    <row r="323" spans="1:13" ht="20.100000000000001" customHeight="1">
      <c r="A323" s="105" t="s">
        <v>1940</v>
      </c>
      <c r="B323" s="118" t="s">
        <v>407</v>
      </c>
      <c r="C323" s="104" t="s">
        <v>1905</v>
      </c>
      <c r="D323" s="104" t="s">
        <v>1895</v>
      </c>
      <c r="E323" s="104" t="s">
        <v>1906</v>
      </c>
      <c r="F323" s="139" t="s">
        <v>405</v>
      </c>
      <c r="G323" s="149">
        <v>41991</v>
      </c>
      <c r="H323" s="150">
        <v>42004</v>
      </c>
      <c r="I323" s="110">
        <v>42185</v>
      </c>
      <c r="J323" s="128" t="s">
        <v>1908</v>
      </c>
      <c r="K323" s="134" t="s">
        <v>60</v>
      </c>
      <c r="L323" s="24" t="s">
        <v>28</v>
      </c>
      <c r="M323" s="134">
        <f t="shared" ref="M323:M386" si="7">DATEDIF(G323,H323,"m")</f>
        <v>0</v>
      </c>
    </row>
    <row r="324" spans="1:13" ht="20.100000000000001" customHeight="1">
      <c r="A324" s="105" t="s">
        <v>1941</v>
      </c>
      <c r="B324" s="118" t="s">
        <v>410</v>
      </c>
      <c r="C324" s="104" t="s">
        <v>1905</v>
      </c>
      <c r="D324" s="104" t="s">
        <v>1895</v>
      </c>
      <c r="E324" s="104" t="s">
        <v>1906</v>
      </c>
      <c r="F324" s="139" t="s">
        <v>1942</v>
      </c>
      <c r="G324" s="149">
        <v>41990</v>
      </c>
      <c r="H324" s="150">
        <v>42035</v>
      </c>
      <c r="I324" s="108">
        <v>42216</v>
      </c>
      <c r="J324" s="128" t="s">
        <v>1908</v>
      </c>
      <c r="K324" s="134" t="s">
        <v>60</v>
      </c>
      <c r="L324" s="24" t="s">
        <v>28</v>
      </c>
      <c r="M324" s="134">
        <f t="shared" si="7"/>
        <v>1</v>
      </c>
    </row>
    <row r="325" spans="1:13" ht="20.100000000000001" customHeight="1">
      <c r="A325" s="105" t="s">
        <v>1941</v>
      </c>
      <c r="B325" s="118" t="s">
        <v>1943</v>
      </c>
      <c r="C325" s="104" t="s">
        <v>1905</v>
      </c>
      <c r="D325" s="104" t="s">
        <v>1895</v>
      </c>
      <c r="E325" s="104" t="s">
        <v>1906</v>
      </c>
      <c r="F325" s="139" t="s">
        <v>1944</v>
      </c>
      <c r="G325" s="149">
        <v>41991</v>
      </c>
      <c r="H325" s="150">
        <v>42094</v>
      </c>
      <c r="I325" s="108">
        <v>42277</v>
      </c>
      <c r="J325" t="s">
        <v>390</v>
      </c>
      <c r="K325" s="134" t="s">
        <v>60</v>
      </c>
      <c r="L325" s="24" t="s">
        <v>28</v>
      </c>
      <c r="M325" s="134">
        <f t="shared" si="7"/>
        <v>3</v>
      </c>
    </row>
    <row r="326" spans="1:13" ht="20.100000000000001" customHeight="1">
      <c r="A326" s="105" t="s">
        <v>1945</v>
      </c>
      <c r="B326" s="118" t="s">
        <v>1946</v>
      </c>
      <c r="C326" s="104" t="s">
        <v>1905</v>
      </c>
      <c r="D326" s="104" t="s">
        <v>1895</v>
      </c>
      <c r="E326" s="104" t="s">
        <v>1906</v>
      </c>
      <c r="F326" s="139" t="s">
        <v>412</v>
      </c>
      <c r="G326" s="149">
        <v>41991</v>
      </c>
      <c r="H326" s="150">
        <v>42185</v>
      </c>
      <c r="I326" s="108">
        <v>42369</v>
      </c>
      <c r="J326" s="128" t="s">
        <v>1908</v>
      </c>
      <c r="K326" s="134" t="s">
        <v>60</v>
      </c>
      <c r="L326" s="24" t="s">
        <v>28</v>
      </c>
      <c r="M326" s="134">
        <f t="shared" si="7"/>
        <v>6</v>
      </c>
    </row>
    <row r="327" spans="1:13" ht="20.100000000000001" customHeight="1">
      <c r="A327" s="105" t="s">
        <v>1947</v>
      </c>
      <c r="B327" s="118" t="s">
        <v>417</v>
      </c>
      <c r="C327" s="104" t="s">
        <v>1905</v>
      </c>
      <c r="D327" s="104" t="s">
        <v>1895</v>
      </c>
      <c r="E327" s="104" t="s">
        <v>1930</v>
      </c>
      <c r="F327" s="139" t="s">
        <v>1948</v>
      </c>
      <c r="G327" s="149">
        <v>42147</v>
      </c>
      <c r="H327" s="150">
        <v>42323</v>
      </c>
      <c r="I327" s="108">
        <v>42505</v>
      </c>
      <c r="J327" s="128" t="s">
        <v>1923</v>
      </c>
      <c r="K327" s="134" t="s">
        <v>60</v>
      </c>
      <c r="L327" s="24" t="s">
        <v>28</v>
      </c>
      <c r="M327" s="134">
        <f t="shared" si="7"/>
        <v>5</v>
      </c>
    </row>
    <row r="328" spans="1:13" ht="20.100000000000001" customHeight="1">
      <c r="A328" s="105" t="s">
        <v>1949</v>
      </c>
      <c r="B328" s="118" t="s">
        <v>418</v>
      </c>
      <c r="C328" s="104" t="s">
        <v>1905</v>
      </c>
      <c r="D328" s="104" t="s">
        <v>1895</v>
      </c>
      <c r="E328" s="104" t="s">
        <v>1950</v>
      </c>
      <c r="F328" s="139" t="s">
        <v>1951</v>
      </c>
      <c r="G328" s="149">
        <v>42147</v>
      </c>
      <c r="H328" s="150">
        <v>42328</v>
      </c>
      <c r="I328" s="108">
        <v>42510</v>
      </c>
      <c r="J328" s="128" t="s">
        <v>1952</v>
      </c>
      <c r="K328" s="24" t="s">
        <v>75</v>
      </c>
      <c r="L328" s="24" t="s">
        <v>28</v>
      </c>
      <c r="M328" s="134">
        <f t="shared" si="7"/>
        <v>5</v>
      </c>
    </row>
    <row r="329" spans="1:13" ht="20.100000000000001" customHeight="1">
      <c r="A329" s="105" t="s">
        <v>1953</v>
      </c>
      <c r="B329" s="118" t="s">
        <v>1954</v>
      </c>
      <c r="C329" s="104" t="s">
        <v>1905</v>
      </c>
      <c r="D329" s="104" t="s">
        <v>1895</v>
      </c>
      <c r="E329" s="104" t="s">
        <v>1906</v>
      </c>
      <c r="F329" s="139" t="s">
        <v>420</v>
      </c>
      <c r="G329" s="149">
        <v>41991</v>
      </c>
      <c r="H329" s="150">
        <v>42004</v>
      </c>
      <c r="I329" s="108">
        <v>42185</v>
      </c>
      <c r="J329" s="128" t="s">
        <v>1908</v>
      </c>
      <c r="K329" s="134" t="s">
        <v>60</v>
      </c>
      <c r="L329" s="24" t="s">
        <v>28</v>
      </c>
      <c r="M329" s="134">
        <f t="shared" si="7"/>
        <v>0</v>
      </c>
    </row>
    <row r="330" spans="1:13" ht="20.100000000000001" customHeight="1">
      <c r="A330" s="105" t="s">
        <v>1955</v>
      </c>
      <c r="B330" s="118" t="s">
        <v>1956</v>
      </c>
      <c r="C330" s="104" t="s">
        <v>1905</v>
      </c>
      <c r="D330" s="104" t="s">
        <v>1895</v>
      </c>
      <c r="E330" s="104" t="s">
        <v>1957</v>
      </c>
      <c r="F330" s="139" t="s">
        <v>1958</v>
      </c>
      <c r="G330" s="149">
        <v>42570</v>
      </c>
      <c r="H330" s="150">
        <v>42741</v>
      </c>
      <c r="I330" s="108">
        <v>42923</v>
      </c>
      <c r="J330" s="128" t="s">
        <v>1959</v>
      </c>
      <c r="K330" s="134" t="s">
        <v>60</v>
      </c>
      <c r="L330" s="24" t="s">
        <v>28</v>
      </c>
      <c r="M330" s="134">
        <f t="shared" si="7"/>
        <v>5</v>
      </c>
    </row>
    <row r="331" spans="1:13" ht="20.100000000000001" customHeight="1">
      <c r="A331" s="105" t="s">
        <v>1960</v>
      </c>
      <c r="B331" s="118" t="s">
        <v>1961</v>
      </c>
      <c r="C331" s="104" t="s">
        <v>1905</v>
      </c>
      <c r="D331" s="104" t="s">
        <v>1895</v>
      </c>
      <c r="E331" s="104" t="s">
        <v>1957</v>
      </c>
      <c r="F331" s="139" t="s">
        <v>1962</v>
      </c>
      <c r="G331" s="149">
        <v>42570</v>
      </c>
      <c r="H331" s="150">
        <v>42741</v>
      </c>
      <c r="I331" s="108">
        <v>42923</v>
      </c>
      <c r="J331" s="128" t="s">
        <v>1959</v>
      </c>
      <c r="K331" s="134" t="s">
        <v>60</v>
      </c>
      <c r="L331" s="24" t="s">
        <v>28</v>
      </c>
      <c r="M331" s="134">
        <f t="shared" si="7"/>
        <v>5</v>
      </c>
    </row>
    <row r="332" spans="1:13" ht="20.100000000000001" customHeight="1">
      <c r="A332" s="105" t="s">
        <v>1963</v>
      </c>
      <c r="B332" s="118" t="s">
        <v>1964</v>
      </c>
      <c r="C332" s="104" t="s">
        <v>1894</v>
      </c>
      <c r="D332" s="104" t="s">
        <v>1895</v>
      </c>
      <c r="E332" s="104" t="s">
        <v>1965</v>
      </c>
      <c r="F332" s="139" t="s">
        <v>518</v>
      </c>
      <c r="G332" s="149">
        <v>40246</v>
      </c>
      <c r="H332" s="150">
        <v>40444</v>
      </c>
      <c r="I332" s="108"/>
      <c r="J332" s="128" t="s">
        <v>1966</v>
      </c>
      <c r="K332" s="24" t="s">
        <v>36</v>
      </c>
      <c r="L332" s="24" t="s">
        <v>28</v>
      </c>
      <c r="M332" s="134">
        <f t="shared" si="7"/>
        <v>6</v>
      </c>
    </row>
    <row r="333" spans="1:13" ht="20.100000000000001" customHeight="1">
      <c r="A333" s="105" t="s">
        <v>1967</v>
      </c>
      <c r="B333" s="118" t="s">
        <v>425</v>
      </c>
      <c r="C333" s="104" t="s">
        <v>1905</v>
      </c>
      <c r="D333" s="104" t="s">
        <v>1895</v>
      </c>
      <c r="E333" s="104" t="s">
        <v>1906</v>
      </c>
      <c r="F333" s="139" t="s">
        <v>1968</v>
      </c>
      <c r="G333" s="149">
        <v>41991</v>
      </c>
      <c r="H333" s="150">
        <v>42004</v>
      </c>
      <c r="I333" s="108">
        <v>42185</v>
      </c>
      <c r="J333" s="128" t="s">
        <v>1908</v>
      </c>
      <c r="K333" s="134" t="s">
        <v>60</v>
      </c>
      <c r="L333" s="24" t="s">
        <v>28</v>
      </c>
      <c r="M333" s="134">
        <f t="shared" si="7"/>
        <v>0</v>
      </c>
    </row>
    <row r="334" spans="1:13" ht="20.100000000000001" customHeight="1">
      <c r="A334" s="105" t="s">
        <v>1969</v>
      </c>
      <c r="B334" s="118" t="s">
        <v>1970</v>
      </c>
      <c r="C334" s="104" t="s">
        <v>1971</v>
      </c>
      <c r="D334" s="104" t="s">
        <v>1895</v>
      </c>
      <c r="E334" s="104" t="s">
        <v>1972</v>
      </c>
      <c r="F334" s="139" t="s">
        <v>1973</v>
      </c>
      <c r="G334" s="149">
        <v>40359</v>
      </c>
      <c r="H334" s="150">
        <v>40543</v>
      </c>
      <c r="I334" s="108">
        <v>40724</v>
      </c>
      <c r="J334" s="128"/>
      <c r="K334" s="134"/>
      <c r="M334" s="134">
        <f t="shared" si="7"/>
        <v>6</v>
      </c>
    </row>
    <row r="335" spans="1:13" ht="20.100000000000001" customHeight="1">
      <c r="A335" s="105" t="s">
        <v>1974</v>
      </c>
      <c r="B335" s="118" t="s">
        <v>1975</v>
      </c>
      <c r="C335" s="104" t="s">
        <v>1905</v>
      </c>
      <c r="D335" s="104" t="s">
        <v>1895</v>
      </c>
      <c r="E335" s="104" t="s">
        <v>1906</v>
      </c>
      <c r="F335" s="139" t="s">
        <v>1976</v>
      </c>
      <c r="G335" s="149">
        <v>41991</v>
      </c>
      <c r="H335" s="150">
        <v>42004</v>
      </c>
      <c r="I335" s="108">
        <v>42185</v>
      </c>
      <c r="J335" s="128" t="s">
        <v>1908</v>
      </c>
      <c r="K335" s="134" t="s">
        <v>60</v>
      </c>
      <c r="L335" s="24" t="s">
        <v>28</v>
      </c>
      <c r="M335" s="134">
        <f t="shared" si="7"/>
        <v>0</v>
      </c>
    </row>
    <row r="336" spans="1:13" ht="20.100000000000001" customHeight="1">
      <c r="A336" s="105" t="s">
        <v>1977</v>
      </c>
      <c r="B336" s="118" t="s">
        <v>1978</v>
      </c>
      <c r="C336" s="104" t="s">
        <v>1905</v>
      </c>
      <c r="D336" s="104" t="s">
        <v>1895</v>
      </c>
      <c r="E336" s="104" t="s">
        <v>1906</v>
      </c>
      <c r="F336" s="139" t="s">
        <v>1979</v>
      </c>
      <c r="G336" s="149">
        <v>41991</v>
      </c>
      <c r="H336" s="150">
        <v>42004</v>
      </c>
      <c r="I336" s="108">
        <v>42185</v>
      </c>
      <c r="J336" s="128" t="s">
        <v>1908</v>
      </c>
      <c r="K336" s="134" t="s">
        <v>60</v>
      </c>
      <c r="L336" s="24" t="s">
        <v>28</v>
      </c>
      <c r="M336" s="134">
        <f t="shared" si="7"/>
        <v>0</v>
      </c>
    </row>
    <row r="337" spans="1:13" ht="20.100000000000001" customHeight="1">
      <c r="A337" s="105" t="s">
        <v>1980</v>
      </c>
      <c r="B337" s="118" t="s">
        <v>1981</v>
      </c>
      <c r="C337" s="104" t="s">
        <v>1915</v>
      </c>
      <c r="D337" s="104" t="s">
        <v>1895</v>
      </c>
      <c r="E337" s="104" t="s">
        <v>1982</v>
      </c>
      <c r="F337" s="139" t="s">
        <v>1983</v>
      </c>
      <c r="G337" s="149">
        <v>42580</v>
      </c>
      <c r="H337" s="150">
        <v>42735</v>
      </c>
      <c r="I337" s="108">
        <v>42947</v>
      </c>
      <c r="J337" s="128" t="s">
        <v>1984</v>
      </c>
      <c r="K337" s="134" t="s">
        <v>60</v>
      </c>
      <c r="L337" s="24" t="s">
        <v>28</v>
      </c>
      <c r="M337" s="134">
        <f t="shared" si="7"/>
        <v>5</v>
      </c>
    </row>
    <row r="338" spans="1:13" ht="20.100000000000001" customHeight="1">
      <c r="A338" s="105" t="s">
        <v>1985</v>
      </c>
      <c r="B338" s="118" t="s">
        <v>1986</v>
      </c>
      <c r="C338" s="104" t="s">
        <v>1894</v>
      </c>
      <c r="D338" s="104" t="s">
        <v>1895</v>
      </c>
      <c r="E338" s="104" t="s">
        <v>1987</v>
      </c>
      <c r="F338" s="139" t="s">
        <v>518</v>
      </c>
      <c r="G338" s="149">
        <v>40289</v>
      </c>
      <c r="H338" s="150">
        <v>40486</v>
      </c>
      <c r="I338" s="108">
        <v>40667</v>
      </c>
      <c r="J338" s="128" t="s">
        <v>1988</v>
      </c>
      <c r="K338" s="134" t="s">
        <v>75</v>
      </c>
      <c r="L338" s="24" t="s">
        <v>103</v>
      </c>
      <c r="M338" s="134">
        <f t="shared" si="7"/>
        <v>6</v>
      </c>
    </row>
    <row r="339" spans="1:13" ht="20.100000000000001" customHeight="1">
      <c r="A339" s="105" t="s">
        <v>1989</v>
      </c>
      <c r="B339" s="118" t="s">
        <v>1990</v>
      </c>
      <c r="C339" s="104" t="s">
        <v>1905</v>
      </c>
      <c r="D339" s="104" t="s">
        <v>1895</v>
      </c>
      <c r="E339" s="104" t="s">
        <v>1906</v>
      </c>
      <c r="F339" s="139" t="s">
        <v>433</v>
      </c>
      <c r="G339" s="149">
        <v>41991</v>
      </c>
      <c r="H339" s="150">
        <v>42004</v>
      </c>
      <c r="I339" s="108">
        <v>42185</v>
      </c>
      <c r="J339" s="128" t="s">
        <v>1908</v>
      </c>
      <c r="K339" s="134" t="s">
        <v>60</v>
      </c>
      <c r="L339" s="24" t="s">
        <v>28</v>
      </c>
      <c r="M339" s="134">
        <f t="shared" si="7"/>
        <v>0</v>
      </c>
    </row>
    <row r="340" spans="1:13" ht="20.100000000000001" customHeight="1">
      <c r="A340" s="105" t="s">
        <v>1991</v>
      </c>
      <c r="B340" s="118" t="s">
        <v>1992</v>
      </c>
      <c r="C340" s="104" t="s">
        <v>1905</v>
      </c>
      <c r="D340" s="104" t="s">
        <v>1895</v>
      </c>
      <c r="E340" s="104" t="s">
        <v>1930</v>
      </c>
      <c r="F340" s="139" t="s">
        <v>1993</v>
      </c>
      <c r="G340" s="149">
        <v>42181</v>
      </c>
      <c r="H340" s="150">
        <v>42362</v>
      </c>
      <c r="I340" s="108">
        <v>42545</v>
      </c>
      <c r="J340" s="128" t="s">
        <v>1923</v>
      </c>
      <c r="K340" s="134" t="s">
        <v>60</v>
      </c>
      <c r="L340" s="24" t="s">
        <v>28</v>
      </c>
      <c r="M340" s="134">
        <f t="shared" si="7"/>
        <v>5</v>
      </c>
    </row>
    <row r="341" spans="1:13" ht="20.100000000000001" customHeight="1">
      <c r="A341" s="105" t="s">
        <v>1994</v>
      </c>
      <c r="B341" s="118" t="s">
        <v>1995</v>
      </c>
      <c r="C341" s="104" t="s">
        <v>1894</v>
      </c>
      <c r="D341" s="104" t="s">
        <v>1895</v>
      </c>
      <c r="E341" s="104" t="s">
        <v>1996</v>
      </c>
      <c r="F341" s="139" t="s">
        <v>518</v>
      </c>
      <c r="G341" s="149">
        <v>40301</v>
      </c>
      <c r="H341" s="150"/>
      <c r="I341" s="108"/>
      <c r="J341" s="128" t="s">
        <v>1997</v>
      </c>
      <c r="K341" s="24" t="s">
        <v>75</v>
      </c>
      <c r="L341" s="24" t="s">
        <v>28</v>
      </c>
      <c r="M341" s="134" t="e">
        <f t="shared" si="7"/>
        <v>#NUM!</v>
      </c>
    </row>
    <row r="342" spans="1:13" ht="20.100000000000001" customHeight="1">
      <c r="A342" s="105" t="s">
        <v>1998</v>
      </c>
      <c r="B342" s="118" t="s">
        <v>1999</v>
      </c>
      <c r="C342" s="104" t="s">
        <v>1905</v>
      </c>
      <c r="D342" s="104" t="s">
        <v>1895</v>
      </c>
      <c r="E342" s="104" t="s">
        <v>1906</v>
      </c>
      <c r="F342" s="139" t="s">
        <v>441</v>
      </c>
      <c r="G342" s="149">
        <v>41991</v>
      </c>
      <c r="H342" s="150">
        <v>41730</v>
      </c>
      <c r="I342" s="108">
        <v>42277</v>
      </c>
      <c r="J342" s="128" t="s">
        <v>1908</v>
      </c>
      <c r="K342" s="134" t="s">
        <v>60</v>
      </c>
      <c r="L342" s="24" t="s">
        <v>28</v>
      </c>
      <c r="M342" s="134" t="e">
        <f t="shared" si="7"/>
        <v>#NUM!</v>
      </c>
    </row>
    <row r="343" spans="1:13" ht="20.100000000000001" customHeight="1">
      <c r="A343" s="105" t="s">
        <v>2000</v>
      </c>
      <c r="B343" s="118" t="s">
        <v>2001</v>
      </c>
      <c r="C343" s="104" t="s">
        <v>1905</v>
      </c>
      <c r="D343" s="104" t="s">
        <v>1895</v>
      </c>
      <c r="E343" s="104" t="s">
        <v>2002</v>
      </c>
      <c r="F343" s="139" t="s">
        <v>2003</v>
      </c>
      <c r="G343" s="149">
        <v>42188</v>
      </c>
      <c r="H343" s="150">
        <v>41730</v>
      </c>
      <c r="I343" s="108">
        <v>42277</v>
      </c>
      <c r="J343" s="128" t="s">
        <v>2004</v>
      </c>
      <c r="K343" s="134" t="s">
        <v>75</v>
      </c>
      <c r="L343" s="24" t="s">
        <v>103</v>
      </c>
      <c r="M343" s="134" t="e">
        <f t="shared" si="7"/>
        <v>#NUM!</v>
      </c>
    </row>
    <row r="344" spans="1:13" ht="20.100000000000001" customHeight="1">
      <c r="A344" s="105" t="s">
        <v>2005</v>
      </c>
      <c r="B344" s="118" t="s">
        <v>2006</v>
      </c>
      <c r="C344" s="104" t="s">
        <v>1894</v>
      </c>
      <c r="D344" s="104" t="s">
        <v>1895</v>
      </c>
      <c r="E344" s="104" t="s">
        <v>2007</v>
      </c>
      <c r="F344" s="139" t="s">
        <v>518</v>
      </c>
      <c r="G344" s="149">
        <v>40351</v>
      </c>
      <c r="H344" s="150"/>
      <c r="I344" s="108"/>
      <c r="J344" s="128" t="s">
        <v>1966</v>
      </c>
      <c r="K344" s="134" t="s">
        <v>36</v>
      </c>
      <c r="L344" s="24" t="s">
        <v>28</v>
      </c>
      <c r="M344" s="134" t="e">
        <f t="shared" si="7"/>
        <v>#NUM!</v>
      </c>
    </row>
    <row r="345" spans="1:13" ht="20.100000000000001" customHeight="1">
      <c r="A345" s="105" t="s">
        <v>2008</v>
      </c>
      <c r="B345" s="118" t="s">
        <v>2009</v>
      </c>
      <c r="C345" s="104" t="s">
        <v>1905</v>
      </c>
      <c r="D345" s="104" t="s">
        <v>1895</v>
      </c>
      <c r="E345" s="104" t="s">
        <v>1906</v>
      </c>
      <c r="F345" s="139" t="s">
        <v>445</v>
      </c>
      <c r="G345" s="149">
        <v>41991</v>
      </c>
      <c r="H345" s="150">
        <v>42004</v>
      </c>
      <c r="I345" s="108">
        <v>42185</v>
      </c>
      <c r="J345" s="128" t="s">
        <v>2010</v>
      </c>
      <c r="K345" s="134" t="s">
        <v>60</v>
      </c>
      <c r="L345" s="24" t="s">
        <v>28</v>
      </c>
      <c r="M345" s="134">
        <f t="shared" si="7"/>
        <v>0</v>
      </c>
    </row>
    <row r="346" spans="1:13" ht="20.100000000000001" customHeight="1">
      <c r="A346" s="105" t="s">
        <v>2011</v>
      </c>
      <c r="B346" s="118" t="s">
        <v>2012</v>
      </c>
      <c r="C346" s="104" t="s">
        <v>1915</v>
      </c>
      <c r="D346" s="104" t="s">
        <v>1895</v>
      </c>
      <c r="E346" s="104" t="s">
        <v>2013</v>
      </c>
      <c r="F346" s="139" t="s">
        <v>2014</v>
      </c>
      <c r="G346" s="149">
        <v>42647</v>
      </c>
      <c r="H346" s="150">
        <v>42825</v>
      </c>
      <c r="I346" s="108">
        <v>43008</v>
      </c>
      <c r="J346" s="128" t="s">
        <v>1984</v>
      </c>
      <c r="K346" s="134" t="s">
        <v>60</v>
      </c>
      <c r="L346" s="24" t="s">
        <v>28</v>
      </c>
      <c r="M346" s="134">
        <f t="shared" si="7"/>
        <v>5</v>
      </c>
    </row>
    <row r="347" spans="1:13" ht="20.100000000000001" customHeight="1">
      <c r="A347" s="105" t="s">
        <v>2011</v>
      </c>
      <c r="B347" s="118" t="s">
        <v>2015</v>
      </c>
      <c r="C347" s="104" t="s">
        <v>1915</v>
      </c>
      <c r="D347" s="104" t="s">
        <v>1895</v>
      </c>
      <c r="E347" s="104" t="s">
        <v>2013</v>
      </c>
      <c r="F347" s="139" t="s">
        <v>2016</v>
      </c>
      <c r="G347" s="149">
        <v>42664</v>
      </c>
      <c r="H347" s="150">
        <v>42825</v>
      </c>
      <c r="I347" s="108">
        <v>43008</v>
      </c>
      <c r="J347" s="128"/>
      <c r="K347" s="134"/>
      <c r="M347" s="134">
        <f t="shared" si="7"/>
        <v>5</v>
      </c>
    </row>
    <row r="348" spans="1:13" ht="20.100000000000001" customHeight="1">
      <c r="A348" s="105" t="s">
        <v>2017</v>
      </c>
      <c r="B348" s="118" t="s">
        <v>2018</v>
      </c>
      <c r="C348" s="104" t="s">
        <v>1905</v>
      </c>
      <c r="D348" s="104" t="s">
        <v>1895</v>
      </c>
      <c r="E348" s="104" t="s">
        <v>1906</v>
      </c>
      <c r="F348" s="139" t="s">
        <v>2019</v>
      </c>
      <c r="G348" s="149">
        <v>41991</v>
      </c>
      <c r="H348" s="150">
        <v>42004</v>
      </c>
      <c r="I348" s="108">
        <v>42369</v>
      </c>
      <c r="J348" s="128" t="s">
        <v>1908</v>
      </c>
      <c r="K348" s="134" t="s">
        <v>60</v>
      </c>
      <c r="L348" s="24" t="s">
        <v>28</v>
      </c>
      <c r="M348" s="134">
        <f t="shared" si="7"/>
        <v>0</v>
      </c>
    </row>
    <row r="349" spans="1:13" ht="20.100000000000001" customHeight="1">
      <c r="A349" s="105" t="s">
        <v>2020</v>
      </c>
      <c r="B349" s="118" t="s">
        <v>2021</v>
      </c>
      <c r="C349" s="104" t="s">
        <v>1905</v>
      </c>
      <c r="D349" s="104" t="s">
        <v>1895</v>
      </c>
      <c r="E349" s="104" t="s">
        <v>2022</v>
      </c>
      <c r="F349" s="139" t="s">
        <v>2023</v>
      </c>
      <c r="G349" s="149">
        <v>40764</v>
      </c>
      <c r="H349" s="150">
        <v>40927</v>
      </c>
      <c r="I349" s="110">
        <v>41109</v>
      </c>
      <c r="J349" s="128" t="s">
        <v>2024</v>
      </c>
      <c r="K349" s="134" t="s">
        <v>60</v>
      </c>
      <c r="L349" s="24" t="s">
        <v>28</v>
      </c>
      <c r="M349" s="134">
        <f t="shared" si="7"/>
        <v>5</v>
      </c>
    </row>
    <row r="350" spans="1:13" ht="20.100000000000001" customHeight="1">
      <c r="A350" s="105" t="s">
        <v>2025</v>
      </c>
      <c r="B350" s="119" t="s">
        <v>2026</v>
      </c>
      <c r="C350" s="104" t="s">
        <v>1905</v>
      </c>
      <c r="D350" s="104" t="s">
        <v>1895</v>
      </c>
      <c r="E350" s="104" t="s">
        <v>1906</v>
      </c>
      <c r="F350" s="139" t="s">
        <v>452</v>
      </c>
      <c r="G350" s="149">
        <v>41991</v>
      </c>
      <c r="H350" s="150">
        <v>41730</v>
      </c>
      <c r="I350" s="108">
        <v>42277</v>
      </c>
      <c r="J350" s="128" t="s">
        <v>1908</v>
      </c>
      <c r="K350" s="134" t="s">
        <v>60</v>
      </c>
      <c r="L350" s="24" t="s">
        <v>28</v>
      </c>
      <c r="M350" s="134" t="e">
        <f t="shared" si="7"/>
        <v>#NUM!</v>
      </c>
    </row>
    <row r="351" spans="1:13" ht="20.100000000000001" customHeight="1">
      <c r="A351" s="105" t="s">
        <v>2027</v>
      </c>
      <c r="B351" s="118" t="s">
        <v>2028</v>
      </c>
      <c r="C351" s="104" t="s">
        <v>1905</v>
      </c>
      <c r="D351" s="104" t="s">
        <v>1895</v>
      </c>
      <c r="E351" s="104" t="s">
        <v>1906</v>
      </c>
      <c r="F351" s="139" t="s">
        <v>2029</v>
      </c>
      <c r="G351" s="149">
        <v>41991</v>
      </c>
      <c r="H351" s="150">
        <v>42004</v>
      </c>
      <c r="I351" s="108">
        <v>42185</v>
      </c>
      <c r="J351" s="128" t="s">
        <v>1908</v>
      </c>
      <c r="K351" s="134" t="s">
        <v>60</v>
      </c>
      <c r="L351" s="24" t="s">
        <v>28</v>
      </c>
      <c r="M351" s="134">
        <f t="shared" si="7"/>
        <v>0</v>
      </c>
    </row>
    <row r="352" spans="1:13" ht="20.100000000000001" customHeight="1">
      <c r="A352" s="105" t="s">
        <v>2030</v>
      </c>
      <c r="B352" s="118" t="s">
        <v>2031</v>
      </c>
      <c r="C352" s="104" t="s">
        <v>1915</v>
      </c>
      <c r="D352" s="104" t="s">
        <v>1895</v>
      </c>
      <c r="E352" s="104" t="s">
        <v>2032</v>
      </c>
      <c r="F352" s="139" t="s">
        <v>2033</v>
      </c>
      <c r="G352" s="149">
        <v>42326</v>
      </c>
      <c r="H352" s="150">
        <v>42369</v>
      </c>
      <c r="I352" s="108">
        <v>42508</v>
      </c>
      <c r="J352" s="128" t="s">
        <v>1984</v>
      </c>
      <c r="K352" s="134" t="s">
        <v>60</v>
      </c>
      <c r="L352" s="24" t="s">
        <v>28</v>
      </c>
      <c r="M352" s="134">
        <f t="shared" si="7"/>
        <v>1</v>
      </c>
    </row>
    <row r="353" spans="1:13" ht="20.100000000000001" customHeight="1">
      <c r="A353" s="105" t="s">
        <v>2034</v>
      </c>
      <c r="B353" s="118" t="s">
        <v>2035</v>
      </c>
      <c r="C353" s="104" t="s">
        <v>1894</v>
      </c>
      <c r="D353" s="104" t="s">
        <v>1895</v>
      </c>
      <c r="E353" s="104" t="s">
        <v>2036</v>
      </c>
      <c r="F353" s="139" t="s">
        <v>518</v>
      </c>
      <c r="G353" s="149">
        <v>40381</v>
      </c>
      <c r="H353" s="150">
        <v>40565</v>
      </c>
      <c r="I353" s="108"/>
      <c r="J353" s="129" t="s">
        <v>1966</v>
      </c>
      <c r="K353" s="134" t="s">
        <v>36</v>
      </c>
      <c r="L353" s="24" t="s">
        <v>28</v>
      </c>
      <c r="M353" s="134">
        <f t="shared" si="7"/>
        <v>6</v>
      </c>
    </row>
    <row r="354" spans="1:13" ht="20.100000000000001" customHeight="1">
      <c r="A354" s="105" t="s">
        <v>2037</v>
      </c>
      <c r="B354" s="118" t="s">
        <v>2038</v>
      </c>
      <c r="C354" s="104" t="s">
        <v>1905</v>
      </c>
      <c r="D354" s="104" t="s">
        <v>1895</v>
      </c>
      <c r="E354" s="104" t="s">
        <v>1921</v>
      </c>
      <c r="F354" s="139" t="s">
        <v>2039</v>
      </c>
      <c r="G354" s="149">
        <v>42720</v>
      </c>
      <c r="H354" s="150">
        <v>42895</v>
      </c>
      <c r="I354" s="108">
        <v>43078</v>
      </c>
      <c r="J354" s="128" t="s">
        <v>1923</v>
      </c>
      <c r="K354" s="134" t="s">
        <v>60</v>
      </c>
      <c r="L354" s="24" t="s">
        <v>28</v>
      </c>
      <c r="M354" s="134">
        <f t="shared" si="7"/>
        <v>5</v>
      </c>
    </row>
    <row r="355" spans="1:13" ht="20.100000000000001" customHeight="1">
      <c r="A355" s="105" t="s">
        <v>2040</v>
      </c>
      <c r="B355" s="118" t="s">
        <v>2041</v>
      </c>
      <c r="C355" s="104" t="s">
        <v>1905</v>
      </c>
      <c r="D355" s="104" t="s">
        <v>1895</v>
      </c>
      <c r="E355" s="104" t="s">
        <v>1906</v>
      </c>
      <c r="F355" s="139" t="s">
        <v>2042</v>
      </c>
      <c r="G355" s="149">
        <v>42070</v>
      </c>
      <c r="H355" s="150">
        <v>41913</v>
      </c>
      <c r="I355" s="108">
        <v>42004</v>
      </c>
      <c r="J355" s="128" t="s">
        <v>2010</v>
      </c>
      <c r="K355" s="134" t="s">
        <v>60</v>
      </c>
      <c r="L355" s="24" t="s">
        <v>28</v>
      </c>
      <c r="M355" s="134" t="e">
        <f t="shared" si="7"/>
        <v>#NUM!</v>
      </c>
    </row>
    <row r="356" spans="1:13" ht="20.100000000000001" customHeight="1">
      <c r="A356" s="105" t="s">
        <v>2043</v>
      </c>
      <c r="B356" s="118" t="s">
        <v>2044</v>
      </c>
      <c r="C356" s="104" t="s">
        <v>1905</v>
      </c>
      <c r="D356" s="104" t="s">
        <v>1895</v>
      </c>
      <c r="E356" s="104" t="s">
        <v>1906</v>
      </c>
      <c r="F356" s="139" t="s">
        <v>2045</v>
      </c>
      <c r="G356" s="149">
        <v>42070</v>
      </c>
      <c r="H356" s="150">
        <v>42155</v>
      </c>
      <c r="I356" s="108">
        <v>42277</v>
      </c>
      <c r="J356" s="128" t="s">
        <v>1908</v>
      </c>
      <c r="K356" s="134" t="s">
        <v>60</v>
      </c>
      <c r="L356" s="24" t="s">
        <v>28</v>
      </c>
      <c r="M356" s="134">
        <f t="shared" si="7"/>
        <v>2</v>
      </c>
    </row>
    <row r="357" spans="1:13" ht="20.100000000000001" customHeight="1">
      <c r="A357" s="105" t="s">
        <v>2046</v>
      </c>
      <c r="B357" s="118" t="s">
        <v>2047</v>
      </c>
      <c r="C357" s="104" t="s">
        <v>1905</v>
      </c>
      <c r="D357" s="104" t="s">
        <v>1895</v>
      </c>
      <c r="E357" s="104" t="s">
        <v>1906</v>
      </c>
      <c r="F357" s="139" t="s">
        <v>2048</v>
      </c>
      <c r="G357" s="149">
        <v>42070</v>
      </c>
      <c r="H357" s="138">
        <v>41913</v>
      </c>
      <c r="I357" s="108">
        <v>42185</v>
      </c>
      <c r="J357" s="128" t="s">
        <v>2010</v>
      </c>
      <c r="K357" s="134" t="s">
        <v>60</v>
      </c>
      <c r="L357" s="24" t="s">
        <v>28</v>
      </c>
      <c r="M357" s="134" t="e">
        <f t="shared" si="7"/>
        <v>#NUM!</v>
      </c>
    </row>
    <row r="358" spans="1:13" ht="20.100000000000001" customHeight="1">
      <c r="A358" s="105" t="s">
        <v>2049</v>
      </c>
      <c r="B358" s="118" t="s">
        <v>2050</v>
      </c>
      <c r="C358" s="104" t="s">
        <v>1905</v>
      </c>
      <c r="D358" s="104" t="s">
        <v>1895</v>
      </c>
      <c r="E358" s="104" t="s">
        <v>2051</v>
      </c>
      <c r="F358" s="139" t="s">
        <v>2052</v>
      </c>
      <c r="G358" s="149">
        <v>41223</v>
      </c>
      <c r="H358" s="150"/>
      <c r="I358" s="108"/>
      <c r="J358" s="128" t="s">
        <v>1952</v>
      </c>
      <c r="K358" s="134" t="s">
        <v>75</v>
      </c>
      <c r="L358" s="24" t="s">
        <v>103</v>
      </c>
      <c r="M358" s="134" t="e">
        <f t="shared" si="7"/>
        <v>#NUM!</v>
      </c>
    </row>
    <row r="359" spans="1:13" ht="20.100000000000001" customHeight="1">
      <c r="A359" s="105" t="s">
        <v>2053</v>
      </c>
      <c r="B359" s="118" t="s">
        <v>2054</v>
      </c>
      <c r="C359" s="104" t="s">
        <v>1905</v>
      </c>
      <c r="D359" s="104" t="s">
        <v>1895</v>
      </c>
      <c r="E359" s="104" t="s">
        <v>1906</v>
      </c>
      <c r="F359" s="139" t="s">
        <v>2055</v>
      </c>
      <c r="G359" s="149">
        <v>42070</v>
      </c>
      <c r="H359" s="150">
        <v>41913</v>
      </c>
      <c r="I359" s="108">
        <v>42004</v>
      </c>
      <c r="J359" s="128" t="s">
        <v>2010</v>
      </c>
      <c r="K359" s="134" t="s">
        <v>60</v>
      </c>
      <c r="L359" s="24" t="s">
        <v>28</v>
      </c>
      <c r="M359" s="134" t="e">
        <f t="shared" si="7"/>
        <v>#NUM!</v>
      </c>
    </row>
    <row r="360" spans="1:13" ht="20.100000000000001" customHeight="1">
      <c r="A360" s="105" t="s">
        <v>2056</v>
      </c>
      <c r="B360" s="118" t="s">
        <v>2057</v>
      </c>
      <c r="C360" s="104" t="s">
        <v>1905</v>
      </c>
      <c r="D360" s="104" t="s">
        <v>1895</v>
      </c>
      <c r="E360" s="104" t="s">
        <v>1906</v>
      </c>
      <c r="F360" s="139" t="s">
        <v>2058</v>
      </c>
      <c r="G360" s="149">
        <v>42070</v>
      </c>
      <c r="H360" s="150"/>
      <c r="I360" s="108"/>
      <c r="J360" s="128" t="s">
        <v>1908</v>
      </c>
      <c r="K360" s="134" t="s">
        <v>60</v>
      </c>
      <c r="L360" s="24" t="s">
        <v>28</v>
      </c>
      <c r="M360" s="134" t="e">
        <f t="shared" si="7"/>
        <v>#NUM!</v>
      </c>
    </row>
    <row r="361" spans="1:13" ht="20.100000000000001" customHeight="1">
      <c r="A361" s="105" t="s">
        <v>2059</v>
      </c>
      <c r="B361" s="118" t="s">
        <v>2060</v>
      </c>
      <c r="C361" s="104" t="s">
        <v>1915</v>
      </c>
      <c r="D361" s="104" t="s">
        <v>1895</v>
      </c>
      <c r="E361" s="104" t="s">
        <v>2061</v>
      </c>
      <c r="F361" s="139" t="s">
        <v>2062</v>
      </c>
      <c r="G361" s="149">
        <v>41594</v>
      </c>
      <c r="H361" s="150">
        <v>41760</v>
      </c>
      <c r="I361" s="108">
        <v>41944</v>
      </c>
      <c r="J361" s="128" t="s">
        <v>2063</v>
      </c>
      <c r="K361" s="24" t="s">
        <v>27</v>
      </c>
      <c r="L361" s="24" t="s">
        <v>28</v>
      </c>
      <c r="M361" s="134">
        <f t="shared" si="7"/>
        <v>5</v>
      </c>
    </row>
    <row r="362" spans="1:13" ht="20.100000000000001" customHeight="1">
      <c r="A362" s="105" t="s">
        <v>2064</v>
      </c>
      <c r="B362" s="118" t="s">
        <v>2065</v>
      </c>
      <c r="C362" s="104" t="s">
        <v>1905</v>
      </c>
      <c r="D362" s="104" t="s">
        <v>1895</v>
      </c>
      <c r="E362" s="104" t="s">
        <v>1906</v>
      </c>
      <c r="F362" s="139" t="s">
        <v>2066</v>
      </c>
      <c r="G362" s="149">
        <v>42070</v>
      </c>
      <c r="H362" s="150">
        <v>42095</v>
      </c>
      <c r="I362" s="108">
        <v>42277</v>
      </c>
      <c r="J362" s="128" t="s">
        <v>1908</v>
      </c>
      <c r="K362" s="134" t="s">
        <v>60</v>
      </c>
      <c r="L362" s="24" t="s">
        <v>28</v>
      </c>
      <c r="M362" s="134">
        <f t="shared" si="7"/>
        <v>0</v>
      </c>
    </row>
    <row r="363" spans="1:13" ht="20.100000000000001" customHeight="1">
      <c r="A363" s="105" t="s">
        <v>2067</v>
      </c>
      <c r="B363" s="118" t="s">
        <v>2068</v>
      </c>
      <c r="C363" s="104" t="s">
        <v>1905</v>
      </c>
      <c r="D363" s="104" t="s">
        <v>1895</v>
      </c>
      <c r="E363" s="104" t="s">
        <v>777</v>
      </c>
      <c r="F363" s="139" t="s">
        <v>2069</v>
      </c>
      <c r="G363" s="149">
        <v>41991</v>
      </c>
      <c r="H363" s="150">
        <v>41820</v>
      </c>
      <c r="I363" s="108">
        <v>42004</v>
      </c>
      <c r="J363" s="128" t="s">
        <v>2070</v>
      </c>
      <c r="K363" s="24" t="s">
        <v>27</v>
      </c>
      <c r="L363" s="24" t="s">
        <v>28</v>
      </c>
      <c r="M363" s="134" t="e">
        <f t="shared" si="7"/>
        <v>#NUM!</v>
      </c>
    </row>
    <row r="364" spans="1:13" ht="20.100000000000001" customHeight="1">
      <c r="A364" s="105" t="s">
        <v>2071</v>
      </c>
      <c r="B364" s="118" t="s">
        <v>2072</v>
      </c>
      <c r="C364" s="104" t="s">
        <v>1905</v>
      </c>
      <c r="D364" s="104" t="s">
        <v>1895</v>
      </c>
      <c r="E364" s="104" t="s">
        <v>1930</v>
      </c>
      <c r="F364" s="139" t="s">
        <v>2073</v>
      </c>
      <c r="G364" s="149">
        <v>41622</v>
      </c>
      <c r="H364" s="150">
        <v>41795</v>
      </c>
      <c r="I364" s="108">
        <v>41978</v>
      </c>
      <c r="J364" s="128" t="s">
        <v>1923</v>
      </c>
      <c r="K364" s="134" t="s">
        <v>60</v>
      </c>
      <c r="L364" s="24" t="s">
        <v>28</v>
      </c>
      <c r="M364" s="134">
        <f t="shared" si="7"/>
        <v>5</v>
      </c>
    </row>
    <row r="365" spans="1:13" ht="20.100000000000001" customHeight="1">
      <c r="A365" s="105" t="s">
        <v>2074</v>
      </c>
      <c r="B365" s="118" t="s">
        <v>2075</v>
      </c>
      <c r="C365" s="104" t="s">
        <v>1915</v>
      </c>
      <c r="D365" s="104" t="s">
        <v>1895</v>
      </c>
      <c r="E365" s="104" t="s">
        <v>2076</v>
      </c>
      <c r="F365" s="139" t="s">
        <v>2077</v>
      </c>
      <c r="G365" s="149">
        <v>41598</v>
      </c>
      <c r="H365" s="150">
        <v>41778</v>
      </c>
      <c r="I365" s="108">
        <v>41962</v>
      </c>
      <c r="J365" s="128" t="s">
        <v>2063</v>
      </c>
      <c r="K365" s="24" t="s">
        <v>27</v>
      </c>
      <c r="L365" s="24" t="s">
        <v>28</v>
      </c>
      <c r="M365" s="134">
        <f t="shared" si="7"/>
        <v>5</v>
      </c>
    </row>
    <row r="366" spans="1:13" ht="20.100000000000001" customHeight="1">
      <c r="A366" s="105" t="s">
        <v>2078</v>
      </c>
      <c r="B366" s="118" t="s">
        <v>2079</v>
      </c>
      <c r="C366" s="104" t="s">
        <v>1915</v>
      </c>
      <c r="D366" s="104" t="s">
        <v>1895</v>
      </c>
      <c r="E366" s="104" t="s">
        <v>2080</v>
      </c>
      <c r="F366" s="139" t="s">
        <v>2081</v>
      </c>
      <c r="G366" s="149">
        <v>41814</v>
      </c>
      <c r="H366" s="150">
        <v>42004</v>
      </c>
      <c r="I366" s="108">
        <v>42369</v>
      </c>
      <c r="J366" s="128" t="s">
        <v>2082</v>
      </c>
      <c r="K366" s="134" t="s">
        <v>60</v>
      </c>
      <c r="L366" s="24" t="s">
        <v>28</v>
      </c>
      <c r="M366" s="134">
        <f t="shared" si="7"/>
        <v>6</v>
      </c>
    </row>
    <row r="367" spans="1:13" ht="20.100000000000001" customHeight="1">
      <c r="A367" s="105" t="s">
        <v>2083</v>
      </c>
      <c r="B367" s="118" t="s">
        <v>2084</v>
      </c>
      <c r="C367" s="104" t="s">
        <v>1905</v>
      </c>
      <c r="D367" s="104" t="s">
        <v>1895</v>
      </c>
      <c r="E367" s="104" t="s">
        <v>1938</v>
      </c>
      <c r="F367" s="139" t="s">
        <v>2085</v>
      </c>
      <c r="G367" s="149">
        <v>41808</v>
      </c>
      <c r="H367" s="150">
        <v>41983</v>
      </c>
      <c r="I367" s="108">
        <v>42165</v>
      </c>
      <c r="J367" s="128" t="s">
        <v>1923</v>
      </c>
      <c r="K367" s="134" t="s">
        <v>60</v>
      </c>
      <c r="L367" s="24" t="s">
        <v>28</v>
      </c>
      <c r="M367" s="134">
        <f t="shared" si="7"/>
        <v>5</v>
      </c>
    </row>
    <row r="368" spans="1:13" ht="20.100000000000001" customHeight="1">
      <c r="A368" s="105" t="s">
        <v>2086</v>
      </c>
      <c r="B368" s="118" t="s">
        <v>2087</v>
      </c>
      <c r="C368" s="104" t="s">
        <v>1915</v>
      </c>
      <c r="D368" s="104" t="s">
        <v>1895</v>
      </c>
      <c r="E368" s="104" t="s">
        <v>2088</v>
      </c>
      <c r="F368" s="139" t="s">
        <v>2089</v>
      </c>
      <c r="G368" s="149">
        <v>41818</v>
      </c>
      <c r="H368" s="150">
        <v>42004</v>
      </c>
      <c r="I368" s="108">
        <v>42369</v>
      </c>
      <c r="J368" s="128" t="s">
        <v>2082</v>
      </c>
      <c r="K368" s="134" t="s">
        <v>60</v>
      </c>
      <c r="L368" s="24" t="s">
        <v>28</v>
      </c>
      <c r="M368" s="134">
        <f t="shared" si="7"/>
        <v>6</v>
      </c>
    </row>
    <row r="369" spans="1:13" ht="20.100000000000001" customHeight="1">
      <c r="A369" s="105" t="s">
        <v>2090</v>
      </c>
      <c r="B369" s="118" t="s">
        <v>2091</v>
      </c>
      <c r="C369" s="104" t="s">
        <v>1915</v>
      </c>
      <c r="D369" s="104" t="s">
        <v>1895</v>
      </c>
      <c r="E369" s="104" t="s">
        <v>2088</v>
      </c>
      <c r="F369" s="139" t="s">
        <v>2092</v>
      </c>
      <c r="G369" s="149">
        <v>41821</v>
      </c>
      <c r="H369" s="150">
        <v>42004</v>
      </c>
      <c r="I369" s="108">
        <v>42369</v>
      </c>
      <c r="J369" s="128" t="s">
        <v>2082</v>
      </c>
      <c r="K369" s="134" t="s">
        <v>60</v>
      </c>
      <c r="L369" s="24" t="s">
        <v>28</v>
      </c>
      <c r="M369" s="134">
        <f t="shared" si="7"/>
        <v>5</v>
      </c>
    </row>
    <row r="370" spans="1:13" ht="20.100000000000001" customHeight="1">
      <c r="A370" s="105" t="s">
        <v>2093</v>
      </c>
      <c r="B370" s="118" t="s">
        <v>2094</v>
      </c>
      <c r="C370" s="104" t="s">
        <v>1915</v>
      </c>
      <c r="D370" s="104" t="s">
        <v>1895</v>
      </c>
      <c r="E370" s="104" t="s">
        <v>2095</v>
      </c>
      <c r="F370" s="139" t="s">
        <v>2096</v>
      </c>
      <c r="G370" s="149">
        <v>41821</v>
      </c>
      <c r="H370" s="150">
        <v>42004</v>
      </c>
      <c r="I370" s="110">
        <v>42185</v>
      </c>
      <c r="J370" s="128" t="s">
        <v>2082</v>
      </c>
      <c r="K370" s="134" t="s">
        <v>60</v>
      </c>
      <c r="L370" s="24" t="s">
        <v>28</v>
      </c>
      <c r="M370" s="134">
        <f t="shared" si="7"/>
        <v>5</v>
      </c>
    </row>
    <row r="371" spans="1:13" ht="20.100000000000001" customHeight="1">
      <c r="A371" s="105" t="s">
        <v>2097</v>
      </c>
      <c r="B371" s="118" t="s">
        <v>2098</v>
      </c>
      <c r="C371" s="104" t="s">
        <v>1905</v>
      </c>
      <c r="D371" s="104" t="s">
        <v>1895</v>
      </c>
      <c r="E371" s="104" t="s">
        <v>1906</v>
      </c>
      <c r="F371" s="139" t="s">
        <v>2099</v>
      </c>
      <c r="G371" s="149">
        <v>42070</v>
      </c>
      <c r="H371" s="150"/>
      <c r="I371" s="110"/>
      <c r="J371" s="128" t="s">
        <v>2010</v>
      </c>
      <c r="K371" s="134" t="s">
        <v>60</v>
      </c>
      <c r="L371" s="24" t="s">
        <v>28</v>
      </c>
      <c r="M371" s="134" t="e">
        <f t="shared" si="7"/>
        <v>#NUM!</v>
      </c>
    </row>
    <row r="372" spans="1:13" ht="20.100000000000001" customHeight="1">
      <c r="A372" s="105" t="s">
        <v>2100</v>
      </c>
      <c r="B372" s="118" t="s">
        <v>2101</v>
      </c>
      <c r="C372" s="104" t="s">
        <v>1905</v>
      </c>
      <c r="D372" s="104" t="s">
        <v>1895</v>
      </c>
      <c r="E372" s="104" t="s">
        <v>1906</v>
      </c>
      <c r="F372" s="139" t="s">
        <v>474</v>
      </c>
      <c r="G372" s="149">
        <v>42070</v>
      </c>
      <c r="H372" s="150">
        <v>42185</v>
      </c>
      <c r="I372" s="110">
        <v>42368</v>
      </c>
      <c r="J372" s="128" t="s">
        <v>1908</v>
      </c>
      <c r="K372" s="134" t="s">
        <v>60</v>
      </c>
      <c r="L372" s="24" t="s">
        <v>28</v>
      </c>
      <c r="M372" s="134">
        <f t="shared" si="7"/>
        <v>3</v>
      </c>
    </row>
    <row r="373" spans="1:13" ht="20.100000000000001" customHeight="1">
      <c r="A373" s="105" t="s">
        <v>2102</v>
      </c>
      <c r="B373" s="118" t="s">
        <v>2103</v>
      </c>
      <c r="C373" s="104" t="s">
        <v>1905</v>
      </c>
      <c r="D373" s="104" t="s">
        <v>1895</v>
      </c>
      <c r="E373" s="104" t="s">
        <v>2104</v>
      </c>
      <c r="F373" s="139" t="s">
        <v>477</v>
      </c>
      <c r="G373" s="149">
        <v>41915</v>
      </c>
      <c r="H373" s="150">
        <v>42151</v>
      </c>
      <c r="I373" s="108">
        <v>42276</v>
      </c>
      <c r="J373" s="128" t="s">
        <v>1923</v>
      </c>
      <c r="K373" s="134" t="s">
        <v>60</v>
      </c>
      <c r="L373" s="24" t="s">
        <v>28</v>
      </c>
      <c r="M373" s="134">
        <f t="shared" si="7"/>
        <v>7</v>
      </c>
    </row>
    <row r="374" spans="1:13" ht="20.100000000000001" customHeight="1">
      <c r="A374" s="105" t="s">
        <v>2105</v>
      </c>
      <c r="B374" s="118" t="s">
        <v>2106</v>
      </c>
      <c r="C374" s="104" t="s">
        <v>1905</v>
      </c>
      <c r="D374" s="104" t="s">
        <v>1895</v>
      </c>
      <c r="E374" s="104" t="s">
        <v>1930</v>
      </c>
      <c r="F374" s="139" t="s">
        <v>2107</v>
      </c>
      <c r="G374" s="149">
        <v>42011</v>
      </c>
      <c r="H374" s="150">
        <v>42172</v>
      </c>
      <c r="I374" s="108">
        <v>42354</v>
      </c>
      <c r="J374" s="128" t="s">
        <v>1923</v>
      </c>
      <c r="K374" s="134" t="s">
        <v>60</v>
      </c>
      <c r="L374" s="24" t="s">
        <v>28</v>
      </c>
      <c r="M374" s="134">
        <f t="shared" si="7"/>
        <v>5</v>
      </c>
    </row>
    <row r="375" spans="1:13" ht="20.100000000000001" customHeight="1">
      <c r="A375" s="105" t="s">
        <v>2108</v>
      </c>
      <c r="B375" s="118" t="s">
        <v>2109</v>
      </c>
      <c r="C375" s="104" t="s">
        <v>747</v>
      </c>
      <c r="D375" s="104" t="s">
        <v>748</v>
      </c>
      <c r="E375" s="104" t="s">
        <v>2110</v>
      </c>
      <c r="F375" s="139" t="s">
        <v>2111</v>
      </c>
      <c r="G375" s="149">
        <v>40316</v>
      </c>
      <c r="H375" s="150">
        <v>40473</v>
      </c>
      <c r="I375" s="109">
        <v>40609</v>
      </c>
      <c r="J375" s="128" t="s">
        <v>2112</v>
      </c>
      <c r="K375" s="24" t="s">
        <v>27</v>
      </c>
      <c r="L375" s="24" t="s">
        <v>28</v>
      </c>
      <c r="M375" s="134">
        <f t="shared" si="7"/>
        <v>5</v>
      </c>
    </row>
    <row r="376" spans="1:13" ht="20.100000000000001" customHeight="1">
      <c r="A376" s="105" t="s">
        <v>2113</v>
      </c>
      <c r="B376" s="118" t="s">
        <v>145</v>
      </c>
      <c r="C376" s="104" t="s">
        <v>747</v>
      </c>
      <c r="D376" s="104" t="s">
        <v>748</v>
      </c>
      <c r="E376" s="104" t="s">
        <v>2114</v>
      </c>
      <c r="F376" s="139" t="s">
        <v>2115</v>
      </c>
      <c r="G376" s="149">
        <v>40499</v>
      </c>
      <c r="H376" s="150">
        <v>40663</v>
      </c>
      <c r="I376" s="108">
        <v>40847</v>
      </c>
      <c r="J376" t="s">
        <v>146</v>
      </c>
      <c r="K376" s="24" t="s">
        <v>27</v>
      </c>
      <c r="L376" s="24" t="s">
        <v>28</v>
      </c>
      <c r="M376" s="134">
        <f t="shared" si="7"/>
        <v>5</v>
      </c>
    </row>
    <row r="377" spans="1:13" ht="20.100000000000001" customHeight="1">
      <c r="A377" s="105" t="s">
        <v>2116</v>
      </c>
      <c r="B377" s="118" t="s">
        <v>2117</v>
      </c>
      <c r="C377" s="104" t="s">
        <v>529</v>
      </c>
      <c r="D377" s="104" t="s">
        <v>606</v>
      </c>
      <c r="E377" s="104" t="s">
        <v>2118</v>
      </c>
      <c r="F377" s="139" t="s">
        <v>2119</v>
      </c>
      <c r="G377" s="149">
        <v>40227</v>
      </c>
      <c r="H377" s="150">
        <v>40405</v>
      </c>
      <c r="I377" s="110">
        <v>40589</v>
      </c>
      <c r="J377" t="s">
        <v>2120</v>
      </c>
      <c r="K377" s="24" t="s">
        <v>578</v>
      </c>
      <c r="L377" s="24" t="s">
        <v>28</v>
      </c>
      <c r="M377" s="134">
        <f t="shared" si="7"/>
        <v>5</v>
      </c>
    </row>
    <row r="378" spans="1:13" ht="20.100000000000001" customHeight="1">
      <c r="A378" s="105" t="s">
        <v>2121</v>
      </c>
      <c r="B378" s="118" t="s">
        <v>2122</v>
      </c>
      <c r="C378" s="104" t="s">
        <v>529</v>
      </c>
      <c r="D378" s="104" t="s">
        <v>2123</v>
      </c>
      <c r="E378" s="104" t="s">
        <v>2124</v>
      </c>
      <c r="F378" s="139" t="s">
        <v>2125</v>
      </c>
      <c r="G378" s="149">
        <v>42768</v>
      </c>
      <c r="H378" s="150">
        <v>42961</v>
      </c>
      <c r="I378" s="110">
        <v>43007</v>
      </c>
      <c r="J378" t="s">
        <v>2126</v>
      </c>
      <c r="K378" s="24" t="s">
        <v>73</v>
      </c>
      <c r="L378" s="24" t="s">
        <v>74</v>
      </c>
      <c r="M378" s="134">
        <f t="shared" si="7"/>
        <v>6</v>
      </c>
    </row>
    <row r="379" spans="1:13" ht="20.100000000000001" customHeight="1">
      <c r="A379" s="105" t="s">
        <v>2127</v>
      </c>
      <c r="B379" s="118" t="s">
        <v>2128</v>
      </c>
      <c r="C379" s="104" t="s">
        <v>529</v>
      </c>
      <c r="D379" s="104" t="s">
        <v>606</v>
      </c>
      <c r="E379" s="104" t="s">
        <v>2129</v>
      </c>
      <c r="F379" s="139" t="s">
        <v>2130</v>
      </c>
      <c r="G379" s="149">
        <v>42606</v>
      </c>
      <c r="H379" s="150" t="s">
        <v>1359</v>
      </c>
      <c r="I379" s="109" t="s">
        <v>1359</v>
      </c>
      <c r="J379" t="s">
        <v>2131</v>
      </c>
      <c r="M379" s="134" t="e">
        <f t="shared" si="7"/>
        <v>#VALUE!</v>
      </c>
    </row>
    <row r="380" spans="1:13" ht="20.100000000000001" customHeight="1">
      <c r="A380" s="105" t="s">
        <v>2132</v>
      </c>
      <c r="B380" s="118" t="s">
        <v>2133</v>
      </c>
      <c r="C380" s="104" t="s">
        <v>529</v>
      </c>
      <c r="D380" s="104" t="s">
        <v>2123</v>
      </c>
      <c r="E380" s="104" t="s">
        <v>2134</v>
      </c>
      <c r="F380" s="139" t="s">
        <v>2135</v>
      </c>
      <c r="G380" s="149">
        <v>42768</v>
      </c>
      <c r="H380" s="150">
        <v>42930</v>
      </c>
      <c r="I380" s="110">
        <v>43007</v>
      </c>
      <c r="J380" t="s">
        <v>2126</v>
      </c>
      <c r="K380" s="24" t="s">
        <v>73</v>
      </c>
      <c r="L380" s="24" t="s">
        <v>74</v>
      </c>
      <c r="M380" s="134">
        <f t="shared" si="7"/>
        <v>5</v>
      </c>
    </row>
    <row r="381" spans="1:13" ht="20.100000000000001" customHeight="1">
      <c r="A381" s="105" t="s">
        <v>2136</v>
      </c>
      <c r="B381" s="118" t="s">
        <v>2137</v>
      </c>
      <c r="C381" s="104" t="s">
        <v>529</v>
      </c>
      <c r="D381" s="104" t="s">
        <v>2123</v>
      </c>
      <c r="E381" s="104" t="s">
        <v>2138</v>
      </c>
      <c r="F381" s="139" t="s">
        <v>2139</v>
      </c>
      <c r="G381" s="149">
        <v>41856</v>
      </c>
      <c r="H381" s="150" t="s">
        <v>1359</v>
      </c>
      <c r="I381" s="108" t="s">
        <v>1359</v>
      </c>
      <c r="J381" s="128" t="s">
        <v>2140</v>
      </c>
      <c r="K381" s="24" t="s">
        <v>73</v>
      </c>
      <c r="L381" s="24" t="s">
        <v>74</v>
      </c>
      <c r="M381" s="134" t="e">
        <f t="shared" si="7"/>
        <v>#VALUE!</v>
      </c>
    </row>
    <row r="382" spans="1:13" ht="20.100000000000001" customHeight="1">
      <c r="A382" s="105" t="s">
        <v>2141</v>
      </c>
      <c r="B382" s="118" t="s">
        <v>2142</v>
      </c>
      <c r="C382" s="104" t="s">
        <v>529</v>
      </c>
      <c r="D382" s="104" t="s">
        <v>606</v>
      </c>
      <c r="E382" s="104" t="s">
        <v>2143</v>
      </c>
      <c r="F382" s="139" t="s">
        <v>2144</v>
      </c>
      <c r="G382" s="149">
        <v>40133</v>
      </c>
      <c r="H382" s="150">
        <v>40329</v>
      </c>
      <c r="I382" s="110">
        <v>40390</v>
      </c>
      <c r="J382" t="s">
        <v>2145</v>
      </c>
      <c r="K382" s="24" t="s">
        <v>73</v>
      </c>
      <c r="L382" s="24" t="s">
        <v>74</v>
      </c>
      <c r="M382" s="134">
        <f t="shared" si="7"/>
        <v>6</v>
      </c>
    </row>
    <row r="383" spans="1:13" ht="20.100000000000001" customHeight="1">
      <c r="A383" s="105" t="s">
        <v>2146</v>
      </c>
      <c r="B383" s="118" t="s">
        <v>2147</v>
      </c>
      <c r="C383" s="104" t="s">
        <v>529</v>
      </c>
      <c r="D383" s="104" t="s">
        <v>606</v>
      </c>
      <c r="E383" s="104" t="s">
        <v>2148</v>
      </c>
      <c r="F383" s="139" t="s">
        <v>2149</v>
      </c>
      <c r="G383" s="149">
        <v>41906</v>
      </c>
      <c r="H383" s="150">
        <v>42078</v>
      </c>
      <c r="I383" s="109">
        <v>42262</v>
      </c>
      <c r="J383" t="s">
        <v>2150</v>
      </c>
      <c r="K383" s="24" t="s">
        <v>73</v>
      </c>
      <c r="L383" s="24" t="s">
        <v>74</v>
      </c>
      <c r="M383" s="134">
        <f t="shared" si="7"/>
        <v>5</v>
      </c>
    </row>
    <row r="384" spans="1:13" ht="20.100000000000001" customHeight="1">
      <c r="A384" s="105" t="s">
        <v>2146</v>
      </c>
      <c r="B384" s="118" t="s">
        <v>2151</v>
      </c>
      <c r="C384" s="104" t="s">
        <v>529</v>
      </c>
      <c r="D384" s="104" t="s">
        <v>606</v>
      </c>
      <c r="E384" s="104" t="s">
        <v>2148</v>
      </c>
      <c r="F384" s="139" t="s">
        <v>2152</v>
      </c>
      <c r="G384" s="149">
        <v>41935</v>
      </c>
      <c r="H384" s="150">
        <v>42078</v>
      </c>
      <c r="I384" s="109">
        <v>42262</v>
      </c>
      <c r="J384" t="s">
        <v>2150</v>
      </c>
      <c r="K384" s="24" t="s">
        <v>73</v>
      </c>
      <c r="L384" s="24" t="s">
        <v>74</v>
      </c>
      <c r="M384" s="134">
        <f t="shared" si="7"/>
        <v>4</v>
      </c>
    </row>
    <row r="385" spans="1:13" ht="20.100000000000001" customHeight="1">
      <c r="A385" s="105" t="s">
        <v>2153</v>
      </c>
      <c r="B385" s="118" t="s">
        <v>2154</v>
      </c>
      <c r="C385" s="104" t="s">
        <v>529</v>
      </c>
      <c r="D385" s="104" t="s">
        <v>606</v>
      </c>
      <c r="E385" s="104" t="s">
        <v>2155</v>
      </c>
      <c r="F385" s="139" t="s">
        <v>2156</v>
      </c>
      <c r="G385" s="149">
        <v>40136</v>
      </c>
      <c r="H385" s="150">
        <v>39722</v>
      </c>
      <c r="I385" s="108">
        <v>39745</v>
      </c>
      <c r="J385" t="s">
        <v>2157</v>
      </c>
      <c r="K385" s="24" t="s">
        <v>27</v>
      </c>
      <c r="L385" s="24" t="s">
        <v>28</v>
      </c>
      <c r="M385" s="134" t="e">
        <f t="shared" si="7"/>
        <v>#NUM!</v>
      </c>
    </row>
    <row r="386" spans="1:13" ht="20.100000000000001" customHeight="1">
      <c r="A386" s="105" t="s">
        <v>2158</v>
      </c>
      <c r="B386" s="118" t="s">
        <v>2159</v>
      </c>
      <c r="C386" s="104" t="s">
        <v>529</v>
      </c>
      <c r="D386" s="104" t="s">
        <v>606</v>
      </c>
      <c r="E386" s="104" t="s">
        <v>2160</v>
      </c>
      <c r="F386" s="139" t="s">
        <v>2161</v>
      </c>
      <c r="G386" s="149">
        <v>40441</v>
      </c>
      <c r="H386" s="150">
        <v>40614</v>
      </c>
      <c r="I386" s="108">
        <v>40798</v>
      </c>
      <c r="J386" t="s">
        <v>2162</v>
      </c>
      <c r="M386" s="134">
        <f t="shared" si="7"/>
        <v>5</v>
      </c>
    </row>
    <row r="387" spans="1:13" ht="20.100000000000001" customHeight="1">
      <c r="A387" s="105" t="s">
        <v>2163</v>
      </c>
      <c r="B387" s="118" t="s">
        <v>2164</v>
      </c>
      <c r="C387" s="104" t="s">
        <v>529</v>
      </c>
      <c r="D387" s="104" t="s">
        <v>606</v>
      </c>
      <c r="E387" s="104" t="s">
        <v>2165</v>
      </c>
      <c r="F387" s="139" t="s">
        <v>2166</v>
      </c>
      <c r="G387" s="149">
        <v>41992</v>
      </c>
      <c r="H387" s="150"/>
      <c r="I387" s="109">
        <v>41974</v>
      </c>
      <c r="J387" s="128" t="s">
        <v>2167</v>
      </c>
      <c r="K387" s="24" t="s">
        <v>73</v>
      </c>
      <c r="L387" s="24" t="s">
        <v>74</v>
      </c>
      <c r="M387" s="134" t="e">
        <f t="shared" ref="M387:M450" si="8">DATEDIF(G387,H387,"m")</f>
        <v>#NUM!</v>
      </c>
    </row>
    <row r="388" spans="1:13" ht="20.100000000000001" customHeight="1">
      <c r="A388" s="105" t="s">
        <v>2168</v>
      </c>
      <c r="B388" s="118" t="s">
        <v>2169</v>
      </c>
      <c r="C388" s="104" t="s">
        <v>529</v>
      </c>
      <c r="D388" s="104" t="s">
        <v>606</v>
      </c>
      <c r="E388" s="104" t="s">
        <v>2170</v>
      </c>
      <c r="F388" s="139" t="s">
        <v>2171</v>
      </c>
      <c r="G388" s="149">
        <v>42009</v>
      </c>
      <c r="H388" s="150">
        <v>42175</v>
      </c>
      <c r="I388" s="110">
        <v>42358</v>
      </c>
      <c r="J388" t="s">
        <v>2172</v>
      </c>
      <c r="K388" s="24" t="s">
        <v>73</v>
      </c>
      <c r="L388" s="24" t="s">
        <v>74</v>
      </c>
      <c r="M388" s="134">
        <f t="shared" si="8"/>
        <v>5</v>
      </c>
    </row>
    <row r="389" spans="1:13" ht="20.100000000000001" customHeight="1">
      <c r="A389" s="105" t="s">
        <v>2173</v>
      </c>
      <c r="B389" s="118" t="s">
        <v>2174</v>
      </c>
      <c r="C389" s="104" t="s">
        <v>529</v>
      </c>
      <c r="D389" s="104" t="s">
        <v>606</v>
      </c>
      <c r="E389" s="104" t="s">
        <v>2170</v>
      </c>
      <c r="F389" s="139" t="s">
        <v>2171</v>
      </c>
      <c r="G389" s="149">
        <v>41996</v>
      </c>
      <c r="H389" s="150">
        <v>42175</v>
      </c>
      <c r="I389" s="108">
        <v>42358</v>
      </c>
      <c r="J389" s="128" t="s">
        <v>2175</v>
      </c>
      <c r="K389" s="24" t="s">
        <v>36</v>
      </c>
      <c r="L389" s="24" t="s">
        <v>28</v>
      </c>
      <c r="M389" s="134">
        <f t="shared" si="8"/>
        <v>5</v>
      </c>
    </row>
    <row r="390" spans="1:13" ht="20.100000000000001" customHeight="1">
      <c r="A390" s="105" t="s">
        <v>2176</v>
      </c>
      <c r="B390" s="118" t="s">
        <v>2177</v>
      </c>
      <c r="C390" s="104" t="s">
        <v>529</v>
      </c>
      <c r="D390" s="104" t="s">
        <v>606</v>
      </c>
      <c r="E390" s="104" t="s">
        <v>2178</v>
      </c>
      <c r="F390" s="139" t="s">
        <v>2179</v>
      </c>
      <c r="G390" s="149">
        <v>41996</v>
      </c>
      <c r="H390" s="150">
        <v>42157</v>
      </c>
      <c r="I390" s="109">
        <v>42358</v>
      </c>
      <c r="J390" s="129" t="s">
        <v>2175</v>
      </c>
      <c r="K390" s="24" t="s">
        <v>36</v>
      </c>
      <c r="L390" s="24" t="s">
        <v>28</v>
      </c>
      <c r="M390" s="134">
        <f t="shared" si="8"/>
        <v>5</v>
      </c>
    </row>
    <row r="391" spans="1:13" ht="20.100000000000001" customHeight="1">
      <c r="A391" s="122" t="s">
        <v>2176</v>
      </c>
      <c r="B391" s="117" t="s">
        <v>2180</v>
      </c>
      <c r="C391" s="104" t="s">
        <v>529</v>
      </c>
      <c r="D391" s="104" t="s">
        <v>606</v>
      </c>
      <c r="E391" s="104" t="s">
        <v>2181</v>
      </c>
      <c r="F391" s="139" t="s">
        <v>2179</v>
      </c>
      <c r="G391" s="149">
        <v>42010</v>
      </c>
      <c r="H391" s="150">
        <v>42157</v>
      </c>
      <c r="I391" s="109">
        <v>42358</v>
      </c>
      <c r="J391" s="129" t="s">
        <v>2175</v>
      </c>
      <c r="K391" s="24" t="s">
        <v>36</v>
      </c>
      <c r="L391" s="24" t="s">
        <v>28</v>
      </c>
      <c r="M391" s="134">
        <f t="shared" si="8"/>
        <v>4</v>
      </c>
    </row>
    <row r="392" spans="1:13" ht="20.100000000000001" customHeight="1">
      <c r="A392" s="105" t="s">
        <v>2182</v>
      </c>
      <c r="B392" s="123" t="s">
        <v>2183</v>
      </c>
      <c r="C392" s="104" t="s">
        <v>529</v>
      </c>
      <c r="D392" s="104" t="s">
        <v>606</v>
      </c>
      <c r="E392" s="104" t="s">
        <v>2184</v>
      </c>
      <c r="F392" s="139" t="s">
        <v>2185</v>
      </c>
      <c r="G392" s="149">
        <v>42009</v>
      </c>
      <c r="H392" s="150"/>
      <c r="I392" s="110"/>
      <c r="J392" t="s">
        <v>2186</v>
      </c>
      <c r="K392" s="24" t="s">
        <v>578</v>
      </c>
      <c r="L392" s="24" t="s">
        <v>28</v>
      </c>
      <c r="M392" s="134" t="e">
        <f t="shared" si="8"/>
        <v>#NUM!</v>
      </c>
    </row>
    <row r="393" spans="1:13" ht="20.100000000000001" customHeight="1">
      <c r="A393" s="106" t="s">
        <v>2187</v>
      </c>
      <c r="B393" s="117" t="s">
        <v>286</v>
      </c>
      <c r="C393" s="104" t="s">
        <v>192</v>
      </c>
      <c r="D393" s="104" t="s">
        <v>2188</v>
      </c>
      <c r="E393" s="104" t="s">
        <v>2189</v>
      </c>
      <c r="F393" s="139" t="s">
        <v>2190</v>
      </c>
      <c r="G393" s="149">
        <v>42095</v>
      </c>
      <c r="H393" s="150">
        <v>42307</v>
      </c>
      <c r="I393" s="109">
        <v>42490</v>
      </c>
      <c r="J393" s="128" t="s">
        <v>2191</v>
      </c>
      <c r="K393" s="24" t="s">
        <v>73</v>
      </c>
      <c r="L393" s="24" t="s">
        <v>74</v>
      </c>
      <c r="M393" s="134">
        <f t="shared" si="8"/>
        <v>6</v>
      </c>
    </row>
    <row r="394" spans="1:13" ht="20.100000000000001" customHeight="1">
      <c r="A394" s="105" t="s">
        <v>2192</v>
      </c>
      <c r="B394" s="220" t="s">
        <v>2193</v>
      </c>
      <c r="C394" s="104" t="s">
        <v>2194</v>
      </c>
      <c r="D394" s="104" t="s">
        <v>748</v>
      </c>
      <c r="E394" s="104" t="s">
        <v>2195</v>
      </c>
      <c r="F394" s="139" t="s">
        <v>2196</v>
      </c>
      <c r="G394" s="149">
        <v>43119</v>
      </c>
      <c r="H394" s="150">
        <v>43251</v>
      </c>
      <c r="I394" s="108">
        <v>43343</v>
      </c>
      <c r="J394" s="128" t="s">
        <v>2197</v>
      </c>
      <c r="K394" s="134" t="s">
        <v>36</v>
      </c>
      <c r="L394" s="24" t="s">
        <v>28</v>
      </c>
      <c r="M394" s="134">
        <f t="shared" si="8"/>
        <v>4</v>
      </c>
    </row>
    <row r="395" spans="1:13" ht="20.100000000000001" customHeight="1">
      <c r="A395" s="105" t="s">
        <v>2198</v>
      </c>
      <c r="B395" s="118" t="s">
        <v>2199</v>
      </c>
      <c r="C395" s="104" t="s">
        <v>1149</v>
      </c>
      <c r="D395" s="104" t="s">
        <v>748</v>
      </c>
      <c r="E395" s="104" t="s">
        <v>2200</v>
      </c>
      <c r="F395" s="139" t="s">
        <v>2201</v>
      </c>
      <c r="G395" s="149">
        <v>43523</v>
      </c>
      <c r="H395" s="150">
        <v>43616</v>
      </c>
      <c r="I395" s="108">
        <v>43830</v>
      </c>
      <c r="J395" s="128" t="s">
        <v>2202</v>
      </c>
      <c r="K395" s="134" t="s">
        <v>36</v>
      </c>
      <c r="L395" s="24" t="s">
        <v>28</v>
      </c>
      <c r="M395" s="134">
        <f t="shared" si="8"/>
        <v>3</v>
      </c>
    </row>
    <row r="396" spans="1:13" ht="20.100000000000001" customHeight="1">
      <c r="A396" s="105" t="s">
        <v>2203</v>
      </c>
      <c r="B396" s="118" t="s">
        <v>2204</v>
      </c>
      <c r="C396" s="104" t="s">
        <v>2205</v>
      </c>
      <c r="D396" s="104" t="s">
        <v>748</v>
      </c>
      <c r="E396" s="104" t="s">
        <v>2206</v>
      </c>
      <c r="F396" s="139" t="s">
        <v>2207</v>
      </c>
      <c r="G396" s="149">
        <v>43539</v>
      </c>
      <c r="H396" s="150">
        <v>43708</v>
      </c>
      <c r="I396" s="109">
        <v>43799</v>
      </c>
      <c r="J396" s="129" t="s">
        <v>2208</v>
      </c>
      <c r="K396" s="24" t="s">
        <v>73</v>
      </c>
      <c r="L396" s="24" t="s">
        <v>74</v>
      </c>
      <c r="M396" s="134">
        <f t="shared" si="8"/>
        <v>5</v>
      </c>
    </row>
    <row r="397" spans="1:13" ht="20.100000000000001" customHeight="1">
      <c r="A397" s="105" t="s">
        <v>2209</v>
      </c>
      <c r="B397" s="118" t="s">
        <v>2210</v>
      </c>
      <c r="C397" s="104" t="s">
        <v>1727</v>
      </c>
      <c r="D397" s="104" t="s">
        <v>748</v>
      </c>
      <c r="E397" s="104" t="s">
        <v>2211</v>
      </c>
      <c r="F397" s="139" t="s">
        <v>2212</v>
      </c>
      <c r="G397" s="149">
        <v>43741</v>
      </c>
      <c r="H397" s="150">
        <v>43830</v>
      </c>
      <c r="I397" s="108">
        <v>43951</v>
      </c>
      <c r="J397" s="128" t="s">
        <v>2202</v>
      </c>
      <c r="K397" s="134" t="s">
        <v>36</v>
      </c>
      <c r="L397" s="24" t="s">
        <v>28</v>
      </c>
      <c r="M397" s="134">
        <f t="shared" si="8"/>
        <v>2</v>
      </c>
    </row>
    <row r="398" spans="1:13" ht="20.100000000000001" customHeight="1">
      <c r="A398" s="105" t="s">
        <v>2213</v>
      </c>
      <c r="B398" s="118" t="s">
        <v>2214</v>
      </c>
      <c r="C398" s="104" t="s">
        <v>1149</v>
      </c>
      <c r="D398" s="104" t="s">
        <v>748</v>
      </c>
      <c r="E398" s="104" t="s">
        <v>2215</v>
      </c>
      <c r="F398" s="139" t="s">
        <v>2216</v>
      </c>
      <c r="G398" s="149">
        <v>43770</v>
      </c>
      <c r="H398" s="150">
        <v>43936</v>
      </c>
      <c r="I398" s="108">
        <v>44118</v>
      </c>
      <c r="J398" s="128" t="s">
        <v>1780</v>
      </c>
      <c r="K398" s="24" t="s">
        <v>73</v>
      </c>
      <c r="L398" s="24" t="s">
        <v>74</v>
      </c>
      <c r="M398" s="134">
        <f t="shared" si="8"/>
        <v>5</v>
      </c>
    </row>
    <row r="399" spans="1:13" ht="20.100000000000001" customHeight="1">
      <c r="A399" s="105" t="s">
        <v>2217</v>
      </c>
      <c r="B399" s="118" t="s">
        <v>2218</v>
      </c>
      <c r="C399" s="104" t="s">
        <v>1727</v>
      </c>
      <c r="D399" s="104" t="s">
        <v>748</v>
      </c>
      <c r="E399" s="104" t="s">
        <v>2219</v>
      </c>
      <c r="F399" s="139" t="s">
        <v>2220</v>
      </c>
      <c r="G399" s="149">
        <v>44092</v>
      </c>
      <c r="H399" s="150">
        <v>44165</v>
      </c>
      <c r="I399" s="108">
        <v>44225</v>
      </c>
      <c r="J399" s="128" t="s">
        <v>2221</v>
      </c>
      <c r="K399" s="24" t="s">
        <v>73</v>
      </c>
      <c r="L399" s="24" t="s">
        <v>74</v>
      </c>
      <c r="M399" s="134">
        <f t="shared" si="8"/>
        <v>2</v>
      </c>
    </row>
    <row r="400" spans="1:13" ht="20.100000000000001" customHeight="1">
      <c r="A400" s="105" t="s">
        <v>2222</v>
      </c>
      <c r="B400" s="118" t="s">
        <v>2223</v>
      </c>
      <c r="C400" s="104" t="s">
        <v>1806</v>
      </c>
      <c r="D400" s="104" t="s">
        <v>748</v>
      </c>
      <c r="E400" s="104" t="s">
        <v>2224</v>
      </c>
      <c r="F400" s="139" t="s">
        <v>2225</v>
      </c>
      <c r="G400" s="149">
        <v>44015</v>
      </c>
      <c r="H400" s="150">
        <v>44104</v>
      </c>
      <c r="I400" s="108">
        <v>44196</v>
      </c>
      <c r="J400" s="128" t="s">
        <v>2226</v>
      </c>
      <c r="K400" s="134" t="s">
        <v>36</v>
      </c>
      <c r="L400" s="24" t="s">
        <v>28</v>
      </c>
      <c r="M400" s="134">
        <f t="shared" si="8"/>
        <v>2</v>
      </c>
    </row>
    <row r="401" spans="1:13" ht="20.100000000000001" customHeight="1">
      <c r="A401" s="105" t="s">
        <v>2227</v>
      </c>
      <c r="B401" s="118" t="s">
        <v>2228</v>
      </c>
      <c r="C401" s="104" t="s">
        <v>1149</v>
      </c>
      <c r="D401" s="104" t="s">
        <v>748</v>
      </c>
      <c r="E401" s="104" t="s">
        <v>2229</v>
      </c>
      <c r="F401" s="139" t="s">
        <v>2230</v>
      </c>
      <c r="G401" s="149">
        <v>44033</v>
      </c>
      <c r="H401" s="150">
        <v>44196</v>
      </c>
      <c r="I401" s="108">
        <v>44380</v>
      </c>
      <c r="J401" s="128" t="s">
        <v>1780</v>
      </c>
      <c r="K401" s="24" t="s">
        <v>73</v>
      </c>
      <c r="L401" s="24" t="s">
        <v>74</v>
      </c>
      <c r="M401" s="134">
        <f t="shared" si="8"/>
        <v>5</v>
      </c>
    </row>
    <row r="402" spans="1:13" ht="20.100000000000001" customHeight="1">
      <c r="A402" s="105" t="s">
        <v>2231</v>
      </c>
      <c r="B402" s="118" t="s">
        <v>2232</v>
      </c>
      <c r="C402" s="104" t="s">
        <v>1727</v>
      </c>
      <c r="D402" s="104" t="s">
        <v>748</v>
      </c>
      <c r="E402" s="104" t="s">
        <v>2233</v>
      </c>
      <c r="F402" s="139" t="s">
        <v>2234</v>
      </c>
      <c r="G402" s="149">
        <v>44366</v>
      </c>
      <c r="H402" s="150">
        <v>44469</v>
      </c>
      <c r="I402" s="108">
        <v>44560</v>
      </c>
      <c r="J402" s="128" t="s">
        <v>1780</v>
      </c>
      <c r="K402" s="24" t="s">
        <v>73</v>
      </c>
      <c r="L402" s="24" t="s">
        <v>74</v>
      </c>
      <c r="M402" s="134">
        <f t="shared" si="8"/>
        <v>3</v>
      </c>
    </row>
    <row r="403" spans="1:13" ht="20.100000000000001" customHeight="1">
      <c r="A403" s="105" t="s">
        <v>2235</v>
      </c>
      <c r="B403" s="118" t="s">
        <v>2236</v>
      </c>
      <c r="C403" s="104" t="s">
        <v>1149</v>
      </c>
      <c r="D403" s="104" t="s">
        <v>748</v>
      </c>
      <c r="E403" s="104" t="s">
        <v>2237</v>
      </c>
      <c r="F403" s="139" t="s">
        <v>2238</v>
      </c>
      <c r="G403" s="149">
        <v>44397</v>
      </c>
      <c r="H403" s="150">
        <v>44560</v>
      </c>
      <c r="I403" s="110">
        <v>44925</v>
      </c>
      <c r="J403" t="s">
        <v>2239</v>
      </c>
      <c r="K403" s="24" t="s">
        <v>75</v>
      </c>
      <c r="L403" s="24" t="s">
        <v>103</v>
      </c>
      <c r="M403" s="134">
        <f t="shared" si="8"/>
        <v>5</v>
      </c>
    </row>
    <row r="404" spans="1:13" ht="20.100000000000001" customHeight="1">
      <c r="A404" s="105" t="s">
        <v>2240</v>
      </c>
      <c r="B404" s="117" t="s">
        <v>2241</v>
      </c>
      <c r="C404" s="104" t="s">
        <v>529</v>
      </c>
      <c r="D404" s="104" t="s">
        <v>530</v>
      </c>
      <c r="E404" s="104" t="s">
        <v>2242</v>
      </c>
      <c r="F404" s="139" t="s">
        <v>2243</v>
      </c>
      <c r="G404" s="149">
        <v>43154</v>
      </c>
      <c r="H404" s="150">
        <v>43332</v>
      </c>
      <c r="I404" s="109">
        <v>43516</v>
      </c>
      <c r="J404" s="129" t="s">
        <v>2244</v>
      </c>
      <c r="K404" s="24" t="s">
        <v>73</v>
      </c>
      <c r="L404" s="24" t="s">
        <v>74</v>
      </c>
      <c r="M404" s="134">
        <f t="shared" si="8"/>
        <v>5</v>
      </c>
    </row>
    <row r="405" spans="1:13" ht="20.100000000000001" customHeight="1">
      <c r="A405" s="105" t="s">
        <v>2245</v>
      </c>
      <c r="B405" s="118" t="s">
        <v>2246</v>
      </c>
      <c r="C405" s="104" t="s">
        <v>529</v>
      </c>
      <c r="D405" s="104" t="s">
        <v>570</v>
      </c>
      <c r="E405" s="104" t="s">
        <v>2247</v>
      </c>
      <c r="F405" s="139" t="s">
        <v>2248</v>
      </c>
      <c r="G405" s="149">
        <v>44114</v>
      </c>
      <c r="H405" s="150">
        <v>44287</v>
      </c>
      <c r="I405" s="110">
        <v>44470</v>
      </c>
      <c r="J405" t="s">
        <v>2249</v>
      </c>
      <c r="K405" s="24" t="s">
        <v>73</v>
      </c>
      <c r="L405" s="24" t="s">
        <v>74</v>
      </c>
      <c r="M405" s="134">
        <f t="shared" si="8"/>
        <v>5</v>
      </c>
    </row>
    <row r="406" spans="1:13" ht="20.100000000000001" customHeight="1">
      <c r="A406" s="105" t="s">
        <v>2250</v>
      </c>
      <c r="B406" s="118" t="s">
        <v>2251</v>
      </c>
      <c r="C406" s="104" t="s">
        <v>2252</v>
      </c>
      <c r="D406" s="104" t="s">
        <v>530</v>
      </c>
      <c r="E406" s="104" t="s">
        <v>2253</v>
      </c>
      <c r="F406" s="139" t="s">
        <v>2254</v>
      </c>
      <c r="G406" s="149">
        <v>44364</v>
      </c>
      <c r="H406" s="150">
        <v>44460</v>
      </c>
      <c r="I406" s="110"/>
      <c r="J406" s="128" t="s">
        <v>2255</v>
      </c>
      <c r="K406" s="24" t="s">
        <v>27</v>
      </c>
      <c r="L406" s="24" t="s">
        <v>28</v>
      </c>
      <c r="M406" s="134">
        <f t="shared" si="8"/>
        <v>3</v>
      </c>
    </row>
    <row r="407" spans="1:13" ht="20.100000000000001" customHeight="1">
      <c r="A407" s="105" t="s">
        <v>2256</v>
      </c>
      <c r="B407" s="118" t="s">
        <v>2257</v>
      </c>
      <c r="C407" s="104" t="s">
        <v>529</v>
      </c>
      <c r="D407" s="104" t="s">
        <v>530</v>
      </c>
      <c r="E407" s="104" t="s">
        <v>2258</v>
      </c>
      <c r="F407" s="139" t="s">
        <v>2259</v>
      </c>
      <c r="G407" s="149">
        <v>43449</v>
      </c>
      <c r="H407" s="150">
        <v>43627</v>
      </c>
      <c r="I407" s="109">
        <v>43810</v>
      </c>
      <c r="J407" s="129" t="s">
        <v>2260</v>
      </c>
      <c r="K407" s="24" t="s">
        <v>73</v>
      </c>
      <c r="L407" s="24" t="s">
        <v>74</v>
      </c>
      <c r="M407" s="134">
        <f t="shared" si="8"/>
        <v>5</v>
      </c>
    </row>
    <row r="408" spans="1:13" ht="20.100000000000001" customHeight="1">
      <c r="A408" s="105" t="s">
        <v>2261</v>
      </c>
      <c r="B408" s="118" t="s">
        <v>2262</v>
      </c>
      <c r="C408" s="104" t="s">
        <v>529</v>
      </c>
      <c r="D408" s="104" t="s">
        <v>570</v>
      </c>
      <c r="E408" s="104" t="s">
        <v>2263</v>
      </c>
      <c r="F408" s="139" t="s">
        <v>2264</v>
      </c>
      <c r="G408" s="149">
        <v>43159</v>
      </c>
      <c r="H408" s="150">
        <v>43343</v>
      </c>
      <c r="I408" s="110">
        <v>43524</v>
      </c>
      <c r="J408" s="128" t="s">
        <v>1359</v>
      </c>
      <c r="M408" s="134">
        <f t="shared" si="8"/>
        <v>6</v>
      </c>
    </row>
    <row r="409" spans="1:13" ht="20.100000000000001" customHeight="1">
      <c r="A409" s="105" t="s">
        <v>2265</v>
      </c>
      <c r="B409" s="118" t="s">
        <v>2266</v>
      </c>
      <c r="C409" s="104" t="s">
        <v>529</v>
      </c>
      <c r="D409" s="104" t="s">
        <v>530</v>
      </c>
      <c r="E409" s="104" t="s">
        <v>2267</v>
      </c>
      <c r="F409" s="139" t="s">
        <v>2268</v>
      </c>
      <c r="G409" s="149">
        <v>43623</v>
      </c>
      <c r="H409" s="150"/>
      <c r="I409" s="108"/>
      <c r="J409" s="128" t="s">
        <v>2269</v>
      </c>
      <c r="K409" s="24" t="s">
        <v>540</v>
      </c>
      <c r="L409" s="62" t="s">
        <v>0</v>
      </c>
      <c r="M409" s="134" t="e">
        <f t="shared" si="8"/>
        <v>#NUM!</v>
      </c>
    </row>
    <row r="410" spans="1:13" ht="20.100000000000001" customHeight="1">
      <c r="A410" s="105" t="s">
        <v>2270</v>
      </c>
      <c r="B410" s="118" t="s">
        <v>2271</v>
      </c>
      <c r="C410" s="104" t="s">
        <v>529</v>
      </c>
      <c r="D410" s="104" t="s">
        <v>530</v>
      </c>
      <c r="E410" s="104" t="s">
        <v>2272</v>
      </c>
      <c r="F410" s="139" t="s">
        <v>2273</v>
      </c>
      <c r="G410" s="149">
        <v>43985</v>
      </c>
      <c r="H410" s="150">
        <v>44316</v>
      </c>
      <c r="I410" s="108">
        <v>44439</v>
      </c>
      <c r="J410" s="128" t="s">
        <v>2274</v>
      </c>
      <c r="K410" s="24" t="s">
        <v>540</v>
      </c>
      <c r="L410" s="62" t="s">
        <v>0</v>
      </c>
      <c r="M410" s="134">
        <f t="shared" si="8"/>
        <v>10</v>
      </c>
    </row>
    <row r="411" spans="1:13" ht="20.100000000000001" customHeight="1">
      <c r="A411" s="105" t="s">
        <v>2275</v>
      </c>
      <c r="B411" s="118" t="s">
        <v>2276</v>
      </c>
      <c r="C411" s="104" t="s">
        <v>529</v>
      </c>
      <c r="D411" s="104" t="s">
        <v>530</v>
      </c>
      <c r="E411" s="104" t="s">
        <v>2277</v>
      </c>
      <c r="F411" s="139" t="s">
        <v>2278</v>
      </c>
      <c r="G411" s="149">
        <v>44252</v>
      </c>
      <c r="H411" s="150">
        <v>44286</v>
      </c>
      <c r="I411" s="108">
        <v>44561</v>
      </c>
      <c r="J411" s="128" t="s">
        <v>2274</v>
      </c>
      <c r="K411" s="24" t="s">
        <v>540</v>
      </c>
      <c r="L411" s="62" t="s">
        <v>0</v>
      </c>
      <c r="M411" s="134">
        <f t="shared" si="8"/>
        <v>1</v>
      </c>
    </row>
    <row r="412" spans="1:13" ht="20.100000000000001" customHeight="1">
      <c r="A412" s="105" t="s">
        <v>2279</v>
      </c>
      <c r="B412" s="118" t="s">
        <v>2280</v>
      </c>
      <c r="C412" s="104" t="s">
        <v>529</v>
      </c>
      <c r="D412" s="104" t="s">
        <v>570</v>
      </c>
      <c r="E412" s="104" t="s">
        <v>2281</v>
      </c>
      <c r="F412" s="139" t="s">
        <v>2282</v>
      </c>
      <c r="G412" s="149">
        <v>43697</v>
      </c>
      <c r="H412" s="150"/>
      <c r="I412" s="108"/>
      <c r="J412" s="128" t="s">
        <v>2283</v>
      </c>
      <c r="K412" s="24" t="s">
        <v>540</v>
      </c>
      <c r="L412" s="62" t="s">
        <v>0</v>
      </c>
      <c r="M412" s="134" t="e">
        <f t="shared" si="8"/>
        <v>#NUM!</v>
      </c>
    </row>
    <row r="413" spans="1:13" ht="20.100000000000001" customHeight="1">
      <c r="A413" s="105" t="s">
        <v>2284</v>
      </c>
      <c r="B413" s="118" t="s">
        <v>2285</v>
      </c>
      <c r="C413" s="104" t="s">
        <v>529</v>
      </c>
      <c r="D413" s="104" t="s">
        <v>560</v>
      </c>
      <c r="E413" s="104" t="s">
        <v>2286</v>
      </c>
      <c r="F413" s="139" t="s">
        <v>2287</v>
      </c>
      <c r="G413" s="149">
        <v>44252</v>
      </c>
      <c r="H413" s="150">
        <v>44286</v>
      </c>
      <c r="I413" s="108">
        <v>44561</v>
      </c>
      <c r="J413" s="128" t="s">
        <v>2274</v>
      </c>
      <c r="K413" s="24" t="s">
        <v>540</v>
      </c>
      <c r="L413" s="62" t="s">
        <v>0</v>
      </c>
      <c r="M413" s="134">
        <f t="shared" si="8"/>
        <v>1</v>
      </c>
    </row>
    <row r="414" spans="1:13" ht="20.100000000000001" customHeight="1">
      <c r="A414" s="105" t="s">
        <v>2288</v>
      </c>
      <c r="B414" s="118" t="s">
        <v>2289</v>
      </c>
      <c r="C414" s="104" t="s">
        <v>2290</v>
      </c>
      <c r="D414" s="104" t="s">
        <v>570</v>
      </c>
      <c r="E414" s="104" t="s">
        <v>2291</v>
      </c>
      <c r="F414" s="139" t="s">
        <v>2292</v>
      </c>
      <c r="G414" s="149">
        <v>44364</v>
      </c>
      <c r="H414" s="150">
        <v>44469</v>
      </c>
      <c r="I414" s="108"/>
      <c r="J414" s="128" t="s">
        <v>2293</v>
      </c>
      <c r="K414" s="24" t="s">
        <v>540</v>
      </c>
      <c r="L414" s="62" t="s">
        <v>0</v>
      </c>
      <c r="M414" s="134">
        <f t="shared" si="8"/>
        <v>3</v>
      </c>
    </row>
    <row r="415" spans="1:13" ht="20.100000000000001" customHeight="1">
      <c r="A415" s="105" t="s">
        <v>2288</v>
      </c>
      <c r="B415" s="118" t="s">
        <v>2294</v>
      </c>
      <c r="C415" s="104" t="s">
        <v>2290</v>
      </c>
      <c r="D415" s="104" t="s">
        <v>570</v>
      </c>
      <c r="E415" s="104" t="s">
        <v>2295</v>
      </c>
      <c r="F415" s="139" t="s">
        <v>2296</v>
      </c>
      <c r="G415" s="149">
        <v>44364</v>
      </c>
      <c r="H415" s="150">
        <v>44469</v>
      </c>
      <c r="I415" s="108"/>
      <c r="J415" s="128" t="s">
        <v>2293</v>
      </c>
      <c r="K415" s="24" t="s">
        <v>540</v>
      </c>
      <c r="L415" s="62" t="s">
        <v>0</v>
      </c>
      <c r="M415" s="134">
        <f t="shared" si="8"/>
        <v>3</v>
      </c>
    </row>
    <row r="416" spans="1:13" ht="20.100000000000001" customHeight="1">
      <c r="A416" s="105" t="s">
        <v>2297</v>
      </c>
      <c r="B416" s="118" t="s">
        <v>2298</v>
      </c>
      <c r="C416" s="104" t="s">
        <v>2299</v>
      </c>
      <c r="D416" s="104" t="s">
        <v>530</v>
      </c>
      <c r="E416" s="104" t="s">
        <v>2300</v>
      </c>
      <c r="F416" s="139" t="s">
        <v>2301</v>
      </c>
      <c r="G416" s="149">
        <v>44468</v>
      </c>
      <c r="H416" s="150">
        <v>44647</v>
      </c>
      <c r="I416" s="108"/>
      <c r="J416" s="128" t="s">
        <v>2293</v>
      </c>
      <c r="K416" s="24" t="s">
        <v>540</v>
      </c>
      <c r="L416" s="62" t="s">
        <v>0</v>
      </c>
      <c r="M416" s="134">
        <f t="shared" si="8"/>
        <v>5</v>
      </c>
    </row>
    <row r="417" spans="1:13" ht="20.100000000000001" customHeight="1">
      <c r="A417" s="105" t="s">
        <v>2302</v>
      </c>
      <c r="B417" s="118" t="s">
        <v>2303</v>
      </c>
      <c r="C417" s="104" t="s">
        <v>529</v>
      </c>
      <c r="D417" s="104" t="s">
        <v>606</v>
      </c>
      <c r="E417" s="104" t="s">
        <v>2304</v>
      </c>
      <c r="F417" s="139" t="s">
        <v>2305</v>
      </c>
      <c r="G417" s="149">
        <v>43596</v>
      </c>
      <c r="H417" s="150"/>
      <c r="I417" s="109">
        <v>43911</v>
      </c>
      <c r="J417" s="128" t="s">
        <v>2306</v>
      </c>
      <c r="K417" s="24" t="s">
        <v>540</v>
      </c>
      <c r="L417" s="24" t="s">
        <v>0</v>
      </c>
      <c r="M417" s="134" t="e">
        <f t="shared" si="8"/>
        <v>#NUM!</v>
      </c>
    </row>
    <row r="418" spans="1:13" ht="20.100000000000001" customHeight="1">
      <c r="A418" s="105" t="s">
        <v>2307</v>
      </c>
      <c r="B418" s="118" t="s">
        <v>2308</v>
      </c>
      <c r="C418" s="104" t="s">
        <v>529</v>
      </c>
      <c r="D418" s="104" t="s">
        <v>1425</v>
      </c>
      <c r="E418" s="104" t="s">
        <v>2309</v>
      </c>
      <c r="F418" s="139" t="s">
        <v>2310</v>
      </c>
      <c r="G418" s="149">
        <v>43910</v>
      </c>
      <c r="H418" s="150"/>
      <c r="I418" s="108"/>
      <c r="J418" s="128"/>
      <c r="M418" s="134" t="e">
        <f t="shared" si="8"/>
        <v>#NUM!</v>
      </c>
    </row>
    <row r="419" spans="1:13" ht="20.100000000000001" customHeight="1">
      <c r="A419" s="105" t="s">
        <v>2311</v>
      </c>
      <c r="B419" s="118" t="s">
        <v>2312</v>
      </c>
      <c r="C419" s="104" t="s">
        <v>529</v>
      </c>
      <c r="D419" s="104" t="s">
        <v>530</v>
      </c>
      <c r="E419" s="104" t="s">
        <v>2313</v>
      </c>
      <c r="F419" s="139" t="s">
        <v>2314</v>
      </c>
      <c r="G419" s="149">
        <v>43916</v>
      </c>
      <c r="H419" s="150"/>
      <c r="I419" s="108"/>
      <c r="J419" s="128"/>
      <c r="M419" s="134" t="e">
        <f t="shared" si="8"/>
        <v>#NUM!</v>
      </c>
    </row>
    <row r="420" spans="1:13" ht="20.100000000000001" customHeight="1">
      <c r="A420" s="105" t="s">
        <v>2315</v>
      </c>
      <c r="B420" s="118" t="s">
        <v>2316</v>
      </c>
      <c r="C420" s="104" t="s">
        <v>2317</v>
      </c>
      <c r="D420" s="104" t="s">
        <v>693</v>
      </c>
      <c r="E420" s="104" t="s">
        <v>2318</v>
      </c>
      <c r="F420" s="139" t="s">
        <v>2319</v>
      </c>
      <c r="G420" s="149">
        <v>44527</v>
      </c>
      <c r="H420" s="150">
        <v>44707</v>
      </c>
      <c r="I420" s="108"/>
      <c r="J420" s="128" t="s">
        <v>2320</v>
      </c>
      <c r="K420" s="24" t="s">
        <v>540</v>
      </c>
      <c r="L420" s="62" t="s">
        <v>0</v>
      </c>
      <c r="M420" s="134">
        <f t="shared" si="8"/>
        <v>5</v>
      </c>
    </row>
    <row r="421" spans="1:13" ht="20.100000000000001" customHeight="1">
      <c r="A421" s="105" t="s">
        <v>2321</v>
      </c>
      <c r="B421" s="118" t="s">
        <v>2322</v>
      </c>
      <c r="C421" s="104" t="s">
        <v>529</v>
      </c>
      <c r="D421" s="104" t="s">
        <v>1425</v>
      </c>
      <c r="E421" s="104" t="s">
        <v>2323</v>
      </c>
      <c r="F421" s="139" t="s">
        <v>2324</v>
      </c>
      <c r="G421" s="149">
        <v>43944</v>
      </c>
      <c r="H421" s="150"/>
      <c r="I421" s="108"/>
      <c r="J421" s="128" t="s">
        <v>2325</v>
      </c>
      <c r="K421" s="24" t="s">
        <v>73</v>
      </c>
      <c r="L421" s="24" t="s">
        <v>74</v>
      </c>
      <c r="M421" s="134" t="e">
        <f t="shared" si="8"/>
        <v>#NUM!</v>
      </c>
    </row>
    <row r="422" spans="1:13" ht="20.100000000000001" customHeight="1">
      <c r="A422" s="105" t="s">
        <v>2326</v>
      </c>
      <c r="B422" s="118" t="s">
        <v>2327</v>
      </c>
      <c r="C422" s="104" t="s">
        <v>2328</v>
      </c>
      <c r="D422" s="104" t="s">
        <v>570</v>
      </c>
      <c r="E422" s="104" t="s">
        <v>2329</v>
      </c>
      <c r="F422" s="139" t="s">
        <v>2330</v>
      </c>
      <c r="G422" s="149">
        <v>44510</v>
      </c>
      <c r="H422" s="150">
        <v>44690</v>
      </c>
      <c r="I422" s="108"/>
      <c r="J422" s="128" t="s">
        <v>2331</v>
      </c>
      <c r="K422" s="24" t="s">
        <v>36</v>
      </c>
      <c r="L422" s="24" t="s">
        <v>28</v>
      </c>
      <c r="M422" s="134">
        <f t="shared" si="8"/>
        <v>5</v>
      </c>
    </row>
    <row r="423" spans="1:13" ht="20.100000000000001" customHeight="1">
      <c r="A423" s="106" t="s">
        <v>2332</v>
      </c>
      <c r="B423" s="118" t="s">
        <v>2333</v>
      </c>
      <c r="C423" s="104" t="s">
        <v>192</v>
      </c>
      <c r="D423" s="104" t="s">
        <v>693</v>
      </c>
      <c r="E423" s="104" t="s">
        <v>2334</v>
      </c>
      <c r="F423" s="139" t="s">
        <v>2335</v>
      </c>
      <c r="G423" s="149">
        <v>43880</v>
      </c>
      <c r="H423" s="150">
        <v>44227</v>
      </c>
      <c r="I423" s="110">
        <v>44398</v>
      </c>
      <c r="J423" t="s">
        <v>2336</v>
      </c>
      <c r="K423" s="24" t="s">
        <v>36</v>
      </c>
      <c r="L423" s="24" t="s">
        <v>28</v>
      </c>
      <c r="M423" s="134">
        <f t="shared" si="8"/>
        <v>11</v>
      </c>
    </row>
    <row r="424" spans="1:13" ht="20.100000000000001" customHeight="1">
      <c r="A424" s="106" t="s">
        <v>2337</v>
      </c>
      <c r="B424" s="118" t="s">
        <v>2338</v>
      </c>
      <c r="C424" s="104" t="s">
        <v>192</v>
      </c>
      <c r="D424" s="104" t="s">
        <v>693</v>
      </c>
      <c r="E424" s="104" t="s">
        <v>2339</v>
      </c>
      <c r="F424" s="139" t="s">
        <v>2340</v>
      </c>
      <c r="G424" s="149">
        <v>43690</v>
      </c>
      <c r="H424" s="150">
        <v>43861</v>
      </c>
      <c r="I424" s="108">
        <v>43951</v>
      </c>
      <c r="J424" t="s">
        <v>210</v>
      </c>
      <c r="K424" s="24" t="s">
        <v>73</v>
      </c>
      <c r="L424" s="24" t="s">
        <v>74</v>
      </c>
      <c r="M424" s="134">
        <f t="shared" si="8"/>
        <v>5</v>
      </c>
    </row>
    <row r="425" spans="1:13" ht="20.100000000000001" customHeight="1">
      <c r="A425" s="106" t="s">
        <v>2341</v>
      </c>
      <c r="B425" s="118" t="s">
        <v>2342</v>
      </c>
      <c r="C425" s="104" t="s">
        <v>192</v>
      </c>
      <c r="D425" s="104" t="s">
        <v>693</v>
      </c>
      <c r="E425" s="104" t="s">
        <v>2343</v>
      </c>
      <c r="F425" s="139" t="s">
        <v>2344</v>
      </c>
      <c r="G425" s="149">
        <v>43690</v>
      </c>
      <c r="H425" s="150">
        <v>43861</v>
      </c>
      <c r="I425" s="110">
        <v>43951</v>
      </c>
      <c r="J425" t="s">
        <v>210</v>
      </c>
      <c r="K425" s="24" t="s">
        <v>73</v>
      </c>
      <c r="L425" s="24" t="s">
        <v>74</v>
      </c>
      <c r="M425" s="134">
        <f t="shared" si="8"/>
        <v>5</v>
      </c>
    </row>
    <row r="426" spans="1:13" ht="20.100000000000001" customHeight="1">
      <c r="A426" s="106" t="s">
        <v>2345</v>
      </c>
      <c r="B426" s="118" t="s">
        <v>2346</v>
      </c>
      <c r="C426" s="104" t="s">
        <v>192</v>
      </c>
      <c r="D426" s="104" t="s">
        <v>740</v>
      </c>
      <c r="E426" s="104" t="s">
        <v>2347</v>
      </c>
      <c r="F426" s="139" t="s">
        <v>2348</v>
      </c>
      <c r="G426" s="149">
        <v>43712</v>
      </c>
      <c r="H426" s="150">
        <v>43886</v>
      </c>
      <c r="I426" s="108">
        <v>44068</v>
      </c>
      <c r="J426" t="s">
        <v>210</v>
      </c>
      <c r="K426" s="24" t="s">
        <v>73</v>
      </c>
      <c r="L426" s="24" t="s">
        <v>74</v>
      </c>
      <c r="M426" s="134">
        <f t="shared" si="8"/>
        <v>5</v>
      </c>
    </row>
    <row r="427" spans="1:13" ht="20.100000000000001" customHeight="1">
      <c r="A427" s="105" t="s">
        <v>2349</v>
      </c>
      <c r="B427" s="118" t="s">
        <v>2350</v>
      </c>
      <c r="C427" s="104" t="s">
        <v>192</v>
      </c>
      <c r="D427" s="104" t="s">
        <v>740</v>
      </c>
      <c r="E427" s="104" t="s">
        <v>2351</v>
      </c>
      <c r="F427" s="139" t="s">
        <v>2352</v>
      </c>
      <c r="G427" s="149">
        <v>43729</v>
      </c>
      <c r="H427" s="150">
        <v>43908</v>
      </c>
      <c r="I427" s="108">
        <v>44092</v>
      </c>
      <c r="J427" t="s">
        <v>210</v>
      </c>
      <c r="K427" s="24" t="s">
        <v>73</v>
      </c>
      <c r="L427" s="24" t="s">
        <v>74</v>
      </c>
      <c r="M427" s="134">
        <f t="shared" si="8"/>
        <v>5</v>
      </c>
    </row>
    <row r="428" spans="1:13" ht="20.100000000000001" customHeight="1">
      <c r="A428" s="106" t="s">
        <v>2349</v>
      </c>
      <c r="B428" s="118" t="s">
        <v>2353</v>
      </c>
      <c r="C428" s="104" t="s">
        <v>192</v>
      </c>
      <c r="D428" s="104" t="s">
        <v>740</v>
      </c>
      <c r="E428" s="104" t="s">
        <v>2351</v>
      </c>
      <c r="F428" s="139" t="s">
        <v>2352</v>
      </c>
      <c r="G428" s="149">
        <v>43732</v>
      </c>
      <c r="H428" s="150">
        <v>43908</v>
      </c>
      <c r="I428" s="108">
        <v>44092</v>
      </c>
      <c r="J428" t="s">
        <v>210</v>
      </c>
      <c r="K428" s="24" t="s">
        <v>73</v>
      </c>
      <c r="L428" s="24" t="s">
        <v>74</v>
      </c>
      <c r="M428" s="134">
        <f t="shared" si="8"/>
        <v>5</v>
      </c>
    </row>
    <row r="429" spans="1:13" ht="20.100000000000001" customHeight="1">
      <c r="A429" s="106" t="s">
        <v>2354</v>
      </c>
      <c r="B429" s="118" t="s">
        <v>2355</v>
      </c>
      <c r="C429" s="104" t="s">
        <v>2356</v>
      </c>
      <c r="D429" s="104" t="s">
        <v>530</v>
      </c>
      <c r="E429" s="104" t="s">
        <v>2357</v>
      </c>
      <c r="F429" s="139" t="s">
        <v>2358</v>
      </c>
      <c r="G429" s="149">
        <v>44380</v>
      </c>
      <c r="H429" s="150">
        <v>44742</v>
      </c>
      <c r="I429" s="108"/>
      <c r="J429" s="128" t="s">
        <v>2359</v>
      </c>
      <c r="K429" s="24" t="s">
        <v>73</v>
      </c>
      <c r="L429" s="24" t="s">
        <v>74</v>
      </c>
      <c r="M429" s="134">
        <f t="shared" si="8"/>
        <v>11</v>
      </c>
    </row>
    <row r="430" spans="1:13" ht="20.100000000000001" customHeight="1">
      <c r="A430" s="106" t="s">
        <v>2360</v>
      </c>
      <c r="B430" s="118" t="s">
        <v>2361</v>
      </c>
      <c r="C430" s="104" t="s">
        <v>192</v>
      </c>
      <c r="D430" s="104" t="s">
        <v>2123</v>
      </c>
      <c r="E430" s="104" t="s">
        <v>2362</v>
      </c>
      <c r="F430" s="139" t="s">
        <v>2363</v>
      </c>
      <c r="G430" s="149">
        <v>43418</v>
      </c>
      <c r="H430" s="150">
        <v>43830</v>
      </c>
      <c r="I430" s="110">
        <v>44012</v>
      </c>
      <c r="J430" t="s">
        <v>299</v>
      </c>
      <c r="K430" s="24" t="s">
        <v>36</v>
      </c>
      <c r="L430" s="24" t="s">
        <v>28</v>
      </c>
      <c r="M430" s="134">
        <f t="shared" si="8"/>
        <v>13</v>
      </c>
    </row>
    <row r="431" spans="1:13" ht="20.100000000000001" customHeight="1">
      <c r="A431" s="106" t="s">
        <v>2364</v>
      </c>
      <c r="B431" s="118" t="s">
        <v>2365</v>
      </c>
      <c r="C431" s="104" t="s">
        <v>2366</v>
      </c>
      <c r="D431" s="104" t="s">
        <v>693</v>
      </c>
      <c r="E431" s="104" t="s">
        <v>2367</v>
      </c>
      <c r="F431" s="139" t="s">
        <v>2368</v>
      </c>
      <c r="G431" s="149">
        <v>44408</v>
      </c>
      <c r="H431" s="150">
        <v>44593</v>
      </c>
      <c r="I431" s="108"/>
      <c r="J431" s="128" t="s">
        <v>2369</v>
      </c>
      <c r="K431" s="24" t="s">
        <v>73</v>
      </c>
      <c r="L431" s="24" t="s">
        <v>74</v>
      </c>
      <c r="M431" s="134">
        <f t="shared" si="8"/>
        <v>6</v>
      </c>
    </row>
    <row r="432" spans="1:13" ht="20.100000000000001" customHeight="1">
      <c r="A432" s="106" t="s">
        <v>2364</v>
      </c>
      <c r="B432" s="118" t="s">
        <v>2370</v>
      </c>
      <c r="C432" s="104" t="s">
        <v>2371</v>
      </c>
      <c r="D432" s="104" t="s">
        <v>693</v>
      </c>
      <c r="E432" s="104" t="s">
        <v>2367</v>
      </c>
      <c r="F432" s="139" t="s">
        <v>2372</v>
      </c>
      <c r="G432" s="149">
        <v>44413</v>
      </c>
      <c r="H432" s="150">
        <v>44593</v>
      </c>
      <c r="I432" s="108"/>
      <c r="J432" s="128" t="s">
        <v>2369</v>
      </c>
      <c r="K432" s="24" t="s">
        <v>73</v>
      </c>
      <c r="L432" s="24" t="s">
        <v>74</v>
      </c>
      <c r="M432" s="134">
        <f t="shared" si="8"/>
        <v>5</v>
      </c>
    </row>
    <row r="433" spans="1:13" ht="20.100000000000001" customHeight="1">
      <c r="A433" s="106" t="s">
        <v>2373</v>
      </c>
      <c r="B433" s="118" t="s">
        <v>2374</v>
      </c>
      <c r="C433" s="104" t="s">
        <v>2375</v>
      </c>
      <c r="D433" s="104" t="s">
        <v>530</v>
      </c>
      <c r="E433" s="104" t="s">
        <v>2376</v>
      </c>
      <c r="F433" s="139" t="s">
        <v>2377</v>
      </c>
      <c r="G433" s="149">
        <v>44142</v>
      </c>
      <c r="H433" s="150">
        <v>44321</v>
      </c>
      <c r="I433" s="108"/>
      <c r="J433" s="128" t="s">
        <v>2359</v>
      </c>
      <c r="K433" s="24" t="s">
        <v>73</v>
      </c>
      <c r="L433" s="24" t="s">
        <v>74</v>
      </c>
      <c r="M433" s="134">
        <f t="shared" si="8"/>
        <v>5</v>
      </c>
    </row>
    <row r="434" spans="1:13" ht="20.100000000000001" customHeight="1">
      <c r="A434" s="106" t="s">
        <v>2378</v>
      </c>
      <c r="B434" s="118" t="s">
        <v>2379</v>
      </c>
      <c r="C434" s="104" t="s">
        <v>2380</v>
      </c>
      <c r="D434" s="104" t="s">
        <v>740</v>
      </c>
      <c r="E434" s="104" t="s">
        <v>2381</v>
      </c>
      <c r="F434" s="139" t="s">
        <v>2382</v>
      </c>
      <c r="G434" s="149">
        <v>44517</v>
      </c>
      <c r="H434" s="150">
        <v>44697</v>
      </c>
      <c r="I434" s="110"/>
      <c r="J434" s="128" t="s">
        <v>2383</v>
      </c>
      <c r="K434" s="24" t="s">
        <v>73</v>
      </c>
      <c r="L434" s="24" t="s">
        <v>74</v>
      </c>
      <c r="M434" s="134">
        <f t="shared" si="8"/>
        <v>5</v>
      </c>
    </row>
    <row r="435" spans="1:13" ht="20.100000000000001" customHeight="1">
      <c r="A435" s="106" t="s">
        <v>2384</v>
      </c>
      <c r="B435" s="118" t="s">
        <v>2385</v>
      </c>
      <c r="C435" s="104" t="s">
        <v>192</v>
      </c>
      <c r="D435" s="104" t="s">
        <v>740</v>
      </c>
      <c r="E435" s="104" t="s">
        <v>2386</v>
      </c>
      <c r="F435" s="139" t="s">
        <v>2387</v>
      </c>
      <c r="G435" s="149">
        <v>43277</v>
      </c>
      <c r="H435" s="150">
        <v>43454</v>
      </c>
      <c r="I435" s="108">
        <v>43636</v>
      </c>
      <c r="J435" t="s">
        <v>2388</v>
      </c>
      <c r="K435" s="24" t="s">
        <v>73</v>
      </c>
      <c r="L435" s="24" t="s">
        <v>74</v>
      </c>
      <c r="M435" s="134">
        <f t="shared" si="8"/>
        <v>5</v>
      </c>
    </row>
    <row r="436" spans="1:13" ht="20.100000000000001" customHeight="1">
      <c r="A436" s="105" t="s">
        <v>2389</v>
      </c>
      <c r="B436" s="118" t="s">
        <v>2390</v>
      </c>
      <c r="C436" s="104" t="s">
        <v>763</v>
      </c>
      <c r="D436" s="104" t="s">
        <v>748</v>
      </c>
      <c r="E436" s="104" t="s">
        <v>777</v>
      </c>
      <c r="F436" s="139" t="s">
        <v>2391</v>
      </c>
      <c r="G436" s="149">
        <v>43841</v>
      </c>
      <c r="H436" s="150">
        <v>43992</v>
      </c>
      <c r="I436" s="108">
        <v>44207</v>
      </c>
      <c r="J436" s="128" t="s">
        <v>2392</v>
      </c>
      <c r="K436" s="24" t="s">
        <v>36</v>
      </c>
      <c r="L436" s="24" t="s">
        <v>28</v>
      </c>
      <c r="M436" s="134">
        <f t="shared" si="8"/>
        <v>4</v>
      </c>
    </row>
    <row r="437" spans="1:13" ht="20.100000000000001" customHeight="1">
      <c r="A437" s="105" t="s">
        <v>2393</v>
      </c>
      <c r="B437" s="118" t="s">
        <v>2394</v>
      </c>
      <c r="C437" s="104" t="s">
        <v>763</v>
      </c>
      <c r="D437" s="104" t="s">
        <v>748</v>
      </c>
      <c r="E437" s="104" t="s">
        <v>777</v>
      </c>
      <c r="F437" s="139" t="s">
        <v>2395</v>
      </c>
      <c r="G437" s="149">
        <v>43841</v>
      </c>
      <c r="H437" s="150">
        <v>43992</v>
      </c>
      <c r="I437" s="108">
        <v>44207</v>
      </c>
      <c r="J437" s="128" t="s">
        <v>2392</v>
      </c>
      <c r="K437" s="24" t="s">
        <v>36</v>
      </c>
      <c r="L437" s="24" t="s">
        <v>28</v>
      </c>
      <c r="M437" s="134">
        <f t="shared" si="8"/>
        <v>4</v>
      </c>
    </row>
    <row r="438" spans="1:13" ht="20.100000000000001" customHeight="1">
      <c r="A438" s="105" t="s">
        <v>2396</v>
      </c>
      <c r="B438" s="118" t="s">
        <v>148</v>
      </c>
      <c r="C438" s="104" t="s">
        <v>747</v>
      </c>
      <c r="D438" s="104" t="s">
        <v>748</v>
      </c>
      <c r="E438" s="104" t="s">
        <v>2397</v>
      </c>
      <c r="F438" s="139" t="s">
        <v>2398</v>
      </c>
      <c r="G438" s="149">
        <v>44230</v>
      </c>
      <c r="H438" s="150">
        <v>44410</v>
      </c>
      <c r="I438" s="109">
        <v>44594</v>
      </c>
      <c r="J438" s="128" t="s">
        <v>2399</v>
      </c>
      <c r="K438" s="24" t="s">
        <v>27</v>
      </c>
      <c r="L438" s="24" t="s">
        <v>28</v>
      </c>
      <c r="M438" s="134">
        <f t="shared" si="8"/>
        <v>5</v>
      </c>
    </row>
    <row r="439" spans="1:13" ht="20.100000000000001" customHeight="1">
      <c r="A439" s="105" t="s">
        <v>2400</v>
      </c>
      <c r="B439" s="118" t="s">
        <v>151</v>
      </c>
      <c r="C439" s="104" t="s">
        <v>747</v>
      </c>
      <c r="D439" s="104" t="s">
        <v>748</v>
      </c>
      <c r="E439" s="104" t="s">
        <v>825</v>
      </c>
      <c r="F439" s="139" t="s">
        <v>2401</v>
      </c>
      <c r="G439" s="149">
        <v>43120</v>
      </c>
      <c r="H439" s="150">
        <v>43300</v>
      </c>
      <c r="I439" s="108">
        <v>43484</v>
      </c>
      <c r="J439" s="128" t="s">
        <v>857</v>
      </c>
      <c r="K439" s="24" t="s">
        <v>27</v>
      </c>
      <c r="L439" s="24" t="s">
        <v>28</v>
      </c>
      <c r="M439" s="134">
        <f t="shared" si="8"/>
        <v>5</v>
      </c>
    </row>
    <row r="440" spans="1:13" ht="20.100000000000001" customHeight="1">
      <c r="A440" s="105" t="s">
        <v>2402</v>
      </c>
      <c r="B440" s="118" t="s">
        <v>154</v>
      </c>
      <c r="C440" s="104" t="s">
        <v>747</v>
      </c>
      <c r="D440" s="104" t="s">
        <v>782</v>
      </c>
      <c r="E440" s="104" t="s">
        <v>2403</v>
      </c>
      <c r="F440" s="139" t="s">
        <v>2404</v>
      </c>
      <c r="G440" s="149">
        <v>44253</v>
      </c>
      <c r="H440" s="150">
        <v>44434</v>
      </c>
      <c r="I440" s="108">
        <v>44618</v>
      </c>
      <c r="J440" s="128" t="s">
        <v>2405</v>
      </c>
      <c r="K440" s="24" t="s">
        <v>73</v>
      </c>
      <c r="L440" s="24" t="s">
        <v>74</v>
      </c>
      <c r="M440" s="134">
        <f t="shared" si="8"/>
        <v>6</v>
      </c>
    </row>
    <row r="441" spans="1:13" ht="20.100000000000001" customHeight="1">
      <c r="A441" s="105" t="s">
        <v>2406</v>
      </c>
      <c r="B441" s="118" t="s">
        <v>2407</v>
      </c>
      <c r="C441" s="104" t="s">
        <v>747</v>
      </c>
      <c r="D441" s="104" t="s">
        <v>782</v>
      </c>
      <c r="E441" s="104" t="s">
        <v>2408</v>
      </c>
      <c r="F441" s="139" t="s">
        <v>2409</v>
      </c>
      <c r="G441" s="149">
        <v>43497</v>
      </c>
      <c r="H441" s="150">
        <v>43677</v>
      </c>
      <c r="I441" s="108">
        <v>43861</v>
      </c>
      <c r="J441" s="128" t="s">
        <v>2410</v>
      </c>
      <c r="K441" s="24" t="s">
        <v>27</v>
      </c>
      <c r="L441" s="24" t="s">
        <v>28</v>
      </c>
      <c r="M441" s="134">
        <f t="shared" si="8"/>
        <v>5</v>
      </c>
    </row>
    <row r="442" spans="1:13" ht="20.100000000000001" customHeight="1">
      <c r="A442" s="105" t="s">
        <v>2411</v>
      </c>
      <c r="B442" s="118" t="s">
        <v>2412</v>
      </c>
      <c r="C442" s="104" t="s">
        <v>747</v>
      </c>
      <c r="D442" s="104" t="s">
        <v>782</v>
      </c>
      <c r="E442" s="104" t="s">
        <v>2413</v>
      </c>
      <c r="F442" s="139" t="s">
        <v>2414</v>
      </c>
      <c r="G442" s="149">
        <v>43182</v>
      </c>
      <c r="H442" s="150">
        <v>43366</v>
      </c>
      <c r="I442" s="109">
        <v>43547</v>
      </c>
      <c r="J442" s="128" t="s">
        <v>2405</v>
      </c>
      <c r="K442" s="24" t="s">
        <v>73</v>
      </c>
      <c r="L442" s="24" t="s">
        <v>74</v>
      </c>
      <c r="M442" s="134">
        <f t="shared" si="8"/>
        <v>6</v>
      </c>
    </row>
    <row r="443" spans="1:13" ht="20.100000000000001" customHeight="1">
      <c r="A443" s="105" t="s">
        <v>2415</v>
      </c>
      <c r="B443" s="118" t="s">
        <v>2416</v>
      </c>
      <c r="C443" s="104" t="s">
        <v>747</v>
      </c>
      <c r="D443" s="104" t="s">
        <v>782</v>
      </c>
      <c r="E443" s="104" t="s">
        <v>2417</v>
      </c>
      <c r="F443" s="139" t="s">
        <v>2418</v>
      </c>
      <c r="G443" s="149">
        <v>43545</v>
      </c>
      <c r="H443" s="150">
        <v>43804</v>
      </c>
      <c r="I443" s="108">
        <v>43987</v>
      </c>
      <c r="J443" s="128" t="s">
        <v>2419</v>
      </c>
      <c r="K443" s="24" t="s">
        <v>73</v>
      </c>
      <c r="L443" s="24" t="s">
        <v>74</v>
      </c>
      <c r="M443" s="134">
        <f t="shared" si="8"/>
        <v>8</v>
      </c>
    </row>
    <row r="444" spans="1:13" ht="20.100000000000001" customHeight="1">
      <c r="A444" s="105" t="s">
        <v>2415</v>
      </c>
      <c r="B444" s="118" t="s">
        <v>2420</v>
      </c>
      <c r="C444" s="104" t="s">
        <v>747</v>
      </c>
      <c r="D444" s="104" t="s">
        <v>782</v>
      </c>
      <c r="E444" s="104" t="s">
        <v>2417</v>
      </c>
      <c r="F444" s="139" t="s">
        <v>2421</v>
      </c>
      <c r="G444" s="149">
        <v>43622</v>
      </c>
      <c r="H444" s="150">
        <v>43804</v>
      </c>
      <c r="I444" s="108">
        <v>43987</v>
      </c>
      <c r="J444" s="128" t="s">
        <v>2419</v>
      </c>
      <c r="K444" s="24" t="s">
        <v>73</v>
      </c>
      <c r="L444" s="24" t="s">
        <v>74</v>
      </c>
      <c r="M444" s="134">
        <f t="shared" si="8"/>
        <v>5</v>
      </c>
    </row>
    <row r="445" spans="1:13" ht="20.100000000000001" customHeight="1">
      <c r="A445" s="105" t="s">
        <v>2422</v>
      </c>
      <c r="B445" s="118" t="s">
        <v>2423</v>
      </c>
      <c r="C445" s="104" t="s">
        <v>763</v>
      </c>
      <c r="D445" s="104" t="s">
        <v>748</v>
      </c>
      <c r="E445" s="104" t="s">
        <v>764</v>
      </c>
      <c r="F445" s="139" t="s">
        <v>2424</v>
      </c>
      <c r="G445" s="149">
        <v>43554</v>
      </c>
      <c r="H445" s="150">
        <v>43581</v>
      </c>
      <c r="I445" s="108">
        <v>43763</v>
      </c>
      <c r="J445" s="128" t="s">
        <v>789</v>
      </c>
      <c r="K445" s="24" t="s">
        <v>36</v>
      </c>
      <c r="L445" s="24" t="s">
        <v>28</v>
      </c>
      <c r="M445" s="134">
        <f t="shared" si="8"/>
        <v>0</v>
      </c>
    </row>
    <row r="446" spans="1:13" ht="20.100000000000001" customHeight="1">
      <c r="A446" s="105" t="s">
        <v>2425</v>
      </c>
      <c r="B446" s="118" t="s">
        <v>2426</v>
      </c>
      <c r="C446" s="104" t="s">
        <v>747</v>
      </c>
      <c r="D446" s="104" t="s">
        <v>782</v>
      </c>
      <c r="E446" s="104" t="s">
        <v>2413</v>
      </c>
      <c r="F446" s="139" t="s">
        <v>2427</v>
      </c>
      <c r="G446" s="149">
        <v>44312</v>
      </c>
      <c r="H446" s="150">
        <v>44492</v>
      </c>
      <c r="I446" s="108">
        <v>44674</v>
      </c>
      <c r="J446" s="128" t="s">
        <v>2405</v>
      </c>
      <c r="K446" s="24" t="s">
        <v>73</v>
      </c>
      <c r="L446" s="24" t="s">
        <v>74</v>
      </c>
      <c r="M446" s="134">
        <f t="shared" si="8"/>
        <v>5</v>
      </c>
    </row>
    <row r="447" spans="1:13" ht="20.100000000000001" customHeight="1">
      <c r="A447" s="105" t="s">
        <v>2428</v>
      </c>
      <c r="B447" s="118" t="s">
        <v>158</v>
      </c>
      <c r="C447" s="104" t="s">
        <v>747</v>
      </c>
      <c r="D447" s="104" t="s">
        <v>748</v>
      </c>
      <c r="E447" s="104" t="s">
        <v>2429</v>
      </c>
      <c r="F447" s="139" t="s">
        <v>2430</v>
      </c>
      <c r="G447" s="149">
        <v>44001</v>
      </c>
      <c r="H447" s="150">
        <v>44183</v>
      </c>
      <c r="I447" s="108">
        <v>44365</v>
      </c>
      <c r="J447" s="128" t="s">
        <v>2431</v>
      </c>
      <c r="K447" s="24" t="s">
        <v>27</v>
      </c>
      <c r="L447" s="24" t="s">
        <v>28</v>
      </c>
      <c r="M447" s="134">
        <f t="shared" si="8"/>
        <v>5</v>
      </c>
    </row>
    <row r="448" spans="1:13" ht="20.100000000000001" customHeight="1">
      <c r="A448" s="105" t="s">
        <v>2432</v>
      </c>
      <c r="B448" s="118" t="s">
        <v>2433</v>
      </c>
      <c r="C448" s="104" t="s">
        <v>763</v>
      </c>
      <c r="D448" s="104" t="s">
        <v>748</v>
      </c>
      <c r="E448" s="104" t="s">
        <v>777</v>
      </c>
      <c r="F448" s="139" t="s">
        <v>2434</v>
      </c>
      <c r="G448" s="149">
        <v>44002</v>
      </c>
      <c r="H448" s="150">
        <v>44124</v>
      </c>
      <c r="I448" s="108">
        <v>44316</v>
      </c>
      <c r="J448" s="128" t="s">
        <v>2435</v>
      </c>
      <c r="K448" s="24" t="s">
        <v>36</v>
      </c>
      <c r="L448" s="24" t="s">
        <v>28</v>
      </c>
      <c r="M448" s="134">
        <f t="shared" si="8"/>
        <v>4</v>
      </c>
    </row>
    <row r="449" spans="1:13" ht="20.100000000000001" customHeight="1">
      <c r="A449" s="105" t="s">
        <v>2436</v>
      </c>
      <c r="B449" s="118" t="s">
        <v>2437</v>
      </c>
      <c r="C449" s="104" t="s">
        <v>747</v>
      </c>
      <c r="D449" s="104" t="s">
        <v>782</v>
      </c>
      <c r="E449" s="104" t="s">
        <v>2438</v>
      </c>
      <c r="F449" s="139" t="s">
        <v>2439</v>
      </c>
      <c r="G449" s="149">
        <v>43048</v>
      </c>
      <c r="H449" s="150">
        <v>43228</v>
      </c>
      <c r="I449" s="108">
        <v>43412</v>
      </c>
      <c r="J449" s="128" t="s">
        <v>2440</v>
      </c>
      <c r="K449" s="24" t="s">
        <v>73</v>
      </c>
      <c r="L449" s="24" t="s">
        <v>74</v>
      </c>
      <c r="M449" s="134">
        <f t="shared" si="8"/>
        <v>5</v>
      </c>
    </row>
    <row r="450" spans="1:13" ht="20.100000000000001" customHeight="1">
      <c r="A450" s="105" t="s">
        <v>2441</v>
      </c>
      <c r="B450" s="118" t="s">
        <v>2442</v>
      </c>
      <c r="C450" s="104" t="s">
        <v>763</v>
      </c>
      <c r="D450" s="104" t="s">
        <v>748</v>
      </c>
      <c r="E450" s="104" t="s">
        <v>777</v>
      </c>
      <c r="F450" s="139" t="s">
        <v>2443</v>
      </c>
      <c r="G450" s="149">
        <v>43636</v>
      </c>
      <c r="H450" s="150">
        <v>43818</v>
      </c>
      <c r="I450" s="108">
        <v>44001</v>
      </c>
      <c r="J450" s="128" t="s">
        <v>2444</v>
      </c>
      <c r="K450" s="24" t="s">
        <v>36</v>
      </c>
      <c r="L450" s="24" t="s">
        <v>28</v>
      </c>
      <c r="M450" s="134">
        <f t="shared" si="8"/>
        <v>5</v>
      </c>
    </row>
    <row r="451" spans="1:13" ht="20.100000000000001" customHeight="1">
      <c r="A451" s="105" t="s">
        <v>2445</v>
      </c>
      <c r="B451" s="118" t="s">
        <v>161</v>
      </c>
      <c r="C451" s="104" t="s">
        <v>747</v>
      </c>
      <c r="D451" s="104" t="s">
        <v>748</v>
      </c>
      <c r="E451" s="104" t="s">
        <v>777</v>
      </c>
      <c r="F451" s="139" t="s">
        <v>2446</v>
      </c>
      <c r="G451" s="149">
        <v>44009</v>
      </c>
      <c r="H451" s="150">
        <v>44193</v>
      </c>
      <c r="I451" s="108">
        <v>44375</v>
      </c>
      <c r="J451" s="128" t="s">
        <v>2447</v>
      </c>
      <c r="K451" s="24" t="s">
        <v>73</v>
      </c>
      <c r="L451" s="24" t="s">
        <v>74</v>
      </c>
      <c r="M451" s="134">
        <f t="shared" ref="M451:M514" si="9">DATEDIF(G451,H451,"m")</f>
        <v>6</v>
      </c>
    </row>
    <row r="452" spans="1:13" ht="20.100000000000001" customHeight="1">
      <c r="A452" s="105" t="s">
        <v>2448</v>
      </c>
      <c r="B452" s="118" t="s">
        <v>2449</v>
      </c>
      <c r="C452" s="104" t="s">
        <v>763</v>
      </c>
      <c r="D452" s="104" t="s">
        <v>748</v>
      </c>
      <c r="E452" s="104" t="s">
        <v>777</v>
      </c>
      <c r="F452" s="139" t="s">
        <v>2450</v>
      </c>
      <c r="G452" s="149">
        <v>44386</v>
      </c>
      <c r="H452" s="150">
        <v>44570</v>
      </c>
      <c r="I452" s="108">
        <v>44751</v>
      </c>
      <c r="J452" s="128" t="s">
        <v>2451</v>
      </c>
      <c r="K452" s="24" t="s">
        <v>36</v>
      </c>
      <c r="L452" s="24" t="s">
        <v>28</v>
      </c>
      <c r="M452" s="134">
        <f t="shared" si="9"/>
        <v>6</v>
      </c>
    </row>
    <row r="453" spans="1:13" ht="20.100000000000001" customHeight="1">
      <c r="A453" s="105" t="s">
        <v>2452</v>
      </c>
      <c r="B453" s="118" t="s">
        <v>165</v>
      </c>
      <c r="C453" s="104" t="s">
        <v>747</v>
      </c>
      <c r="D453" s="104" t="s">
        <v>782</v>
      </c>
      <c r="E453" s="104" t="s">
        <v>2453</v>
      </c>
      <c r="F453" s="139" t="s">
        <v>2454</v>
      </c>
      <c r="G453" s="149">
        <v>43075</v>
      </c>
      <c r="H453" s="150">
        <v>43256</v>
      </c>
      <c r="I453" s="108">
        <v>43439</v>
      </c>
      <c r="J453" s="128" t="s">
        <v>2455</v>
      </c>
      <c r="K453" s="24" t="s">
        <v>73</v>
      </c>
      <c r="L453" s="24" t="s">
        <v>74</v>
      </c>
      <c r="M453" s="134">
        <f t="shared" si="9"/>
        <v>5</v>
      </c>
    </row>
    <row r="454" spans="1:13" ht="20.100000000000001" customHeight="1">
      <c r="A454" s="105" t="s">
        <v>2456</v>
      </c>
      <c r="B454" s="118" t="s">
        <v>167</v>
      </c>
      <c r="C454" s="104" t="s">
        <v>747</v>
      </c>
      <c r="D454" s="104" t="s">
        <v>748</v>
      </c>
      <c r="E454" s="104" t="s">
        <v>777</v>
      </c>
      <c r="F454" s="139" t="s">
        <v>2457</v>
      </c>
      <c r="G454" s="149">
        <v>43665</v>
      </c>
      <c r="H454" s="150">
        <v>43848</v>
      </c>
      <c r="I454" s="108">
        <v>44030</v>
      </c>
      <c r="J454" s="128" t="s">
        <v>2458</v>
      </c>
      <c r="K454" s="24" t="s">
        <v>73</v>
      </c>
      <c r="L454" s="24" t="s">
        <v>74</v>
      </c>
      <c r="M454" s="134">
        <f t="shared" si="9"/>
        <v>5</v>
      </c>
    </row>
    <row r="455" spans="1:13" ht="20.100000000000001" customHeight="1">
      <c r="A455" s="105" t="s">
        <v>2459</v>
      </c>
      <c r="B455" s="118" t="s">
        <v>2460</v>
      </c>
      <c r="C455" s="104" t="s">
        <v>747</v>
      </c>
      <c r="D455" s="104" t="s">
        <v>782</v>
      </c>
      <c r="E455" s="104" t="s">
        <v>2417</v>
      </c>
      <c r="F455" s="139" t="s">
        <v>2461</v>
      </c>
      <c r="G455" s="149">
        <v>43337</v>
      </c>
      <c r="H455" s="150">
        <v>43520</v>
      </c>
      <c r="I455" s="108"/>
      <c r="J455" s="128" t="s">
        <v>2405</v>
      </c>
      <c r="K455" s="24" t="s">
        <v>73</v>
      </c>
      <c r="L455" s="24" t="s">
        <v>74</v>
      </c>
      <c r="M455" s="134">
        <f t="shared" si="9"/>
        <v>5</v>
      </c>
    </row>
    <row r="456" spans="1:13" ht="20.100000000000001" customHeight="1">
      <c r="A456" s="105" t="s">
        <v>2462</v>
      </c>
      <c r="B456" s="118" t="s">
        <v>171</v>
      </c>
      <c r="C456" s="104" t="s">
        <v>747</v>
      </c>
      <c r="D456" s="104" t="s">
        <v>748</v>
      </c>
      <c r="E456" s="104" t="s">
        <v>777</v>
      </c>
      <c r="F456" s="139" t="s">
        <v>2463</v>
      </c>
      <c r="G456" s="149">
        <v>44513</v>
      </c>
      <c r="H456" s="150">
        <v>44693</v>
      </c>
      <c r="I456" s="108">
        <v>44877</v>
      </c>
      <c r="J456" s="128" t="s">
        <v>2464</v>
      </c>
      <c r="K456" s="24" t="s">
        <v>73</v>
      </c>
      <c r="L456" s="24" t="s">
        <v>74</v>
      </c>
      <c r="M456" s="134">
        <f t="shared" si="9"/>
        <v>5</v>
      </c>
    </row>
    <row r="457" spans="1:13" ht="20.100000000000001" customHeight="1">
      <c r="A457" s="105" t="s">
        <v>2465</v>
      </c>
      <c r="B457" s="118" t="s">
        <v>180</v>
      </c>
      <c r="C457" s="104" t="s">
        <v>747</v>
      </c>
      <c r="D457" s="104" t="s">
        <v>748</v>
      </c>
      <c r="E457" s="104" t="s">
        <v>2466</v>
      </c>
      <c r="F457" s="139" t="s">
        <v>2467</v>
      </c>
      <c r="G457" s="149">
        <v>44517</v>
      </c>
      <c r="H457" s="150">
        <v>44697</v>
      </c>
      <c r="I457" s="108"/>
      <c r="J457" s="128" t="s">
        <v>2468</v>
      </c>
      <c r="K457" s="24" t="s">
        <v>73</v>
      </c>
      <c r="L457" s="24" t="s">
        <v>74</v>
      </c>
      <c r="M457" s="134">
        <f t="shared" si="9"/>
        <v>5</v>
      </c>
    </row>
    <row r="458" spans="1:13" ht="20.100000000000001" customHeight="1">
      <c r="A458" s="105" t="s">
        <v>2469</v>
      </c>
      <c r="B458" s="118" t="s">
        <v>184</v>
      </c>
      <c r="C458" s="104" t="s">
        <v>747</v>
      </c>
      <c r="D458" s="104" t="s">
        <v>748</v>
      </c>
      <c r="E458" s="104" t="s">
        <v>2470</v>
      </c>
      <c r="F458" s="139" t="s">
        <v>2471</v>
      </c>
      <c r="G458" s="149">
        <v>44166</v>
      </c>
      <c r="H458" s="150">
        <v>44347</v>
      </c>
      <c r="I458" s="108">
        <v>44530</v>
      </c>
      <c r="J458" s="128" t="s">
        <v>2472</v>
      </c>
      <c r="K458" s="24" t="s">
        <v>27</v>
      </c>
      <c r="L458" s="24" t="s">
        <v>28</v>
      </c>
      <c r="M458" s="134">
        <f t="shared" si="9"/>
        <v>5</v>
      </c>
    </row>
    <row r="459" spans="1:13" ht="20.100000000000001" customHeight="1">
      <c r="A459" s="105" t="s">
        <v>2473</v>
      </c>
      <c r="B459" s="118" t="s">
        <v>2474</v>
      </c>
      <c r="C459" s="104" t="s">
        <v>747</v>
      </c>
      <c r="D459" s="104" t="s">
        <v>782</v>
      </c>
      <c r="E459" s="104" t="s">
        <v>2475</v>
      </c>
      <c r="F459" s="139" t="s">
        <v>2476</v>
      </c>
      <c r="G459" s="149">
        <v>43790</v>
      </c>
      <c r="H459" s="150">
        <v>43972</v>
      </c>
      <c r="I459" s="108">
        <v>44156</v>
      </c>
      <c r="J459" s="128" t="s">
        <v>2477</v>
      </c>
      <c r="K459" s="24" t="s">
        <v>73</v>
      </c>
      <c r="L459" s="24" t="s">
        <v>74</v>
      </c>
      <c r="M459" s="134">
        <f t="shared" si="9"/>
        <v>6</v>
      </c>
    </row>
    <row r="460" spans="1:13" ht="20.100000000000001" customHeight="1">
      <c r="A460" s="105" t="s">
        <v>2478</v>
      </c>
      <c r="B460" s="119" t="s">
        <v>2479</v>
      </c>
      <c r="C460" s="104" t="s">
        <v>763</v>
      </c>
      <c r="D460" s="104" t="s">
        <v>748</v>
      </c>
      <c r="E460" s="104" t="s">
        <v>777</v>
      </c>
      <c r="F460" s="139" t="s">
        <v>2480</v>
      </c>
      <c r="G460" s="149">
        <v>43810</v>
      </c>
      <c r="H460" s="150">
        <v>43955</v>
      </c>
      <c r="I460" s="108">
        <v>44139</v>
      </c>
      <c r="J460" s="128" t="s">
        <v>2481</v>
      </c>
      <c r="K460" s="24" t="s">
        <v>36</v>
      </c>
      <c r="L460" s="24" t="s">
        <v>28</v>
      </c>
      <c r="M460" s="134">
        <f t="shared" si="9"/>
        <v>4</v>
      </c>
    </row>
    <row r="461" spans="1:13" ht="20.100000000000001" customHeight="1">
      <c r="A461" s="106" t="s">
        <v>2482</v>
      </c>
      <c r="B461" s="118" t="s">
        <v>174</v>
      </c>
      <c r="C461" s="104" t="s">
        <v>747</v>
      </c>
      <c r="D461" s="104" t="s">
        <v>748</v>
      </c>
      <c r="E461" s="104" t="s">
        <v>2483</v>
      </c>
      <c r="F461" s="139" t="s">
        <v>2484</v>
      </c>
      <c r="G461" s="149">
        <v>43369</v>
      </c>
      <c r="H461" s="150">
        <v>43549</v>
      </c>
      <c r="I461" s="108">
        <v>43733</v>
      </c>
      <c r="J461" s="128" t="s">
        <v>835</v>
      </c>
      <c r="K461" s="24" t="s">
        <v>73</v>
      </c>
      <c r="L461" s="24" t="s">
        <v>74</v>
      </c>
      <c r="M461" s="134">
        <f t="shared" si="9"/>
        <v>5</v>
      </c>
    </row>
    <row r="462" spans="1:13" ht="20.100000000000001" customHeight="1">
      <c r="A462" s="106" t="s">
        <v>2485</v>
      </c>
      <c r="B462" s="118" t="s">
        <v>2486</v>
      </c>
      <c r="C462" s="104" t="s">
        <v>763</v>
      </c>
      <c r="D462" s="104" t="s">
        <v>748</v>
      </c>
      <c r="E462" s="104" t="s">
        <v>797</v>
      </c>
      <c r="F462" s="139" t="s">
        <v>2487</v>
      </c>
      <c r="G462" s="149">
        <v>43823</v>
      </c>
      <c r="H462" s="150">
        <v>43982</v>
      </c>
      <c r="I462" s="108">
        <v>44196</v>
      </c>
      <c r="J462" t="s">
        <v>2488</v>
      </c>
      <c r="K462" s="24" t="s">
        <v>36</v>
      </c>
      <c r="L462" s="24" t="s">
        <v>28</v>
      </c>
      <c r="M462" s="134">
        <f t="shared" si="9"/>
        <v>5</v>
      </c>
    </row>
    <row r="463" spans="1:13" ht="20.100000000000001" customHeight="1">
      <c r="A463" s="105" t="s">
        <v>2489</v>
      </c>
      <c r="B463" s="118" t="s">
        <v>2490</v>
      </c>
      <c r="C463" s="104" t="s">
        <v>952</v>
      </c>
      <c r="D463" s="104" t="s">
        <v>703</v>
      </c>
      <c r="E463" s="104" t="s">
        <v>2491</v>
      </c>
      <c r="F463" s="139" t="s">
        <v>2492</v>
      </c>
      <c r="G463" s="149">
        <v>43104</v>
      </c>
      <c r="H463" s="150">
        <v>43165</v>
      </c>
      <c r="I463" s="108">
        <v>43167</v>
      </c>
      <c r="J463" s="128" t="s">
        <v>2493</v>
      </c>
      <c r="K463" s="24" t="s">
        <v>73</v>
      </c>
      <c r="L463" s="24" t="s">
        <v>74</v>
      </c>
      <c r="M463" s="134">
        <f t="shared" si="9"/>
        <v>2</v>
      </c>
    </row>
    <row r="464" spans="1:13" ht="20.100000000000001" customHeight="1">
      <c r="A464" s="105" t="s">
        <v>2494</v>
      </c>
      <c r="B464" s="118" t="s">
        <v>2495</v>
      </c>
      <c r="C464" s="104" t="s">
        <v>952</v>
      </c>
      <c r="D464" s="104" t="s">
        <v>703</v>
      </c>
      <c r="E464" s="104" t="s">
        <v>2496</v>
      </c>
      <c r="F464" s="139" t="s">
        <v>2497</v>
      </c>
      <c r="G464" s="149">
        <v>42992</v>
      </c>
      <c r="H464" s="150">
        <v>42895</v>
      </c>
      <c r="I464" s="108">
        <v>43165</v>
      </c>
      <c r="J464" s="128" t="s">
        <v>2498</v>
      </c>
      <c r="K464" s="24" t="s">
        <v>540</v>
      </c>
      <c r="L464" s="62" t="s">
        <v>0</v>
      </c>
      <c r="M464" s="134" t="e">
        <f t="shared" si="9"/>
        <v>#NUM!</v>
      </c>
    </row>
    <row r="465" spans="1:13" ht="20.100000000000001" customHeight="1">
      <c r="A465" s="105" t="s">
        <v>2499</v>
      </c>
      <c r="B465" s="118" t="s">
        <v>2500</v>
      </c>
      <c r="C465" s="104" t="s">
        <v>909</v>
      </c>
      <c r="D465" s="104" t="s">
        <v>703</v>
      </c>
      <c r="E465" s="104" t="s">
        <v>2501</v>
      </c>
      <c r="F465" s="139" t="s">
        <v>2502</v>
      </c>
      <c r="G465" s="149">
        <v>43012</v>
      </c>
      <c r="H465" s="150">
        <v>43175</v>
      </c>
      <c r="I465" s="108">
        <v>43280</v>
      </c>
      <c r="J465" s="128" t="s">
        <v>2503</v>
      </c>
      <c r="K465" s="24" t="s">
        <v>73</v>
      </c>
      <c r="L465" s="24" t="s">
        <v>74</v>
      </c>
      <c r="M465" s="134">
        <f t="shared" si="9"/>
        <v>5</v>
      </c>
    </row>
    <row r="466" spans="1:13" ht="20.100000000000001" customHeight="1">
      <c r="A466" s="105" t="s">
        <v>2504</v>
      </c>
      <c r="B466" s="118" t="s">
        <v>2505</v>
      </c>
      <c r="C466" s="104" t="s">
        <v>909</v>
      </c>
      <c r="D466" s="104" t="s">
        <v>703</v>
      </c>
      <c r="E466" s="104" t="s">
        <v>2506</v>
      </c>
      <c r="F466" s="139" t="s">
        <v>2507</v>
      </c>
      <c r="G466" s="149">
        <v>43039</v>
      </c>
      <c r="H466" s="150">
        <v>43182</v>
      </c>
      <c r="I466" s="108">
        <v>43280</v>
      </c>
      <c r="J466" s="128" t="s">
        <v>2503</v>
      </c>
      <c r="K466" s="24" t="s">
        <v>73</v>
      </c>
      <c r="L466" s="24" t="s">
        <v>74</v>
      </c>
      <c r="M466" s="134">
        <f t="shared" si="9"/>
        <v>4</v>
      </c>
    </row>
    <row r="467" spans="1:13" ht="20.100000000000001" customHeight="1">
      <c r="A467" s="105" t="s">
        <v>2508</v>
      </c>
      <c r="B467" s="118" t="s">
        <v>2509</v>
      </c>
      <c r="C467" s="104" t="s">
        <v>909</v>
      </c>
      <c r="D467" s="104" t="s">
        <v>703</v>
      </c>
      <c r="E467" s="104" t="s">
        <v>2510</v>
      </c>
      <c r="F467" s="139" t="s">
        <v>2511</v>
      </c>
      <c r="G467" s="149">
        <v>43162</v>
      </c>
      <c r="H467" s="150">
        <v>43158</v>
      </c>
      <c r="I467" s="108">
        <v>43280</v>
      </c>
      <c r="J467" s="128" t="s">
        <v>2512</v>
      </c>
      <c r="K467" s="24" t="s">
        <v>73</v>
      </c>
      <c r="L467" s="24" t="s">
        <v>74</v>
      </c>
      <c r="M467" s="134" t="e">
        <f t="shared" si="9"/>
        <v>#NUM!</v>
      </c>
    </row>
    <row r="468" spans="1:13" ht="20.100000000000001" customHeight="1">
      <c r="A468" s="105" t="s">
        <v>2513</v>
      </c>
      <c r="B468" s="118" t="s">
        <v>2514</v>
      </c>
      <c r="C468" s="104" t="s">
        <v>952</v>
      </c>
      <c r="D468" s="104" t="s">
        <v>703</v>
      </c>
      <c r="E468" s="104" t="s">
        <v>2515</v>
      </c>
      <c r="F468" s="139" t="s">
        <v>2516</v>
      </c>
      <c r="G468" s="149">
        <v>43468</v>
      </c>
      <c r="H468" s="150">
        <v>43497</v>
      </c>
      <c r="I468" s="108">
        <v>43467</v>
      </c>
      <c r="J468" s="128" t="s">
        <v>2517</v>
      </c>
      <c r="K468" s="24" t="s">
        <v>27</v>
      </c>
      <c r="L468" s="24" t="s">
        <v>28</v>
      </c>
      <c r="M468" s="134">
        <f t="shared" si="9"/>
        <v>0</v>
      </c>
    </row>
    <row r="469" spans="1:13" ht="20.100000000000001" customHeight="1">
      <c r="A469" s="105" t="s">
        <v>2518</v>
      </c>
      <c r="B469" s="118" t="s">
        <v>2519</v>
      </c>
      <c r="C469" s="104" t="s">
        <v>909</v>
      </c>
      <c r="D469" s="104" t="s">
        <v>703</v>
      </c>
      <c r="E469" s="104" t="s">
        <v>2520</v>
      </c>
      <c r="F469" s="139" t="s">
        <v>2521</v>
      </c>
      <c r="G469" s="149">
        <v>43642</v>
      </c>
      <c r="H469" s="150">
        <v>43725</v>
      </c>
      <c r="I469" s="108">
        <v>43816</v>
      </c>
      <c r="J469" s="128" t="s">
        <v>2522</v>
      </c>
      <c r="K469" s="24" t="s">
        <v>27</v>
      </c>
      <c r="L469" s="24" t="s">
        <v>28</v>
      </c>
      <c r="M469" s="134">
        <f t="shared" si="9"/>
        <v>2</v>
      </c>
    </row>
    <row r="470" spans="1:13" ht="20.100000000000001" customHeight="1">
      <c r="A470" s="105" t="s">
        <v>2523</v>
      </c>
      <c r="B470" s="118" t="s">
        <v>2524</v>
      </c>
      <c r="C470" s="104" t="s">
        <v>952</v>
      </c>
      <c r="D470" s="104" t="s">
        <v>703</v>
      </c>
      <c r="E470" s="104" t="s">
        <v>2525</v>
      </c>
      <c r="F470" s="139" t="s">
        <v>2526</v>
      </c>
      <c r="G470" s="149">
        <v>43861</v>
      </c>
      <c r="H470" s="150"/>
      <c r="I470" s="108"/>
      <c r="J470" s="128" t="s">
        <v>2527</v>
      </c>
      <c r="K470" s="24" t="s">
        <v>36</v>
      </c>
      <c r="L470" s="24" t="s">
        <v>28</v>
      </c>
      <c r="M470" s="134" t="e">
        <f t="shared" si="9"/>
        <v>#NUM!</v>
      </c>
    </row>
    <row r="471" spans="1:13" ht="20.100000000000001" customHeight="1">
      <c r="A471" s="105" t="s">
        <v>2528</v>
      </c>
      <c r="B471" s="118" t="s">
        <v>2529</v>
      </c>
      <c r="C471" s="104" t="s">
        <v>952</v>
      </c>
      <c r="D471" s="104" t="s">
        <v>703</v>
      </c>
      <c r="E471" s="104" t="s">
        <v>2530</v>
      </c>
      <c r="F471" s="139" t="s">
        <v>2531</v>
      </c>
      <c r="G471" s="149">
        <v>43861</v>
      </c>
      <c r="H471" s="150"/>
      <c r="I471" s="108"/>
      <c r="J471" s="128" t="s">
        <v>2527</v>
      </c>
      <c r="K471" s="24" t="s">
        <v>36</v>
      </c>
      <c r="L471" s="24" t="s">
        <v>28</v>
      </c>
      <c r="M471" s="134" t="e">
        <f t="shared" si="9"/>
        <v>#NUM!</v>
      </c>
    </row>
    <row r="472" spans="1:13" ht="20.100000000000001" customHeight="1">
      <c r="A472" s="105" t="s">
        <v>2532</v>
      </c>
      <c r="B472" s="118" t="s">
        <v>2533</v>
      </c>
      <c r="C472" s="104" t="s">
        <v>952</v>
      </c>
      <c r="D472" s="104" t="s">
        <v>703</v>
      </c>
      <c r="E472" s="104" t="s">
        <v>2534</v>
      </c>
      <c r="F472" s="139" t="s">
        <v>2535</v>
      </c>
      <c r="G472" s="149">
        <v>43867</v>
      </c>
      <c r="H472" s="150"/>
      <c r="I472" s="108"/>
      <c r="J472" s="128" t="s">
        <v>2527</v>
      </c>
      <c r="K472" s="24" t="s">
        <v>36</v>
      </c>
      <c r="L472" s="24" t="s">
        <v>28</v>
      </c>
      <c r="M472" s="134" t="e">
        <f t="shared" si="9"/>
        <v>#NUM!</v>
      </c>
    </row>
    <row r="473" spans="1:13" ht="20.100000000000001" customHeight="1">
      <c r="A473" s="105" t="s">
        <v>2536</v>
      </c>
      <c r="B473" s="118" t="s">
        <v>2537</v>
      </c>
      <c r="C473" s="104" t="s">
        <v>952</v>
      </c>
      <c r="D473" s="104" t="s">
        <v>703</v>
      </c>
      <c r="E473" s="104" t="s">
        <v>2538</v>
      </c>
      <c r="F473" s="139" t="s">
        <v>2539</v>
      </c>
      <c r="G473" s="149">
        <v>44097</v>
      </c>
      <c r="H473" s="150"/>
      <c r="I473" s="108"/>
      <c r="J473" s="128" t="s">
        <v>2540</v>
      </c>
      <c r="K473" s="24" t="s">
        <v>36</v>
      </c>
      <c r="L473" s="24" t="s">
        <v>28</v>
      </c>
      <c r="M473" s="134" t="e">
        <f t="shared" si="9"/>
        <v>#NUM!</v>
      </c>
    </row>
    <row r="474" spans="1:13" ht="20.100000000000001" customHeight="1">
      <c r="A474" s="105" t="s">
        <v>2541</v>
      </c>
      <c r="B474" s="118" t="s">
        <v>2542</v>
      </c>
      <c r="C474" s="104" t="s">
        <v>952</v>
      </c>
      <c r="D474" s="104" t="s">
        <v>703</v>
      </c>
      <c r="E474" s="104" t="s">
        <v>2543</v>
      </c>
      <c r="F474" s="139" t="s">
        <v>2544</v>
      </c>
      <c r="G474" s="149">
        <v>44135</v>
      </c>
      <c r="H474" s="150">
        <v>44310</v>
      </c>
      <c r="I474" s="108">
        <v>44560</v>
      </c>
      <c r="J474" s="128" t="s">
        <v>2545</v>
      </c>
      <c r="K474" s="24" t="s">
        <v>73</v>
      </c>
      <c r="L474" s="24" t="s">
        <v>74</v>
      </c>
      <c r="M474" s="134">
        <f t="shared" si="9"/>
        <v>5</v>
      </c>
    </row>
    <row r="475" spans="1:13" ht="20.100000000000001" customHeight="1">
      <c r="A475" s="105" t="s">
        <v>2546</v>
      </c>
      <c r="B475" s="118" t="s">
        <v>2547</v>
      </c>
      <c r="C475" s="104" t="s">
        <v>909</v>
      </c>
      <c r="D475" s="104" t="s">
        <v>703</v>
      </c>
      <c r="E475" s="104" t="s">
        <v>2548</v>
      </c>
      <c r="F475" s="139" t="s">
        <v>2549</v>
      </c>
      <c r="G475" s="149">
        <v>44210</v>
      </c>
      <c r="H475" s="150">
        <v>44350</v>
      </c>
      <c r="I475" s="109">
        <v>44353</v>
      </c>
      <c r="J475" s="128" t="s">
        <v>2550</v>
      </c>
      <c r="K475" s="24" t="s">
        <v>27</v>
      </c>
      <c r="L475" s="24" t="s">
        <v>28</v>
      </c>
      <c r="M475" s="134">
        <f t="shared" si="9"/>
        <v>4</v>
      </c>
    </row>
    <row r="476" spans="1:13" ht="20.100000000000001" customHeight="1">
      <c r="A476" s="105" t="s">
        <v>2551</v>
      </c>
      <c r="B476" s="118" t="s">
        <v>2552</v>
      </c>
      <c r="C476" s="104" t="s">
        <v>2553</v>
      </c>
      <c r="D476" s="104" t="s">
        <v>703</v>
      </c>
      <c r="E476" s="104" t="s">
        <v>2554</v>
      </c>
      <c r="F476" s="139" t="s">
        <v>2555</v>
      </c>
      <c r="G476" s="149">
        <v>44250</v>
      </c>
      <c r="H476" s="150">
        <v>44249</v>
      </c>
      <c r="I476" s="109"/>
      <c r="J476" s="128" t="s">
        <v>2556</v>
      </c>
      <c r="K476" s="24" t="s">
        <v>36</v>
      </c>
      <c r="L476" s="24" t="s">
        <v>28</v>
      </c>
      <c r="M476" s="134" t="e">
        <f t="shared" si="9"/>
        <v>#NUM!</v>
      </c>
    </row>
    <row r="477" spans="1:13" ht="20.100000000000001" customHeight="1">
      <c r="A477" s="105" t="s">
        <v>2557</v>
      </c>
      <c r="B477" s="118" t="s">
        <v>2558</v>
      </c>
      <c r="C477" s="104" t="s">
        <v>2559</v>
      </c>
      <c r="D477" s="104" t="s">
        <v>703</v>
      </c>
      <c r="E477" s="104" t="s">
        <v>2560</v>
      </c>
      <c r="F477" s="139" t="s">
        <v>2561</v>
      </c>
      <c r="G477" s="149">
        <v>44364</v>
      </c>
      <c r="H477" s="150">
        <v>44510</v>
      </c>
      <c r="I477" s="108">
        <v>44839</v>
      </c>
      <c r="J477" s="128" t="s">
        <v>2562</v>
      </c>
      <c r="K477" s="24" t="s">
        <v>27</v>
      </c>
      <c r="L477" s="24" t="s">
        <v>28</v>
      </c>
      <c r="M477" s="134">
        <f t="shared" si="9"/>
        <v>4</v>
      </c>
    </row>
    <row r="478" spans="1:13" ht="20.100000000000001" customHeight="1">
      <c r="A478" s="105" t="s">
        <v>2563</v>
      </c>
      <c r="B478" s="118" t="s">
        <v>2564</v>
      </c>
      <c r="C478" s="104" t="s">
        <v>2565</v>
      </c>
      <c r="D478" s="104" t="s">
        <v>703</v>
      </c>
      <c r="E478" s="104" t="s">
        <v>2566</v>
      </c>
      <c r="F478" s="139" t="s">
        <v>2567</v>
      </c>
      <c r="G478" s="149">
        <v>44385</v>
      </c>
      <c r="H478" s="150">
        <v>44449</v>
      </c>
      <c r="I478" s="108" t="s">
        <v>2568</v>
      </c>
      <c r="J478" s="128" t="s">
        <v>2569</v>
      </c>
      <c r="M478" s="134">
        <f t="shared" si="9"/>
        <v>2</v>
      </c>
    </row>
    <row r="479" spans="1:13" ht="20.100000000000001" customHeight="1">
      <c r="A479" s="105" t="s">
        <v>2570</v>
      </c>
      <c r="B479" s="118" t="s">
        <v>300</v>
      </c>
      <c r="C479" s="104" t="s">
        <v>192</v>
      </c>
      <c r="D479" s="104" t="s">
        <v>703</v>
      </c>
      <c r="E479" s="104" t="s">
        <v>2571</v>
      </c>
      <c r="F479" s="139" t="s">
        <v>2572</v>
      </c>
      <c r="G479" s="149">
        <v>43134</v>
      </c>
      <c r="H479" s="150"/>
      <c r="I479" s="108"/>
      <c r="J479" s="128" t="s">
        <v>2573</v>
      </c>
      <c r="M479" s="134" t="e">
        <f t="shared" si="9"/>
        <v>#NUM!</v>
      </c>
    </row>
    <row r="480" spans="1:13" ht="20.100000000000001" customHeight="1">
      <c r="A480" s="105" t="s">
        <v>2574</v>
      </c>
      <c r="B480" s="118" t="s">
        <v>2575</v>
      </c>
      <c r="C480" s="104" t="s">
        <v>2576</v>
      </c>
      <c r="D480" s="104" t="s">
        <v>2577</v>
      </c>
      <c r="E480" s="104" t="s">
        <v>2578</v>
      </c>
      <c r="F480" s="139" t="s">
        <v>2579</v>
      </c>
      <c r="G480" s="149">
        <v>44364</v>
      </c>
      <c r="H480" s="150">
        <v>44408</v>
      </c>
      <c r="I480" s="108"/>
      <c r="J480" s="128" t="s">
        <v>2580</v>
      </c>
      <c r="K480" s="24" t="s">
        <v>73</v>
      </c>
      <c r="L480" s="24" t="s">
        <v>74</v>
      </c>
      <c r="M480" s="134">
        <f t="shared" si="9"/>
        <v>1</v>
      </c>
    </row>
    <row r="481" spans="1:13" ht="20.100000000000001" customHeight="1">
      <c r="A481" s="105" t="s">
        <v>2581</v>
      </c>
      <c r="B481" s="118" t="s">
        <v>2582</v>
      </c>
      <c r="C481" s="104" t="s">
        <v>2583</v>
      </c>
      <c r="D481" s="104" t="s">
        <v>2584</v>
      </c>
      <c r="E481" s="104" t="s">
        <v>2585</v>
      </c>
      <c r="F481" s="139" t="s">
        <v>2586</v>
      </c>
      <c r="G481" s="149">
        <v>44589</v>
      </c>
      <c r="H481" s="150">
        <v>44769</v>
      </c>
      <c r="I481" s="108"/>
      <c r="J481" s="128" t="s">
        <v>2587</v>
      </c>
      <c r="K481" s="24" t="s">
        <v>73</v>
      </c>
      <c r="L481" s="24" t="s">
        <v>74</v>
      </c>
      <c r="M481" s="134">
        <f t="shared" si="9"/>
        <v>5</v>
      </c>
    </row>
    <row r="482" spans="1:13" ht="20.100000000000001" customHeight="1">
      <c r="A482" s="105" t="s">
        <v>2588</v>
      </c>
      <c r="B482" s="118" t="s">
        <v>302</v>
      </c>
      <c r="C482" s="104" t="s">
        <v>192</v>
      </c>
      <c r="D482" s="104" t="s">
        <v>703</v>
      </c>
      <c r="E482" s="104" t="s">
        <v>2589</v>
      </c>
      <c r="F482" s="139" t="s">
        <v>2590</v>
      </c>
      <c r="G482" s="149">
        <v>43858</v>
      </c>
      <c r="H482" s="150">
        <v>44034</v>
      </c>
      <c r="I482" s="108">
        <v>44218</v>
      </c>
      <c r="J482" t="s">
        <v>2591</v>
      </c>
      <c r="K482" s="24" t="s">
        <v>73</v>
      </c>
      <c r="L482" s="24" t="s">
        <v>74</v>
      </c>
      <c r="M482" s="134">
        <f t="shared" si="9"/>
        <v>5</v>
      </c>
    </row>
    <row r="483" spans="1:13" ht="20.100000000000001" customHeight="1">
      <c r="A483" s="105" t="s">
        <v>2592</v>
      </c>
      <c r="B483" s="118" t="s">
        <v>304</v>
      </c>
      <c r="C483" s="104" t="s">
        <v>192</v>
      </c>
      <c r="D483" s="104" t="s">
        <v>703</v>
      </c>
      <c r="E483" s="104" t="s">
        <v>2593</v>
      </c>
      <c r="F483" s="139" t="s">
        <v>2594</v>
      </c>
      <c r="G483" s="149">
        <v>43531</v>
      </c>
      <c r="H483" s="150" t="s">
        <v>2595</v>
      </c>
      <c r="I483" s="108"/>
      <c r="J483" s="128" t="s">
        <v>2596</v>
      </c>
      <c r="K483" s="24" t="s">
        <v>73</v>
      </c>
      <c r="L483" s="24" t="s">
        <v>74</v>
      </c>
      <c r="M483" s="134" t="e">
        <f t="shared" si="9"/>
        <v>#VALUE!</v>
      </c>
    </row>
    <row r="484" spans="1:13" ht="20.100000000000001" customHeight="1">
      <c r="A484" s="105" t="s">
        <v>2597</v>
      </c>
      <c r="B484" s="118" t="s">
        <v>307</v>
      </c>
      <c r="C484" s="104" t="s">
        <v>192</v>
      </c>
      <c r="D484" s="104" t="s">
        <v>703</v>
      </c>
      <c r="E484" s="104" t="s">
        <v>2598</v>
      </c>
      <c r="F484" s="139" t="s">
        <v>2599</v>
      </c>
      <c r="G484" s="149">
        <v>44245</v>
      </c>
      <c r="H484" s="150">
        <v>44428</v>
      </c>
      <c r="I484" s="108"/>
      <c r="J484" s="128" t="s">
        <v>2600</v>
      </c>
      <c r="M484" s="134">
        <f t="shared" si="9"/>
        <v>6</v>
      </c>
    </row>
    <row r="485" spans="1:13" ht="20.100000000000001" customHeight="1">
      <c r="A485" s="105" t="s">
        <v>2601</v>
      </c>
      <c r="B485" s="118" t="s">
        <v>310</v>
      </c>
      <c r="C485" s="104" t="s">
        <v>192</v>
      </c>
      <c r="D485" s="104" t="s">
        <v>2602</v>
      </c>
      <c r="E485" s="104" t="s">
        <v>2603</v>
      </c>
      <c r="F485" s="139" t="s">
        <v>2604</v>
      </c>
      <c r="G485" s="149">
        <v>42865</v>
      </c>
      <c r="H485" s="150">
        <v>43041</v>
      </c>
      <c r="I485" s="108"/>
      <c r="J485" t="s">
        <v>2605</v>
      </c>
      <c r="K485" s="24" t="s">
        <v>75</v>
      </c>
      <c r="L485" s="24" t="s">
        <v>103</v>
      </c>
      <c r="M485" s="134">
        <f t="shared" si="9"/>
        <v>5</v>
      </c>
    </row>
    <row r="486" spans="1:13" ht="20.100000000000001" customHeight="1">
      <c r="A486" s="105" t="s">
        <v>2606</v>
      </c>
      <c r="B486" s="118" t="s">
        <v>312</v>
      </c>
      <c r="C486" s="104" t="s">
        <v>192</v>
      </c>
      <c r="D486" s="104" t="s">
        <v>703</v>
      </c>
      <c r="E486" s="104" t="s">
        <v>2607</v>
      </c>
      <c r="F486" s="139" t="s">
        <v>2608</v>
      </c>
      <c r="G486" s="149">
        <v>43883</v>
      </c>
      <c r="H486" s="150">
        <v>44064</v>
      </c>
      <c r="I486" s="108">
        <v>44248</v>
      </c>
      <c r="J486" t="s">
        <v>2609</v>
      </c>
      <c r="K486" s="24" t="s">
        <v>73</v>
      </c>
      <c r="L486" s="24" t="s">
        <v>74</v>
      </c>
      <c r="M486" s="134">
        <f t="shared" si="9"/>
        <v>5</v>
      </c>
    </row>
    <row r="487" spans="1:13" ht="20.100000000000001" customHeight="1">
      <c r="A487" s="105" t="s">
        <v>2610</v>
      </c>
      <c r="B487" s="118" t="s">
        <v>316</v>
      </c>
      <c r="C487" s="104" t="s">
        <v>192</v>
      </c>
      <c r="D487" s="104" t="s">
        <v>2611</v>
      </c>
      <c r="E487" s="104" t="s">
        <v>2612</v>
      </c>
      <c r="F487" s="139" t="s">
        <v>2613</v>
      </c>
      <c r="G487" s="149">
        <v>43692</v>
      </c>
      <c r="H487" s="150" t="s">
        <v>2614</v>
      </c>
      <c r="I487" s="108"/>
      <c r="J487" s="128" t="s">
        <v>2615</v>
      </c>
      <c r="K487" s="24" t="s">
        <v>540</v>
      </c>
      <c r="L487" s="62" t="s">
        <v>0</v>
      </c>
      <c r="M487" s="134" t="e">
        <f t="shared" si="9"/>
        <v>#VALUE!</v>
      </c>
    </row>
    <row r="488" spans="1:13" ht="20.100000000000001" customHeight="1">
      <c r="A488" s="105" t="s">
        <v>2616</v>
      </c>
      <c r="B488" s="118" t="s">
        <v>320</v>
      </c>
      <c r="C488" s="104" t="s">
        <v>192</v>
      </c>
      <c r="D488" s="104" t="s">
        <v>703</v>
      </c>
      <c r="E488" s="104" t="s">
        <v>2617</v>
      </c>
      <c r="F488" s="139" t="s">
        <v>2618</v>
      </c>
      <c r="G488" s="149">
        <v>43970</v>
      </c>
      <c r="H488" s="150">
        <v>44147</v>
      </c>
      <c r="I488" s="108">
        <v>44359</v>
      </c>
      <c r="J488" t="s">
        <v>321</v>
      </c>
      <c r="K488" s="24" t="s">
        <v>540</v>
      </c>
      <c r="L488" s="24" t="s">
        <v>0</v>
      </c>
      <c r="M488" s="134">
        <f t="shared" si="9"/>
        <v>5</v>
      </c>
    </row>
    <row r="489" spans="1:13" ht="20.100000000000001" customHeight="1">
      <c r="A489" s="105" t="s">
        <v>2619</v>
      </c>
      <c r="B489" s="118" t="s">
        <v>2620</v>
      </c>
      <c r="C489" s="104" t="s">
        <v>2583</v>
      </c>
      <c r="D489" s="104" t="s">
        <v>2584</v>
      </c>
      <c r="E489" s="104" t="s">
        <v>2621</v>
      </c>
      <c r="F489" s="139" t="s">
        <v>2622</v>
      </c>
      <c r="G489" s="149">
        <v>44364</v>
      </c>
      <c r="H489" s="150">
        <v>44488</v>
      </c>
      <c r="I489" s="108"/>
      <c r="J489" s="128" t="s">
        <v>2623</v>
      </c>
      <c r="K489" s="24" t="s">
        <v>73</v>
      </c>
      <c r="L489" s="24" t="s">
        <v>74</v>
      </c>
      <c r="M489" s="134">
        <f t="shared" si="9"/>
        <v>4</v>
      </c>
    </row>
    <row r="490" spans="1:13" ht="20.100000000000001" customHeight="1">
      <c r="A490" s="105" t="s">
        <v>2624</v>
      </c>
      <c r="B490" s="118" t="s">
        <v>322</v>
      </c>
      <c r="C490" s="104" t="s">
        <v>192</v>
      </c>
      <c r="D490" s="104" t="s">
        <v>703</v>
      </c>
      <c r="E490" s="104" t="s">
        <v>2625</v>
      </c>
      <c r="F490" s="139" t="s">
        <v>2626</v>
      </c>
      <c r="G490" s="149">
        <v>43281</v>
      </c>
      <c r="H490" s="150">
        <v>43465</v>
      </c>
      <c r="I490" s="108">
        <v>43641</v>
      </c>
      <c r="J490" t="s">
        <v>323</v>
      </c>
      <c r="K490" s="24" t="s">
        <v>73</v>
      </c>
      <c r="L490" s="24" t="s">
        <v>74</v>
      </c>
      <c r="M490" s="134">
        <f t="shared" si="9"/>
        <v>6</v>
      </c>
    </row>
    <row r="491" spans="1:13" ht="20.100000000000001" customHeight="1">
      <c r="A491" s="105" t="s">
        <v>2627</v>
      </c>
      <c r="B491" s="118" t="s">
        <v>324</v>
      </c>
      <c r="C491" s="104" t="s">
        <v>192</v>
      </c>
      <c r="D491" s="104" t="s">
        <v>703</v>
      </c>
      <c r="E491" s="104" t="s">
        <v>2628</v>
      </c>
      <c r="F491" s="139" t="s">
        <v>2629</v>
      </c>
      <c r="G491" s="149">
        <v>43992</v>
      </c>
      <c r="H491" s="150">
        <v>44004</v>
      </c>
      <c r="I491" s="108">
        <v>44190</v>
      </c>
      <c r="J491" t="s">
        <v>325</v>
      </c>
      <c r="K491" s="24" t="s">
        <v>36</v>
      </c>
      <c r="L491" s="24" t="s">
        <v>28</v>
      </c>
      <c r="M491" s="134">
        <f t="shared" si="9"/>
        <v>0</v>
      </c>
    </row>
    <row r="492" spans="1:13" ht="20.100000000000001" customHeight="1">
      <c r="A492" s="105" t="s">
        <v>2630</v>
      </c>
      <c r="B492" s="118" t="s">
        <v>327</v>
      </c>
      <c r="C492" s="104" t="s">
        <v>192</v>
      </c>
      <c r="D492" s="104" t="s">
        <v>703</v>
      </c>
      <c r="E492" s="104" t="s">
        <v>2631</v>
      </c>
      <c r="F492" s="139" t="s">
        <v>2632</v>
      </c>
      <c r="G492" s="149">
        <v>43361</v>
      </c>
      <c r="H492" s="150" t="s">
        <v>2614</v>
      </c>
      <c r="I492" s="108"/>
      <c r="J492" s="128" t="s">
        <v>2633</v>
      </c>
      <c r="K492" s="24" t="s">
        <v>73</v>
      </c>
      <c r="L492" s="24" t="s">
        <v>74</v>
      </c>
      <c r="M492" s="134" t="e">
        <f t="shared" si="9"/>
        <v>#VALUE!</v>
      </c>
    </row>
    <row r="493" spans="1:13" ht="20.100000000000001" customHeight="1">
      <c r="A493" s="105" t="s">
        <v>2634</v>
      </c>
      <c r="B493" s="118" t="s">
        <v>2635</v>
      </c>
      <c r="C493" s="104" t="s">
        <v>2636</v>
      </c>
      <c r="D493" s="104" t="s">
        <v>703</v>
      </c>
      <c r="E493" s="104" t="s">
        <v>2637</v>
      </c>
      <c r="F493" s="139" t="s">
        <v>2638</v>
      </c>
      <c r="G493" s="149">
        <v>44364</v>
      </c>
      <c r="H493" s="150">
        <v>44322</v>
      </c>
      <c r="I493" s="108"/>
      <c r="J493" s="128" t="s">
        <v>2639</v>
      </c>
      <c r="K493" s="24" t="s">
        <v>540</v>
      </c>
      <c r="L493" s="62" t="s">
        <v>0</v>
      </c>
      <c r="M493" s="134" t="e">
        <f t="shared" si="9"/>
        <v>#NUM!</v>
      </c>
    </row>
    <row r="494" spans="1:13" ht="20.100000000000001" customHeight="1">
      <c r="A494" s="105" t="s">
        <v>2640</v>
      </c>
      <c r="B494" s="118" t="s">
        <v>330</v>
      </c>
      <c r="C494" s="104" t="s">
        <v>192</v>
      </c>
      <c r="D494" s="104" t="s">
        <v>703</v>
      </c>
      <c r="E494" s="104" t="s">
        <v>2641</v>
      </c>
      <c r="F494" s="139" t="s">
        <v>2642</v>
      </c>
      <c r="G494" s="149">
        <v>43305</v>
      </c>
      <c r="H494" s="150">
        <v>43465</v>
      </c>
      <c r="I494" s="109">
        <v>43641</v>
      </c>
      <c r="J494" s="128" t="s">
        <v>2643</v>
      </c>
      <c r="M494" s="134">
        <f t="shared" si="9"/>
        <v>5</v>
      </c>
    </row>
    <row r="495" spans="1:13" ht="20.100000000000001" customHeight="1">
      <c r="A495" s="105" t="s">
        <v>2644</v>
      </c>
      <c r="B495" s="118" t="s">
        <v>333</v>
      </c>
      <c r="C495" s="104" t="s">
        <v>192</v>
      </c>
      <c r="D495" s="104" t="s">
        <v>703</v>
      </c>
      <c r="E495" s="104" t="s">
        <v>2645</v>
      </c>
      <c r="F495" s="139" t="s">
        <v>2646</v>
      </c>
      <c r="G495" s="149">
        <v>44043</v>
      </c>
      <c r="H495" s="150">
        <v>44220</v>
      </c>
      <c r="I495" s="110">
        <v>44371</v>
      </c>
      <c r="J495" t="s">
        <v>2647</v>
      </c>
      <c r="K495" s="24" t="s">
        <v>73</v>
      </c>
      <c r="L495" s="24" t="s">
        <v>74</v>
      </c>
      <c r="M495" s="134">
        <f t="shared" si="9"/>
        <v>5</v>
      </c>
    </row>
    <row r="496" spans="1:13" ht="20.100000000000001" customHeight="1">
      <c r="A496" s="105" t="s">
        <v>2648</v>
      </c>
      <c r="B496" s="118" t="s">
        <v>2649</v>
      </c>
      <c r="C496" s="104" t="s">
        <v>2636</v>
      </c>
      <c r="D496" s="104" t="s">
        <v>703</v>
      </c>
      <c r="E496" s="104" t="s">
        <v>2650</v>
      </c>
      <c r="F496" s="139" t="s">
        <v>2651</v>
      </c>
      <c r="G496" s="149">
        <v>44364</v>
      </c>
      <c r="H496" s="150">
        <v>44459</v>
      </c>
      <c r="I496" s="110"/>
      <c r="J496" s="128" t="s">
        <v>2652</v>
      </c>
      <c r="K496" s="24" t="s">
        <v>73</v>
      </c>
      <c r="L496" s="24" t="s">
        <v>74</v>
      </c>
      <c r="M496" s="134">
        <f t="shared" si="9"/>
        <v>3</v>
      </c>
    </row>
    <row r="497" spans="1:13" ht="20.100000000000001" customHeight="1">
      <c r="A497" s="105" t="s">
        <v>2653</v>
      </c>
      <c r="B497" s="118" t="s">
        <v>336</v>
      </c>
      <c r="C497" s="104" t="s">
        <v>192</v>
      </c>
      <c r="D497" s="104" t="s">
        <v>703</v>
      </c>
      <c r="E497" s="104" t="s">
        <v>2654</v>
      </c>
      <c r="F497" s="139" t="s">
        <v>2655</v>
      </c>
      <c r="G497" s="149">
        <v>43455</v>
      </c>
      <c r="H497" s="150">
        <v>43736</v>
      </c>
      <c r="I497" s="110"/>
      <c r="J497" s="128" t="s">
        <v>2656</v>
      </c>
      <c r="K497" s="24" t="s">
        <v>73</v>
      </c>
      <c r="L497" s="24" t="s">
        <v>74</v>
      </c>
      <c r="M497" s="134">
        <f t="shared" si="9"/>
        <v>9</v>
      </c>
    </row>
    <row r="498" spans="1:13" ht="20.100000000000001" customHeight="1">
      <c r="A498" s="105" t="s">
        <v>2657</v>
      </c>
      <c r="B498" s="118" t="s">
        <v>339</v>
      </c>
      <c r="C498" s="104" t="s">
        <v>192</v>
      </c>
      <c r="D498" s="104" t="s">
        <v>703</v>
      </c>
      <c r="E498" s="104" t="s">
        <v>2658</v>
      </c>
      <c r="F498" s="139" t="s">
        <v>2659</v>
      </c>
      <c r="G498" s="149">
        <v>44065</v>
      </c>
      <c r="H498" s="150">
        <v>44240</v>
      </c>
      <c r="I498" s="110">
        <v>44421</v>
      </c>
      <c r="J498" t="s">
        <v>340</v>
      </c>
      <c r="K498" s="24" t="s">
        <v>73</v>
      </c>
      <c r="L498" s="24" t="s">
        <v>74</v>
      </c>
      <c r="M498" s="134">
        <f t="shared" si="9"/>
        <v>5</v>
      </c>
    </row>
    <row r="499" spans="1:13" ht="20.100000000000001" customHeight="1">
      <c r="A499" s="105" t="s">
        <v>2660</v>
      </c>
      <c r="B499" s="118" t="s">
        <v>341</v>
      </c>
      <c r="C499" s="104" t="s">
        <v>192</v>
      </c>
      <c r="D499" s="104" t="s">
        <v>703</v>
      </c>
      <c r="E499" s="104" t="s">
        <v>2661</v>
      </c>
      <c r="F499" s="139" t="s">
        <v>2662</v>
      </c>
      <c r="G499" s="149">
        <v>44085</v>
      </c>
      <c r="H499" s="150">
        <v>44235</v>
      </c>
      <c r="I499" s="110">
        <v>44446</v>
      </c>
      <c r="J499" t="s">
        <v>342</v>
      </c>
      <c r="K499" s="24" t="s">
        <v>36</v>
      </c>
      <c r="L499" s="24" t="s">
        <v>28</v>
      </c>
      <c r="M499" s="134">
        <f t="shared" si="9"/>
        <v>4</v>
      </c>
    </row>
    <row r="500" spans="1:13" ht="20.100000000000001" customHeight="1">
      <c r="A500" s="105" t="s">
        <v>2663</v>
      </c>
      <c r="B500" s="118" t="s">
        <v>343</v>
      </c>
      <c r="C500" s="104" t="s">
        <v>192</v>
      </c>
      <c r="D500" s="104" t="s">
        <v>703</v>
      </c>
      <c r="E500" s="104" t="s">
        <v>2664</v>
      </c>
      <c r="F500" s="139" t="s">
        <v>2665</v>
      </c>
      <c r="G500" s="149">
        <v>44168</v>
      </c>
      <c r="H500" s="150">
        <v>44338</v>
      </c>
      <c r="I500" s="110">
        <v>44522</v>
      </c>
      <c r="J500" t="s">
        <v>344</v>
      </c>
      <c r="K500" s="24" t="s">
        <v>73</v>
      </c>
      <c r="L500" s="24" t="s">
        <v>74</v>
      </c>
      <c r="M500" s="134">
        <f t="shared" si="9"/>
        <v>5</v>
      </c>
    </row>
    <row r="501" spans="1:13" ht="20.100000000000001" customHeight="1">
      <c r="A501" s="105" t="s">
        <v>2666</v>
      </c>
      <c r="B501" s="118" t="s">
        <v>345</v>
      </c>
      <c r="C501" s="104" t="s">
        <v>192</v>
      </c>
      <c r="D501" s="104" t="s">
        <v>703</v>
      </c>
      <c r="E501" s="104" t="s">
        <v>2667</v>
      </c>
      <c r="F501" s="139" t="s">
        <v>2668</v>
      </c>
      <c r="G501" s="149">
        <v>44169</v>
      </c>
      <c r="H501" s="150">
        <v>44338</v>
      </c>
      <c r="I501" s="110">
        <v>44522</v>
      </c>
      <c r="J501" t="s">
        <v>346</v>
      </c>
      <c r="K501" s="24" t="s">
        <v>73</v>
      </c>
      <c r="L501" s="24" t="s">
        <v>74</v>
      </c>
      <c r="M501" s="134">
        <f t="shared" si="9"/>
        <v>5</v>
      </c>
    </row>
    <row r="502" spans="1:13" ht="20.100000000000001" customHeight="1">
      <c r="A502" s="105" t="s">
        <v>2669</v>
      </c>
      <c r="B502" s="118" t="s">
        <v>347</v>
      </c>
      <c r="C502" s="104" t="s">
        <v>192</v>
      </c>
      <c r="D502" s="104" t="s">
        <v>703</v>
      </c>
      <c r="E502" s="104" t="s">
        <v>2670</v>
      </c>
      <c r="F502" s="139" t="s">
        <v>2671</v>
      </c>
      <c r="G502" s="149">
        <v>44169</v>
      </c>
      <c r="H502" s="150">
        <v>44338</v>
      </c>
      <c r="I502" s="110">
        <v>44522</v>
      </c>
      <c r="J502" t="s">
        <v>348</v>
      </c>
      <c r="K502" s="24" t="s">
        <v>73</v>
      </c>
      <c r="L502" s="24" t="s">
        <v>74</v>
      </c>
      <c r="M502" s="134">
        <f t="shared" si="9"/>
        <v>5</v>
      </c>
    </row>
    <row r="503" spans="1:13" ht="20.100000000000001" customHeight="1">
      <c r="A503" s="105" t="s">
        <v>2672</v>
      </c>
      <c r="B503" s="118" t="s">
        <v>349</v>
      </c>
      <c r="C503" s="104" t="s">
        <v>192</v>
      </c>
      <c r="D503" s="104" t="s">
        <v>703</v>
      </c>
      <c r="E503" s="104" t="s">
        <v>2673</v>
      </c>
      <c r="F503" s="139" t="s">
        <v>2674</v>
      </c>
      <c r="G503" s="149">
        <v>44180</v>
      </c>
      <c r="H503" s="150">
        <v>44407</v>
      </c>
      <c r="I503" s="110">
        <v>44592</v>
      </c>
      <c r="J503" t="s">
        <v>2675</v>
      </c>
      <c r="K503" s="24" t="s">
        <v>36</v>
      </c>
      <c r="L503" s="24" t="s">
        <v>28</v>
      </c>
      <c r="M503" s="134">
        <f t="shared" si="9"/>
        <v>7</v>
      </c>
    </row>
    <row r="504" spans="1:13" ht="20.100000000000001" customHeight="1">
      <c r="A504" s="105" t="s">
        <v>2676</v>
      </c>
      <c r="B504" s="118" t="s">
        <v>351</v>
      </c>
      <c r="C504" s="104" t="s">
        <v>192</v>
      </c>
      <c r="D504" s="104" t="s">
        <v>703</v>
      </c>
      <c r="E504" s="104" t="s">
        <v>2677</v>
      </c>
      <c r="F504" s="139" t="s">
        <v>2678</v>
      </c>
      <c r="G504" s="149">
        <v>44169</v>
      </c>
      <c r="H504" s="150">
        <v>44407</v>
      </c>
      <c r="I504" s="110">
        <v>44592</v>
      </c>
      <c r="J504" t="s">
        <v>2675</v>
      </c>
      <c r="K504" s="24" t="s">
        <v>36</v>
      </c>
      <c r="L504" s="24" t="s">
        <v>28</v>
      </c>
      <c r="M504" s="134">
        <f t="shared" si="9"/>
        <v>7</v>
      </c>
    </row>
    <row r="505" spans="1:13" ht="20.100000000000001" customHeight="1">
      <c r="A505" s="105" t="s">
        <v>2679</v>
      </c>
      <c r="B505" s="118" t="s">
        <v>2680</v>
      </c>
      <c r="C505" s="104" t="s">
        <v>2681</v>
      </c>
      <c r="D505" s="104" t="s">
        <v>703</v>
      </c>
      <c r="E505" s="104" t="s">
        <v>2682</v>
      </c>
      <c r="F505" s="139" t="s">
        <v>2683</v>
      </c>
      <c r="G505" s="149">
        <v>44203</v>
      </c>
      <c r="H505" s="150">
        <v>44382</v>
      </c>
      <c r="I505" s="110"/>
      <c r="J505" s="128" t="s">
        <v>2684</v>
      </c>
      <c r="K505" s="24" t="s">
        <v>73</v>
      </c>
      <c r="L505" s="24" t="s">
        <v>74</v>
      </c>
      <c r="M505" s="134">
        <f t="shared" si="9"/>
        <v>5</v>
      </c>
    </row>
    <row r="506" spans="1:13" ht="20.100000000000001" customHeight="1">
      <c r="A506" s="105" t="s">
        <v>2685</v>
      </c>
      <c r="B506" s="118" t="s">
        <v>353</v>
      </c>
      <c r="C506" s="104" t="s">
        <v>192</v>
      </c>
      <c r="D506" s="104" t="s">
        <v>703</v>
      </c>
      <c r="E506" s="104" t="s">
        <v>2686</v>
      </c>
      <c r="F506" s="139" t="s">
        <v>2687</v>
      </c>
      <c r="G506" s="149">
        <v>44202</v>
      </c>
      <c r="H506" s="150">
        <v>44357</v>
      </c>
      <c r="I506" s="110">
        <v>44561</v>
      </c>
      <c r="J506" t="s">
        <v>2688</v>
      </c>
      <c r="K506" s="24" t="s">
        <v>73</v>
      </c>
      <c r="L506" s="24" t="s">
        <v>74</v>
      </c>
      <c r="M506" s="134">
        <f t="shared" si="9"/>
        <v>5</v>
      </c>
    </row>
    <row r="507" spans="1:13" ht="20.100000000000001" customHeight="1">
      <c r="A507" s="105" t="s">
        <v>2689</v>
      </c>
      <c r="B507" s="118" t="s">
        <v>2690</v>
      </c>
      <c r="C507" s="104" t="s">
        <v>2583</v>
      </c>
      <c r="D507" s="104" t="s">
        <v>703</v>
      </c>
      <c r="E507" s="104" t="s">
        <v>2691</v>
      </c>
      <c r="F507" s="139" t="s">
        <v>2692</v>
      </c>
      <c r="G507" s="149">
        <v>44545</v>
      </c>
      <c r="H507" s="150">
        <v>44529</v>
      </c>
      <c r="I507" s="110"/>
      <c r="J507" t="s">
        <v>2693</v>
      </c>
      <c r="K507" s="24" t="s">
        <v>540</v>
      </c>
      <c r="L507" s="24" t="s">
        <v>0</v>
      </c>
      <c r="M507" s="134" t="e">
        <f t="shared" si="9"/>
        <v>#NUM!</v>
      </c>
    </row>
    <row r="508" spans="1:13" ht="20.100000000000001" customHeight="1">
      <c r="A508" s="105" t="s">
        <v>2694</v>
      </c>
      <c r="B508" s="118" t="s">
        <v>2695</v>
      </c>
      <c r="C508" s="104" t="s">
        <v>529</v>
      </c>
      <c r="D508" s="104" t="s">
        <v>530</v>
      </c>
      <c r="E508" s="104" t="s">
        <v>2696</v>
      </c>
      <c r="F508" s="139" t="s">
        <v>2697</v>
      </c>
      <c r="G508" s="149">
        <v>43213</v>
      </c>
      <c r="H508" s="150">
        <v>43386</v>
      </c>
      <c r="I508" s="109">
        <v>43751</v>
      </c>
      <c r="J508" s="128" t="s">
        <v>2698</v>
      </c>
      <c r="K508" s="24" t="s">
        <v>27</v>
      </c>
      <c r="L508" s="24" t="s">
        <v>28</v>
      </c>
      <c r="M508" s="134">
        <f t="shared" si="9"/>
        <v>5</v>
      </c>
    </row>
    <row r="509" spans="1:13" ht="20.100000000000001" customHeight="1">
      <c r="A509" s="105" t="s">
        <v>2699</v>
      </c>
      <c r="B509" s="118" t="s">
        <v>2700</v>
      </c>
      <c r="C509" s="104" t="s">
        <v>529</v>
      </c>
      <c r="D509" s="104" t="s">
        <v>570</v>
      </c>
      <c r="E509" s="104" t="s">
        <v>2701</v>
      </c>
      <c r="F509" s="139" t="s">
        <v>2702</v>
      </c>
      <c r="G509" s="149">
        <v>43539</v>
      </c>
      <c r="H509" s="150">
        <v>43716</v>
      </c>
      <c r="I509" s="109">
        <v>43898</v>
      </c>
      <c r="J509" s="128" t="s">
        <v>2698</v>
      </c>
      <c r="K509" s="24" t="s">
        <v>27</v>
      </c>
      <c r="L509" s="24" t="s">
        <v>28</v>
      </c>
      <c r="M509" s="134">
        <f t="shared" si="9"/>
        <v>5</v>
      </c>
    </row>
    <row r="510" spans="1:13" ht="20.100000000000001" customHeight="1">
      <c r="A510" s="105" t="s">
        <v>2703</v>
      </c>
      <c r="B510" s="118" t="s">
        <v>2704</v>
      </c>
      <c r="C510" s="104" t="s">
        <v>529</v>
      </c>
      <c r="D510" s="104" t="s">
        <v>560</v>
      </c>
      <c r="E510" s="104" t="s">
        <v>2705</v>
      </c>
      <c r="F510" s="139" t="s">
        <v>2706</v>
      </c>
      <c r="G510" s="149">
        <v>44210</v>
      </c>
      <c r="H510" s="150">
        <v>44385</v>
      </c>
      <c r="I510" s="109">
        <v>44569</v>
      </c>
      <c r="J510" s="128" t="s">
        <v>2698</v>
      </c>
      <c r="K510" s="24" t="s">
        <v>27</v>
      </c>
      <c r="L510" s="24" t="s">
        <v>28</v>
      </c>
      <c r="M510" s="134">
        <f t="shared" si="9"/>
        <v>5</v>
      </c>
    </row>
    <row r="511" spans="1:13" ht="20.100000000000001" customHeight="1">
      <c r="A511" s="105" t="s">
        <v>2707</v>
      </c>
      <c r="B511" s="118" t="s">
        <v>2708</v>
      </c>
      <c r="C511" s="104" t="s">
        <v>2709</v>
      </c>
      <c r="D511" s="104" t="s">
        <v>530</v>
      </c>
      <c r="E511" s="104" t="s">
        <v>2710</v>
      </c>
      <c r="F511" s="139" t="s">
        <v>2711</v>
      </c>
      <c r="G511" s="149">
        <v>44575</v>
      </c>
      <c r="H511" s="150">
        <v>44757</v>
      </c>
      <c r="I511" s="110"/>
      <c r="J511" s="128" t="s">
        <v>2712</v>
      </c>
      <c r="K511" s="24" t="s">
        <v>27</v>
      </c>
      <c r="L511" s="24" t="s">
        <v>28</v>
      </c>
      <c r="M511" s="134">
        <f t="shared" si="9"/>
        <v>6</v>
      </c>
    </row>
    <row r="512" spans="1:13" ht="20.100000000000001" customHeight="1">
      <c r="A512" s="105" t="s">
        <v>2713</v>
      </c>
      <c r="B512" s="118" t="s">
        <v>2714</v>
      </c>
      <c r="C512" s="104" t="s">
        <v>529</v>
      </c>
      <c r="D512" s="104" t="s">
        <v>530</v>
      </c>
      <c r="E512" s="104" t="s">
        <v>2715</v>
      </c>
      <c r="F512" s="139" t="s">
        <v>2716</v>
      </c>
      <c r="G512" s="149">
        <v>43213</v>
      </c>
      <c r="H512" s="150">
        <v>43386</v>
      </c>
      <c r="I512" s="109">
        <v>43751</v>
      </c>
      <c r="J512" s="128" t="s">
        <v>2698</v>
      </c>
      <c r="K512" s="24" t="s">
        <v>27</v>
      </c>
      <c r="L512" s="24" t="s">
        <v>28</v>
      </c>
      <c r="M512" s="134">
        <f t="shared" si="9"/>
        <v>5</v>
      </c>
    </row>
    <row r="513" spans="1:13" ht="20.100000000000001" customHeight="1">
      <c r="A513" s="105" t="s">
        <v>2717</v>
      </c>
      <c r="B513" s="118" t="s">
        <v>2718</v>
      </c>
      <c r="C513" s="104" t="s">
        <v>529</v>
      </c>
      <c r="D513" s="104" t="s">
        <v>570</v>
      </c>
      <c r="E513" s="104" t="s">
        <v>2719</v>
      </c>
      <c r="F513" s="139" t="s">
        <v>2720</v>
      </c>
      <c r="G513" s="149">
        <v>43539</v>
      </c>
      <c r="H513" s="150">
        <v>43716</v>
      </c>
      <c r="I513" s="109">
        <v>43898</v>
      </c>
      <c r="J513" s="128" t="s">
        <v>2698</v>
      </c>
      <c r="K513" s="24" t="s">
        <v>27</v>
      </c>
      <c r="L513" s="24" t="s">
        <v>28</v>
      </c>
      <c r="M513" s="134">
        <f t="shared" si="9"/>
        <v>5</v>
      </c>
    </row>
    <row r="514" spans="1:13" ht="20.100000000000001" customHeight="1">
      <c r="A514" s="105" t="s">
        <v>2721</v>
      </c>
      <c r="B514" s="118" t="s">
        <v>2722</v>
      </c>
      <c r="C514" s="104" t="s">
        <v>529</v>
      </c>
      <c r="D514" s="104" t="s">
        <v>530</v>
      </c>
      <c r="E514" s="104" t="s">
        <v>2723</v>
      </c>
      <c r="F514" s="139" t="s">
        <v>2724</v>
      </c>
      <c r="G514" s="149">
        <v>43213</v>
      </c>
      <c r="H514" s="150">
        <v>43386</v>
      </c>
      <c r="I514" s="109">
        <v>43568</v>
      </c>
      <c r="J514" s="128" t="s">
        <v>2698</v>
      </c>
      <c r="K514" s="24" t="s">
        <v>27</v>
      </c>
      <c r="L514" s="24" t="s">
        <v>28</v>
      </c>
      <c r="M514" s="134">
        <f t="shared" si="9"/>
        <v>5</v>
      </c>
    </row>
    <row r="515" spans="1:13" ht="20.100000000000001" customHeight="1">
      <c r="A515" s="105" t="s">
        <v>2725</v>
      </c>
      <c r="B515" s="118" t="s">
        <v>2726</v>
      </c>
      <c r="C515" s="104" t="s">
        <v>529</v>
      </c>
      <c r="D515" s="104" t="s">
        <v>570</v>
      </c>
      <c r="E515" s="104" t="s">
        <v>2727</v>
      </c>
      <c r="F515" s="139" t="s">
        <v>2728</v>
      </c>
      <c r="G515" s="149">
        <v>43213</v>
      </c>
      <c r="H515" s="150">
        <v>43751</v>
      </c>
      <c r="I515" s="109">
        <v>43751</v>
      </c>
      <c r="J515" s="128" t="s">
        <v>2698</v>
      </c>
      <c r="K515" s="24" t="s">
        <v>27</v>
      </c>
      <c r="L515" s="24" t="s">
        <v>28</v>
      </c>
      <c r="M515" s="134">
        <f t="shared" ref="M515:M578" si="10">DATEDIF(G515,H515,"m")</f>
        <v>17</v>
      </c>
    </row>
    <row r="516" spans="1:13" ht="20.100000000000001" customHeight="1">
      <c r="A516" s="105" t="s">
        <v>2729</v>
      </c>
      <c r="B516" s="118" t="s">
        <v>2730</v>
      </c>
      <c r="C516" s="104" t="s">
        <v>529</v>
      </c>
      <c r="D516" s="104" t="s">
        <v>570</v>
      </c>
      <c r="E516" s="104" t="s">
        <v>2731</v>
      </c>
      <c r="F516" s="139" t="s">
        <v>2732</v>
      </c>
      <c r="G516" s="149">
        <v>43213</v>
      </c>
      <c r="H516" s="150">
        <v>43386</v>
      </c>
      <c r="I516" s="109">
        <v>43751</v>
      </c>
      <c r="J516" s="128" t="s">
        <v>2698</v>
      </c>
      <c r="K516" s="24" t="s">
        <v>27</v>
      </c>
      <c r="L516" s="24" t="s">
        <v>28</v>
      </c>
      <c r="M516" s="134">
        <f t="shared" si="10"/>
        <v>5</v>
      </c>
    </row>
    <row r="517" spans="1:13" ht="20.100000000000001" customHeight="1">
      <c r="A517" s="106" t="s">
        <v>2733</v>
      </c>
      <c r="B517" s="118" t="s">
        <v>2734</v>
      </c>
      <c r="C517" s="104" t="s">
        <v>529</v>
      </c>
      <c r="D517" s="104" t="s">
        <v>2123</v>
      </c>
      <c r="E517" s="104" t="s">
        <v>2735</v>
      </c>
      <c r="F517" s="139" t="s">
        <v>2736</v>
      </c>
      <c r="G517" s="149">
        <v>43532</v>
      </c>
      <c r="H517" s="150">
        <v>43555</v>
      </c>
      <c r="I517" s="109">
        <v>43708</v>
      </c>
      <c r="J517" t="s">
        <v>2737</v>
      </c>
      <c r="K517" s="24" t="s">
        <v>36</v>
      </c>
      <c r="L517" s="24" t="s">
        <v>28</v>
      </c>
      <c r="M517" s="134">
        <f t="shared" si="10"/>
        <v>0</v>
      </c>
    </row>
    <row r="518" spans="1:13" ht="20.100000000000001" customHeight="1">
      <c r="A518" s="106" t="s">
        <v>2738</v>
      </c>
      <c r="B518" s="118" t="s">
        <v>2739</v>
      </c>
      <c r="C518" s="104" t="s">
        <v>529</v>
      </c>
      <c r="D518" s="104" t="s">
        <v>1340</v>
      </c>
      <c r="E518" s="104" t="s">
        <v>2740</v>
      </c>
      <c r="F518" s="139" t="s">
        <v>2741</v>
      </c>
      <c r="G518" s="149">
        <v>43858</v>
      </c>
      <c r="H518" s="150">
        <v>44028</v>
      </c>
      <c r="I518" s="109">
        <v>44120</v>
      </c>
      <c r="J518" t="s">
        <v>2737</v>
      </c>
      <c r="K518" s="24" t="s">
        <v>36</v>
      </c>
      <c r="L518" s="24" t="s">
        <v>28</v>
      </c>
      <c r="M518" s="134">
        <f t="shared" si="10"/>
        <v>5</v>
      </c>
    </row>
    <row r="519" spans="1:13" ht="20.100000000000001" customHeight="1">
      <c r="A519" s="106" t="s">
        <v>2742</v>
      </c>
      <c r="B519" s="118" t="s">
        <v>2743</v>
      </c>
      <c r="C519" s="104" t="s">
        <v>529</v>
      </c>
      <c r="D519" s="104" t="s">
        <v>2123</v>
      </c>
      <c r="E519" s="104" t="s">
        <v>2744</v>
      </c>
      <c r="F519" s="139" t="s">
        <v>2745</v>
      </c>
      <c r="G519" s="149">
        <v>43532</v>
      </c>
      <c r="H519" s="150">
        <v>43555</v>
      </c>
      <c r="I519" s="108">
        <v>43708</v>
      </c>
      <c r="J519" t="s">
        <v>2737</v>
      </c>
      <c r="K519" s="24" t="s">
        <v>36</v>
      </c>
      <c r="L519" s="24" t="s">
        <v>28</v>
      </c>
      <c r="M519" s="134">
        <f t="shared" si="10"/>
        <v>0</v>
      </c>
    </row>
    <row r="520" spans="1:13" ht="20.100000000000001" customHeight="1">
      <c r="A520" s="106" t="s">
        <v>2746</v>
      </c>
      <c r="B520" s="118" t="s">
        <v>2747</v>
      </c>
      <c r="C520" s="104" t="s">
        <v>529</v>
      </c>
      <c r="D520" s="104" t="s">
        <v>1340</v>
      </c>
      <c r="E520" s="104" t="s">
        <v>2748</v>
      </c>
      <c r="F520" s="139" t="s">
        <v>2749</v>
      </c>
      <c r="G520" s="149">
        <v>43558</v>
      </c>
      <c r="H520" s="150">
        <v>43746</v>
      </c>
      <c r="I520" s="108">
        <v>43929</v>
      </c>
      <c r="J520" t="s">
        <v>2737</v>
      </c>
      <c r="K520" s="24" t="s">
        <v>36</v>
      </c>
      <c r="L520" s="24" t="s">
        <v>28</v>
      </c>
      <c r="M520" s="134">
        <f t="shared" si="10"/>
        <v>6</v>
      </c>
    </row>
    <row r="521" spans="1:13" ht="20.100000000000001" customHeight="1">
      <c r="A521" s="105" t="s">
        <v>2746</v>
      </c>
      <c r="B521" s="118" t="s">
        <v>2750</v>
      </c>
      <c r="C521" s="104" t="s">
        <v>529</v>
      </c>
      <c r="D521" s="104" t="s">
        <v>1340</v>
      </c>
      <c r="E521" s="104" t="s">
        <v>2751</v>
      </c>
      <c r="F521" s="139" t="s">
        <v>2749</v>
      </c>
      <c r="G521" s="149">
        <v>43568</v>
      </c>
      <c r="H521" s="150">
        <v>43746</v>
      </c>
      <c r="I521" s="108">
        <v>43929</v>
      </c>
      <c r="J521" t="s">
        <v>2737</v>
      </c>
      <c r="K521" s="24" t="s">
        <v>36</v>
      </c>
      <c r="L521" s="24" t="s">
        <v>28</v>
      </c>
      <c r="M521" s="134">
        <f t="shared" si="10"/>
        <v>5</v>
      </c>
    </row>
    <row r="522" spans="1:13" ht="20.100000000000001" customHeight="1">
      <c r="A522" s="105" t="s">
        <v>2752</v>
      </c>
      <c r="B522" s="118" t="s">
        <v>2753</v>
      </c>
      <c r="C522" s="104" t="s">
        <v>529</v>
      </c>
      <c r="D522" s="104" t="s">
        <v>1340</v>
      </c>
      <c r="E522" s="104" t="s">
        <v>2754</v>
      </c>
      <c r="F522" s="139" t="s">
        <v>2755</v>
      </c>
      <c r="G522" s="149">
        <v>43558</v>
      </c>
      <c r="H522" s="150">
        <v>43734</v>
      </c>
      <c r="I522" s="108">
        <v>43916</v>
      </c>
      <c r="J522" t="s">
        <v>2737</v>
      </c>
      <c r="K522" s="24" t="s">
        <v>36</v>
      </c>
      <c r="L522" s="24" t="s">
        <v>28</v>
      </c>
      <c r="M522" s="134">
        <f t="shared" si="10"/>
        <v>5</v>
      </c>
    </row>
    <row r="523" spans="1:13" ht="20.100000000000001" customHeight="1">
      <c r="A523" s="105" t="s">
        <v>2756</v>
      </c>
      <c r="B523" s="118" t="s">
        <v>2757</v>
      </c>
      <c r="C523" s="104" t="s">
        <v>2758</v>
      </c>
      <c r="D523" s="104" t="s">
        <v>1340</v>
      </c>
      <c r="E523" s="104" t="s">
        <v>2759</v>
      </c>
      <c r="F523" s="139" t="s">
        <v>2760</v>
      </c>
      <c r="G523" s="149">
        <v>44378</v>
      </c>
      <c r="H523" s="150">
        <v>44593</v>
      </c>
      <c r="I523" s="108"/>
      <c r="J523" t="s">
        <v>2737</v>
      </c>
      <c r="K523" s="24" t="s">
        <v>36</v>
      </c>
      <c r="L523" s="24" t="s">
        <v>28</v>
      </c>
      <c r="M523" s="134">
        <f t="shared" si="10"/>
        <v>7</v>
      </c>
    </row>
    <row r="524" spans="1:13" ht="20.100000000000001" customHeight="1">
      <c r="A524" s="105" t="s">
        <v>2761</v>
      </c>
      <c r="B524" s="118" t="s">
        <v>2762</v>
      </c>
      <c r="C524" s="104" t="s">
        <v>529</v>
      </c>
      <c r="D524" s="104" t="s">
        <v>1340</v>
      </c>
      <c r="E524" s="104" t="s">
        <v>2763</v>
      </c>
      <c r="F524" s="139" t="s">
        <v>2764</v>
      </c>
      <c r="G524" s="149">
        <v>43558</v>
      </c>
      <c r="H524" s="150">
        <v>43734</v>
      </c>
      <c r="I524" s="108">
        <v>43916</v>
      </c>
      <c r="J524" t="s">
        <v>2737</v>
      </c>
      <c r="K524" s="24" t="s">
        <v>36</v>
      </c>
      <c r="L524" s="24" t="s">
        <v>28</v>
      </c>
      <c r="M524" s="134">
        <f t="shared" si="10"/>
        <v>5</v>
      </c>
    </row>
    <row r="525" spans="1:13" ht="20.100000000000001" customHeight="1">
      <c r="A525" s="105" t="s">
        <v>2765</v>
      </c>
      <c r="B525" s="118" t="s">
        <v>2766</v>
      </c>
      <c r="C525" s="104" t="s">
        <v>529</v>
      </c>
      <c r="D525" s="104" t="s">
        <v>1340</v>
      </c>
      <c r="E525" s="104" t="s">
        <v>2767</v>
      </c>
      <c r="F525" s="139" t="s">
        <v>1413</v>
      </c>
      <c r="G525" s="149">
        <v>43558</v>
      </c>
      <c r="H525" s="150">
        <v>43734</v>
      </c>
      <c r="I525" s="108">
        <v>43916</v>
      </c>
      <c r="J525" t="s">
        <v>2737</v>
      </c>
      <c r="K525" s="24" t="s">
        <v>36</v>
      </c>
      <c r="L525" s="24" t="s">
        <v>28</v>
      </c>
      <c r="M525" s="134">
        <f t="shared" si="10"/>
        <v>5</v>
      </c>
    </row>
    <row r="526" spans="1:13" ht="20.100000000000001" customHeight="1">
      <c r="A526" s="105" t="s">
        <v>2768</v>
      </c>
      <c r="B526" s="118" t="s">
        <v>2769</v>
      </c>
      <c r="C526" s="104" t="s">
        <v>2758</v>
      </c>
      <c r="D526" s="104" t="s">
        <v>1340</v>
      </c>
      <c r="E526" s="104" t="s">
        <v>2770</v>
      </c>
      <c r="F526" s="139" t="s">
        <v>2771</v>
      </c>
      <c r="G526" s="149">
        <v>44383</v>
      </c>
      <c r="H526" s="150">
        <v>44562</v>
      </c>
      <c r="I526" s="108"/>
      <c r="J526" t="s">
        <v>2737</v>
      </c>
      <c r="K526" s="24" t="s">
        <v>36</v>
      </c>
      <c r="L526" s="24" t="s">
        <v>28</v>
      </c>
      <c r="M526" s="134">
        <f t="shared" si="10"/>
        <v>5</v>
      </c>
    </row>
    <row r="527" spans="1:13" ht="20.100000000000001" customHeight="1">
      <c r="A527" s="105" t="s">
        <v>2772</v>
      </c>
      <c r="B527" s="118" t="s">
        <v>2773</v>
      </c>
      <c r="C527" s="104" t="s">
        <v>529</v>
      </c>
      <c r="D527" s="104" t="s">
        <v>2123</v>
      </c>
      <c r="E527" s="104" t="s">
        <v>2774</v>
      </c>
      <c r="F527" s="139" t="s">
        <v>2775</v>
      </c>
      <c r="G527" s="149">
        <v>43267</v>
      </c>
      <c r="H527" s="150">
        <v>43442</v>
      </c>
      <c r="I527" s="108">
        <v>43624</v>
      </c>
      <c r="J527" t="s">
        <v>2737</v>
      </c>
      <c r="K527" s="24" t="s">
        <v>36</v>
      </c>
      <c r="L527" s="24" t="s">
        <v>28</v>
      </c>
      <c r="M527" s="134">
        <f t="shared" si="10"/>
        <v>5</v>
      </c>
    </row>
    <row r="528" spans="1:13" ht="20.100000000000001" customHeight="1">
      <c r="A528" s="105" t="s">
        <v>2776</v>
      </c>
      <c r="B528" s="118" t="s">
        <v>2777</v>
      </c>
      <c r="C528" s="104" t="s">
        <v>529</v>
      </c>
      <c r="D528" s="104" t="s">
        <v>1340</v>
      </c>
      <c r="E528" s="104" t="s">
        <v>2778</v>
      </c>
      <c r="F528" s="139" t="s">
        <v>2779</v>
      </c>
      <c r="G528" s="149">
        <v>43355</v>
      </c>
      <c r="H528" s="150">
        <v>43529</v>
      </c>
      <c r="I528" s="108">
        <v>43713</v>
      </c>
      <c r="J528" t="s">
        <v>2737</v>
      </c>
      <c r="K528" s="24" t="s">
        <v>36</v>
      </c>
      <c r="L528" s="24" t="s">
        <v>28</v>
      </c>
      <c r="M528" s="134">
        <f t="shared" si="10"/>
        <v>5</v>
      </c>
    </row>
    <row r="529" spans="1:13" ht="20.100000000000001" customHeight="1">
      <c r="A529" s="105" t="s">
        <v>2780</v>
      </c>
      <c r="B529" s="118" t="s">
        <v>2781</v>
      </c>
      <c r="C529" s="104" t="s">
        <v>529</v>
      </c>
      <c r="D529" s="104" t="s">
        <v>1340</v>
      </c>
      <c r="E529" s="104" t="s">
        <v>2782</v>
      </c>
      <c r="F529" s="139" t="s">
        <v>2783</v>
      </c>
      <c r="G529" s="149">
        <v>43721</v>
      </c>
      <c r="H529" s="150">
        <v>43894</v>
      </c>
      <c r="I529" s="108">
        <v>43986</v>
      </c>
      <c r="J529" t="s">
        <v>2737</v>
      </c>
      <c r="K529" s="24" t="s">
        <v>36</v>
      </c>
      <c r="L529" s="24" t="s">
        <v>28</v>
      </c>
      <c r="M529" s="134">
        <f t="shared" si="10"/>
        <v>5</v>
      </c>
    </row>
    <row r="530" spans="1:13" ht="20.100000000000001" customHeight="1">
      <c r="A530" s="105" t="s">
        <v>2784</v>
      </c>
      <c r="B530" s="118" t="s">
        <v>2785</v>
      </c>
      <c r="C530" s="104" t="s">
        <v>2758</v>
      </c>
      <c r="D530" s="104" t="s">
        <v>1340</v>
      </c>
      <c r="E530" s="104" t="s">
        <v>2786</v>
      </c>
      <c r="F530" s="139" t="s">
        <v>2787</v>
      </c>
      <c r="G530" s="149">
        <v>44383</v>
      </c>
      <c r="H530" s="150">
        <v>44562</v>
      </c>
      <c r="I530" s="108"/>
      <c r="J530" t="s">
        <v>2737</v>
      </c>
      <c r="K530" s="24" t="s">
        <v>36</v>
      </c>
      <c r="L530" s="24" t="s">
        <v>28</v>
      </c>
      <c r="M530" s="134">
        <f t="shared" si="10"/>
        <v>5</v>
      </c>
    </row>
    <row r="531" spans="1:13" ht="20.100000000000001" customHeight="1">
      <c r="A531" s="105" t="s">
        <v>2788</v>
      </c>
      <c r="B531" s="118" t="s">
        <v>2789</v>
      </c>
      <c r="C531" s="104" t="s">
        <v>529</v>
      </c>
      <c r="D531" s="104" t="s">
        <v>1340</v>
      </c>
      <c r="E531" s="104" t="s">
        <v>2790</v>
      </c>
      <c r="F531" s="139" t="s">
        <v>2791</v>
      </c>
      <c r="G531" s="149">
        <v>42929</v>
      </c>
      <c r="H531" s="150">
        <v>43103</v>
      </c>
      <c r="I531" s="108">
        <v>43284</v>
      </c>
      <c r="J531" t="s">
        <v>2792</v>
      </c>
      <c r="K531" s="24" t="s">
        <v>27</v>
      </c>
      <c r="L531" s="24" t="s">
        <v>28</v>
      </c>
      <c r="M531" s="134">
        <f t="shared" si="10"/>
        <v>5</v>
      </c>
    </row>
    <row r="532" spans="1:13" ht="20.100000000000001" customHeight="1">
      <c r="A532" s="105" t="s">
        <v>2793</v>
      </c>
      <c r="B532" s="118" t="s">
        <v>2794</v>
      </c>
      <c r="C532" s="104" t="s">
        <v>529</v>
      </c>
      <c r="D532" s="104" t="s">
        <v>1340</v>
      </c>
      <c r="E532" s="104" t="s">
        <v>2795</v>
      </c>
      <c r="F532" s="139" t="s">
        <v>2796</v>
      </c>
      <c r="G532" s="149">
        <v>43351</v>
      </c>
      <c r="H532" s="150">
        <v>43527</v>
      </c>
      <c r="I532" s="108">
        <v>43711</v>
      </c>
      <c r="J532" s="128" t="s">
        <v>533</v>
      </c>
      <c r="M532" s="134">
        <f t="shared" si="10"/>
        <v>5</v>
      </c>
    </row>
    <row r="533" spans="1:13" ht="20.100000000000001" customHeight="1">
      <c r="A533" s="105" t="s">
        <v>2797</v>
      </c>
      <c r="B533" s="118" t="s">
        <v>2798</v>
      </c>
      <c r="C533" s="104" t="s">
        <v>529</v>
      </c>
      <c r="D533" s="104" t="s">
        <v>1340</v>
      </c>
      <c r="E533" s="104" t="s">
        <v>2799</v>
      </c>
      <c r="F533" s="139" t="s">
        <v>1380</v>
      </c>
      <c r="G533" s="149">
        <v>43558</v>
      </c>
      <c r="H533" s="150">
        <v>43734</v>
      </c>
      <c r="I533" s="108">
        <v>43916</v>
      </c>
      <c r="J533" t="s">
        <v>2737</v>
      </c>
      <c r="K533" s="24" t="s">
        <v>36</v>
      </c>
      <c r="L533" s="24" t="s">
        <v>28</v>
      </c>
      <c r="M533" s="134">
        <f t="shared" si="10"/>
        <v>5</v>
      </c>
    </row>
    <row r="534" spans="1:13" ht="20.100000000000001" customHeight="1">
      <c r="A534" s="105" t="s">
        <v>2800</v>
      </c>
      <c r="B534" s="118" t="s">
        <v>2801</v>
      </c>
      <c r="C534" s="104" t="s">
        <v>2758</v>
      </c>
      <c r="D534" s="104" t="s">
        <v>1340</v>
      </c>
      <c r="E534" s="104" t="s">
        <v>2802</v>
      </c>
      <c r="F534" s="139" t="s">
        <v>2803</v>
      </c>
      <c r="G534" s="149">
        <v>44383</v>
      </c>
      <c r="H534" s="150">
        <v>44596</v>
      </c>
      <c r="I534" s="108"/>
      <c r="J534" t="s">
        <v>2737</v>
      </c>
      <c r="K534" s="24" t="s">
        <v>36</v>
      </c>
      <c r="L534" s="24" t="s">
        <v>28</v>
      </c>
      <c r="M534" s="134">
        <f t="shared" si="10"/>
        <v>6</v>
      </c>
    </row>
    <row r="535" spans="1:13" ht="20.100000000000001" customHeight="1">
      <c r="A535" s="105" t="s">
        <v>2804</v>
      </c>
      <c r="B535" s="118" t="s">
        <v>2805</v>
      </c>
      <c r="C535" s="104" t="s">
        <v>529</v>
      </c>
      <c r="D535" s="104" t="s">
        <v>1340</v>
      </c>
      <c r="E535" s="104" t="s">
        <v>2806</v>
      </c>
      <c r="F535" s="139" t="s">
        <v>2807</v>
      </c>
      <c r="G535" s="149">
        <v>43004</v>
      </c>
      <c r="H535" s="150">
        <v>43166</v>
      </c>
      <c r="I535" s="108">
        <v>43350</v>
      </c>
      <c r="J535" t="s">
        <v>2792</v>
      </c>
      <c r="K535" s="24" t="s">
        <v>73</v>
      </c>
      <c r="L535" s="24" t="s">
        <v>74</v>
      </c>
      <c r="M535" s="134">
        <f t="shared" si="10"/>
        <v>5</v>
      </c>
    </row>
    <row r="536" spans="1:13" ht="20.100000000000001" customHeight="1">
      <c r="A536" s="105" t="s">
        <v>2808</v>
      </c>
      <c r="B536" s="118" t="s">
        <v>2809</v>
      </c>
      <c r="C536" s="104" t="s">
        <v>529</v>
      </c>
      <c r="D536" s="104" t="s">
        <v>1340</v>
      </c>
      <c r="E536" s="104" t="s">
        <v>2810</v>
      </c>
      <c r="F536" s="139" t="s">
        <v>2811</v>
      </c>
      <c r="G536" s="149">
        <v>43558</v>
      </c>
      <c r="H536" s="150">
        <v>43734</v>
      </c>
      <c r="I536" s="108">
        <v>43916</v>
      </c>
      <c r="J536" t="s">
        <v>2737</v>
      </c>
      <c r="K536" s="24" t="s">
        <v>36</v>
      </c>
      <c r="L536" s="24" t="s">
        <v>28</v>
      </c>
      <c r="M536" s="134">
        <f t="shared" si="10"/>
        <v>5</v>
      </c>
    </row>
    <row r="537" spans="1:13" ht="20.100000000000001" customHeight="1">
      <c r="A537" s="105" t="s">
        <v>2812</v>
      </c>
      <c r="B537" s="118" t="s">
        <v>2813</v>
      </c>
      <c r="C537" s="104" t="s">
        <v>2758</v>
      </c>
      <c r="D537" s="104" t="s">
        <v>1340</v>
      </c>
      <c r="E537" s="104" t="s">
        <v>2814</v>
      </c>
      <c r="F537" s="139" t="s">
        <v>2815</v>
      </c>
      <c r="G537" s="149">
        <v>44414</v>
      </c>
      <c r="H537" s="150">
        <v>44593</v>
      </c>
      <c r="I537" s="108"/>
      <c r="J537" t="s">
        <v>2737</v>
      </c>
      <c r="K537" s="24" t="s">
        <v>36</v>
      </c>
      <c r="L537" s="24" t="s">
        <v>28</v>
      </c>
      <c r="M537" s="134">
        <f t="shared" si="10"/>
        <v>5</v>
      </c>
    </row>
    <row r="538" spans="1:13" ht="20.100000000000001" customHeight="1">
      <c r="A538" s="105" t="s">
        <v>2816</v>
      </c>
      <c r="B538" s="118" t="s">
        <v>2817</v>
      </c>
      <c r="C538" s="104" t="s">
        <v>529</v>
      </c>
      <c r="D538" s="104" t="s">
        <v>1340</v>
      </c>
      <c r="E538" s="104" t="s">
        <v>2818</v>
      </c>
      <c r="F538" s="139" t="s">
        <v>2819</v>
      </c>
      <c r="G538" s="149">
        <v>43004</v>
      </c>
      <c r="H538" s="150">
        <v>43166</v>
      </c>
      <c r="I538" s="108">
        <v>43350</v>
      </c>
      <c r="J538" t="s">
        <v>2792</v>
      </c>
      <c r="K538" s="24" t="s">
        <v>73</v>
      </c>
      <c r="L538" s="24" t="s">
        <v>74</v>
      </c>
      <c r="M538" s="134">
        <f t="shared" si="10"/>
        <v>5</v>
      </c>
    </row>
    <row r="539" spans="1:13" ht="20.100000000000001" customHeight="1">
      <c r="A539" s="105" t="s">
        <v>2820</v>
      </c>
      <c r="B539" s="118" t="s">
        <v>2821</v>
      </c>
      <c r="C539" s="104" t="s">
        <v>529</v>
      </c>
      <c r="D539" s="104" t="s">
        <v>1340</v>
      </c>
      <c r="E539" s="104" t="s">
        <v>2822</v>
      </c>
      <c r="F539" s="139" t="s">
        <v>2823</v>
      </c>
      <c r="G539" s="149">
        <v>43004</v>
      </c>
      <c r="H539" s="150">
        <v>43166</v>
      </c>
      <c r="I539" s="108">
        <v>43350</v>
      </c>
      <c r="J539" t="s">
        <v>2792</v>
      </c>
      <c r="K539" s="24" t="s">
        <v>73</v>
      </c>
      <c r="L539" s="24" t="s">
        <v>74</v>
      </c>
      <c r="M539" s="134">
        <f t="shared" si="10"/>
        <v>5</v>
      </c>
    </row>
    <row r="540" spans="1:13" ht="20.100000000000001" customHeight="1">
      <c r="A540" s="105" t="s">
        <v>2824</v>
      </c>
      <c r="B540" s="118" t="s">
        <v>2825</v>
      </c>
      <c r="C540" s="104" t="s">
        <v>529</v>
      </c>
      <c r="D540" s="104" t="s">
        <v>1340</v>
      </c>
      <c r="E540" s="104" t="s">
        <v>2826</v>
      </c>
      <c r="F540" s="139" t="s">
        <v>2827</v>
      </c>
      <c r="G540" s="149">
        <v>43558</v>
      </c>
      <c r="H540" s="150">
        <v>43734</v>
      </c>
      <c r="I540" s="108">
        <v>43916</v>
      </c>
      <c r="J540" t="s">
        <v>2737</v>
      </c>
      <c r="K540" s="24" t="s">
        <v>36</v>
      </c>
      <c r="L540" s="24" t="s">
        <v>28</v>
      </c>
      <c r="M540" s="134">
        <f t="shared" si="10"/>
        <v>5</v>
      </c>
    </row>
    <row r="541" spans="1:13" ht="20.100000000000001" customHeight="1">
      <c r="A541" s="105" t="s">
        <v>2828</v>
      </c>
      <c r="B541" s="118" t="s">
        <v>2829</v>
      </c>
      <c r="C541" s="104" t="s">
        <v>2758</v>
      </c>
      <c r="D541" s="104" t="s">
        <v>2123</v>
      </c>
      <c r="E541" s="104" t="s">
        <v>2830</v>
      </c>
      <c r="F541" s="139" t="s">
        <v>2831</v>
      </c>
      <c r="G541" s="149">
        <v>44418</v>
      </c>
      <c r="H541" s="150">
        <v>44601</v>
      </c>
      <c r="I541" s="108"/>
      <c r="J541" t="s">
        <v>2737</v>
      </c>
      <c r="K541" s="24" t="s">
        <v>36</v>
      </c>
      <c r="L541" s="24" t="s">
        <v>28</v>
      </c>
      <c r="M541" s="134">
        <f t="shared" si="10"/>
        <v>5</v>
      </c>
    </row>
    <row r="542" spans="1:13" ht="20.100000000000001" customHeight="1">
      <c r="A542" s="105" t="s">
        <v>2832</v>
      </c>
      <c r="B542" s="118" t="s">
        <v>2833</v>
      </c>
      <c r="C542" s="104" t="s">
        <v>529</v>
      </c>
      <c r="D542" s="104" t="s">
        <v>1340</v>
      </c>
      <c r="E542" s="104" t="s">
        <v>2834</v>
      </c>
      <c r="F542" s="139" t="s">
        <v>2835</v>
      </c>
      <c r="G542" s="149">
        <v>43004</v>
      </c>
      <c r="H542" s="150">
        <v>43166</v>
      </c>
      <c r="I542" s="108">
        <v>43350</v>
      </c>
      <c r="J542" t="s">
        <v>2792</v>
      </c>
      <c r="K542" s="24" t="s">
        <v>73</v>
      </c>
      <c r="L542" s="24" t="s">
        <v>74</v>
      </c>
      <c r="M542" s="134">
        <f t="shared" si="10"/>
        <v>5</v>
      </c>
    </row>
    <row r="543" spans="1:13" ht="20.100000000000001" customHeight="1">
      <c r="A543" s="105" t="s">
        <v>2836</v>
      </c>
      <c r="B543" s="118" t="s">
        <v>2837</v>
      </c>
      <c r="C543" s="104" t="s">
        <v>529</v>
      </c>
      <c r="D543" s="104" t="s">
        <v>1340</v>
      </c>
      <c r="E543" s="104" t="s">
        <v>2838</v>
      </c>
      <c r="F543" s="139" t="s">
        <v>2839</v>
      </c>
      <c r="G543" s="149">
        <v>43117</v>
      </c>
      <c r="H543" s="150">
        <v>43190</v>
      </c>
      <c r="I543" s="108">
        <v>43312</v>
      </c>
      <c r="J543" t="s">
        <v>2840</v>
      </c>
      <c r="K543" s="24" t="s">
        <v>36</v>
      </c>
      <c r="L543" s="24" t="s">
        <v>28</v>
      </c>
      <c r="M543" s="134">
        <f t="shared" si="10"/>
        <v>2</v>
      </c>
    </row>
    <row r="544" spans="1:13" ht="20.100000000000001" customHeight="1">
      <c r="A544" s="105" t="s">
        <v>2841</v>
      </c>
      <c r="B544" s="118" t="s">
        <v>2842</v>
      </c>
      <c r="C544" s="104" t="s">
        <v>529</v>
      </c>
      <c r="D544" s="104" t="s">
        <v>2123</v>
      </c>
      <c r="E544" s="104" t="s">
        <v>2843</v>
      </c>
      <c r="F544" s="139" t="s">
        <v>2844</v>
      </c>
      <c r="G544" s="149">
        <v>43434</v>
      </c>
      <c r="H544" s="150">
        <v>43576</v>
      </c>
      <c r="I544" s="108">
        <v>43790</v>
      </c>
      <c r="J544" t="s">
        <v>2737</v>
      </c>
      <c r="K544" s="24" t="s">
        <v>36</v>
      </c>
      <c r="L544" s="24" t="s">
        <v>28</v>
      </c>
      <c r="M544" s="134">
        <f t="shared" si="10"/>
        <v>4</v>
      </c>
    </row>
    <row r="545" spans="1:13" ht="20.100000000000001" customHeight="1">
      <c r="A545" s="105" t="s">
        <v>2845</v>
      </c>
      <c r="B545" s="118" t="s">
        <v>2846</v>
      </c>
      <c r="C545" s="104" t="s">
        <v>529</v>
      </c>
      <c r="D545" s="104" t="s">
        <v>1340</v>
      </c>
      <c r="E545" s="104" t="s">
        <v>2847</v>
      </c>
      <c r="F545" s="139" t="s">
        <v>2848</v>
      </c>
      <c r="G545" s="149">
        <v>43558</v>
      </c>
      <c r="H545" s="150">
        <v>43734</v>
      </c>
      <c r="I545" s="108">
        <v>43916</v>
      </c>
      <c r="J545" t="s">
        <v>2737</v>
      </c>
      <c r="K545" s="24" t="s">
        <v>36</v>
      </c>
      <c r="L545" s="24" t="s">
        <v>28</v>
      </c>
      <c r="M545" s="134">
        <f t="shared" si="10"/>
        <v>5</v>
      </c>
    </row>
    <row r="546" spans="1:13" ht="20.100000000000001" customHeight="1">
      <c r="A546" s="105" t="s">
        <v>2849</v>
      </c>
      <c r="B546" s="118" t="s">
        <v>2850</v>
      </c>
      <c r="C546" s="104" t="s">
        <v>529</v>
      </c>
      <c r="D546" s="104" t="s">
        <v>1340</v>
      </c>
      <c r="E546" s="104" t="s">
        <v>2851</v>
      </c>
      <c r="F546" s="139" t="s">
        <v>2852</v>
      </c>
      <c r="G546" s="149">
        <v>43839</v>
      </c>
      <c r="H546" s="150">
        <v>43994</v>
      </c>
      <c r="I546" s="108">
        <v>44086</v>
      </c>
      <c r="J546" t="s">
        <v>2737</v>
      </c>
      <c r="K546" s="24" t="s">
        <v>36</v>
      </c>
      <c r="L546" s="24" t="s">
        <v>28</v>
      </c>
      <c r="M546" s="134">
        <f t="shared" si="10"/>
        <v>5</v>
      </c>
    </row>
    <row r="547" spans="1:13" ht="20.100000000000001" customHeight="1">
      <c r="A547" s="105" t="s">
        <v>2853</v>
      </c>
      <c r="B547" s="118" t="s">
        <v>2854</v>
      </c>
      <c r="C547" s="104" t="s">
        <v>529</v>
      </c>
      <c r="D547" s="104" t="s">
        <v>1340</v>
      </c>
      <c r="E547" s="104" t="s">
        <v>2855</v>
      </c>
      <c r="F547" s="139" t="s">
        <v>2856</v>
      </c>
      <c r="G547" s="149">
        <v>43785</v>
      </c>
      <c r="H547" s="150">
        <v>43959</v>
      </c>
      <c r="I547" s="108">
        <v>44051</v>
      </c>
      <c r="J547" t="s">
        <v>2737</v>
      </c>
      <c r="K547" s="24" t="s">
        <v>36</v>
      </c>
      <c r="L547" s="24" t="s">
        <v>28</v>
      </c>
      <c r="M547" s="134">
        <f t="shared" si="10"/>
        <v>5</v>
      </c>
    </row>
    <row r="548" spans="1:13" ht="20.100000000000001" customHeight="1">
      <c r="A548" s="105" t="s">
        <v>2853</v>
      </c>
      <c r="B548" s="118" t="s">
        <v>2857</v>
      </c>
      <c r="C548" s="104" t="s">
        <v>529</v>
      </c>
      <c r="D548" s="104" t="s">
        <v>1340</v>
      </c>
      <c r="E548" s="104" t="s">
        <v>2855</v>
      </c>
      <c r="F548" s="139" t="s">
        <v>2858</v>
      </c>
      <c r="G548" s="149">
        <v>43797</v>
      </c>
      <c r="H548" s="150">
        <v>43959</v>
      </c>
      <c r="I548" s="108">
        <v>44051</v>
      </c>
      <c r="J548" t="s">
        <v>2737</v>
      </c>
      <c r="K548" s="24" t="s">
        <v>36</v>
      </c>
      <c r="L548" s="24" t="s">
        <v>28</v>
      </c>
      <c r="M548" s="134">
        <f t="shared" si="10"/>
        <v>5</v>
      </c>
    </row>
    <row r="549" spans="1:13" ht="20.100000000000001" customHeight="1">
      <c r="A549" s="105" t="s">
        <v>2859</v>
      </c>
      <c r="B549" s="118" t="s">
        <v>355</v>
      </c>
      <c r="C549" s="104" t="s">
        <v>192</v>
      </c>
      <c r="D549" s="104" t="s">
        <v>703</v>
      </c>
      <c r="E549" s="104" t="s">
        <v>2860</v>
      </c>
      <c r="F549" s="139" t="s">
        <v>2861</v>
      </c>
      <c r="G549" s="149">
        <v>43733</v>
      </c>
      <c r="H549" s="150">
        <v>43770</v>
      </c>
      <c r="I549" s="108">
        <v>43830</v>
      </c>
      <c r="J549" t="s">
        <v>356</v>
      </c>
      <c r="K549" s="24" t="s">
        <v>73</v>
      </c>
      <c r="L549" s="24" t="s">
        <v>74</v>
      </c>
      <c r="M549" s="134">
        <f t="shared" si="10"/>
        <v>1</v>
      </c>
    </row>
    <row r="550" spans="1:13" ht="20.100000000000001" customHeight="1">
      <c r="A550" s="105" t="s">
        <v>2859</v>
      </c>
      <c r="B550" s="118" t="s">
        <v>357</v>
      </c>
      <c r="C550" s="104" t="s">
        <v>192</v>
      </c>
      <c r="D550" s="104" t="s">
        <v>703</v>
      </c>
      <c r="E550" s="104" t="s">
        <v>2860</v>
      </c>
      <c r="F550" s="139" t="s">
        <v>2862</v>
      </c>
      <c r="G550" s="149">
        <v>43734</v>
      </c>
      <c r="H550" s="150">
        <v>43770</v>
      </c>
      <c r="I550" s="108">
        <v>43830</v>
      </c>
      <c r="J550" t="s">
        <v>356</v>
      </c>
      <c r="K550" s="24" t="s">
        <v>73</v>
      </c>
      <c r="L550" s="24" t="s">
        <v>74</v>
      </c>
      <c r="M550" s="134">
        <f t="shared" si="10"/>
        <v>1</v>
      </c>
    </row>
    <row r="551" spans="1:13" ht="20.100000000000001" customHeight="1">
      <c r="A551" s="105" t="s">
        <v>2859</v>
      </c>
      <c r="B551" s="118" t="s">
        <v>2863</v>
      </c>
      <c r="C551" s="104" t="s">
        <v>192</v>
      </c>
      <c r="D551" s="104" t="s">
        <v>703</v>
      </c>
      <c r="E551" s="104" t="s">
        <v>2864</v>
      </c>
      <c r="F551" s="139" t="s">
        <v>2865</v>
      </c>
      <c r="G551" s="149">
        <v>43741</v>
      </c>
      <c r="H551" s="150">
        <v>43770</v>
      </c>
      <c r="I551" s="108">
        <v>43830</v>
      </c>
      <c r="J551" t="s">
        <v>356</v>
      </c>
      <c r="K551" s="24" t="s">
        <v>73</v>
      </c>
      <c r="L551" s="24" t="s">
        <v>74</v>
      </c>
      <c r="M551" s="134">
        <f t="shared" si="10"/>
        <v>0</v>
      </c>
    </row>
    <row r="552" spans="1:13" ht="20.100000000000001" customHeight="1">
      <c r="A552" s="105" t="s">
        <v>2866</v>
      </c>
      <c r="B552" s="118" t="s">
        <v>359</v>
      </c>
      <c r="C552" s="104" t="s">
        <v>192</v>
      </c>
      <c r="D552" s="104" t="s">
        <v>530</v>
      </c>
      <c r="E552" s="104" t="s">
        <v>2867</v>
      </c>
      <c r="F552" s="139" t="s">
        <v>2868</v>
      </c>
      <c r="G552" s="149">
        <v>43277</v>
      </c>
      <c r="H552" s="150">
        <v>43465</v>
      </c>
      <c r="I552" s="108">
        <v>43646</v>
      </c>
      <c r="J552" t="s">
        <v>292</v>
      </c>
      <c r="K552" s="24" t="s">
        <v>73</v>
      </c>
      <c r="L552" s="24" t="s">
        <v>74</v>
      </c>
      <c r="M552" s="134">
        <f t="shared" si="10"/>
        <v>6</v>
      </c>
    </row>
    <row r="553" spans="1:13" ht="20.100000000000001" customHeight="1">
      <c r="A553" s="105" t="s">
        <v>2869</v>
      </c>
      <c r="B553" s="118" t="s">
        <v>360</v>
      </c>
      <c r="C553" s="104" t="s">
        <v>192</v>
      </c>
      <c r="D553" s="104" t="s">
        <v>703</v>
      </c>
      <c r="E553" s="104" t="s">
        <v>2870</v>
      </c>
      <c r="F553" s="139" t="s">
        <v>2871</v>
      </c>
      <c r="G553" s="149">
        <v>44135</v>
      </c>
      <c r="H553" s="150">
        <v>44347</v>
      </c>
      <c r="I553" s="108">
        <v>44500</v>
      </c>
      <c r="J553" s="128" t="s">
        <v>361</v>
      </c>
      <c r="K553" s="24" t="s">
        <v>73</v>
      </c>
      <c r="L553" s="24" t="s">
        <v>74</v>
      </c>
      <c r="M553" s="134">
        <f t="shared" si="10"/>
        <v>7</v>
      </c>
    </row>
    <row r="554" spans="1:13" ht="20.100000000000001" customHeight="1">
      <c r="A554" s="105" t="s">
        <v>2869</v>
      </c>
      <c r="B554" s="118" t="s">
        <v>362</v>
      </c>
      <c r="C554" s="104" t="s">
        <v>192</v>
      </c>
      <c r="D554" s="104" t="s">
        <v>703</v>
      </c>
      <c r="E554" s="104" t="s">
        <v>2870</v>
      </c>
      <c r="F554" s="139" t="s">
        <v>2872</v>
      </c>
      <c r="G554" s="149">
        <v>44145</v>
      </c>
      <c r="H554" s="150">
        <v>44347</v>
      </c>
      <c r="I554" s="108">
        <v>44500</v>
      </c>
      <c r="J554" s="128" t="s">
        <v>361</v>
      </c>
      <c r="K554" s="24" t="s">
        <v>73</v>
      </c>
      <c r="L554" s="24" t="s">
        <v>74</v>
      </c>
      <c r="M554" s="134">
        <f t="shared" si="10"/>
        <v>6</v>
      </c>
    </row>
    <row r="555" spans="1:13" ht="20.100000000000001" customHeight="1">
      <c r="A555" s="105" t="s">
        <v>2873</v>
      </c>
      <c r="B555" s="118" t="s">
        <v>363</v>
      </c>
      <c r="C555" s="104" t="s">
        <v>192</v>
      </c>
      <c r="D555" s="104" t="s">
        <v>703</v>
      </c>
      <c r="E555" s="104" t="s">
        <v>2874</v>
      </c>
      <c r="F555" s="139" t="s">
        <v>2875</v>
      </c>
      <c r="G555" s="149">
        <v>43420</v>
      </c>
      <c r="H555" s="150">
        <v>43586</v>
      </c>
      <c r="I555" s="108">
        <v>43677</v>
      </c>
      <c r="J555" s="128" t="s">
        <v>2388</v>
      </c>
      <c r="K555" s="24" t="s">
        <v>73</v>
      </c>
      <c r="L555" s="24" t="s">
        <v>74</v>
      </c>
      <c r="M555" s="134">
        <f t="shared" si="10"/>
        <v>5</v>
      </c>
    </row>
    <row r="556" spans="1:13" ht="20.100000000000001" customHeight="1">
      <c r="A556" s="105" t="s">
        <v>2876</v>
      </c>
      <c r="B556" s="118" t="s">
        <v>365</v>
      </c>
      <c r="C556" s="104" t="s">
        <v>192</v>
      </c>
      <c r="D556" s="104" t="s">
        <v>2877</v>
      </c>
      <c r="E556" s="104" t="s">
        <v>2878</v>
      </c>
      <c r="F556" s="139" t="s">
        <v>364</v>
      </c>
      <c r="G556" s="149">
        <v>44187</v>
      </c>
      <c r="H556" s="150">
        <v>44286</v>
      </c>
      <c r="I556" s="108">
        <v>44348</v>
      </c>
      <c r="J556" t="s">
        <v>366</v>
      </c>
      <c r="K556" s="24" t="s">
        <v>75</v>
      </c>
      <c r="L556" s="24" t="s">
        <v>103</v>
      </c>
      <c r="M556" s="134">
        <f t="shared" si="10"/>
        <v>3</v>
      </c>
    </row>
    <row r="557" spans="1:13" ht="20.100000000000001" customHeight="1">
      <c r="A557" s="105" t="s">
        <v>2879</v>
      </c>
      <c r="B557" s="118" t="s">
        <v>2880</v>
      </c>
      <c r="C557" s="104" t="s">
        <v>1149</v>
      </c>
      <c r="D557" s="104" t="s">
        <v>748</v>
      </c>
      <c r="E557" s="104" t="s">
        <v>2881</v>
      </c>
      <c r="F557" s="139" t="s">
        <v>2882</v>
      </c>
      <c r="G557" s="149">
        <v>42969</v>
      </c>
      <c r="H557" s="150">
        <v>223</v>
      </c>
      <c r="I557" s="108">
        <v>42957</v>
      </c>
      <c r="J557" s="128" t="s">
        <v>1685</v>
      </c>
      <c r="K557" s="24" t="s">
        <v>73</v>
      </c>
      <c r="L557" s="24" t="s">
        <v>74</v>
      </c>
      <c r="M557" s="134" t="e">
        <f t="shared" si="10"/>
        <v>#NUM!</v>
      </c>
    </row>
    <row r="558" spans="1:13" ht="20.100000000000001" customHeight="1">
      <c r="A558" s="105" t="s">
        <v>2883</v>
      </c>
      <c r="B558" s="118" t="s">
        <v>2884</v>
      </c>
      <c r="C558" s="104" t="s">
        <v>1149</v>
      </c>
      <c r="D558" s="104" t="s">
        <v>748</v>
      </c>
      <c r="E558" s="104" t="s">
        <v>2885</v>
      </c>
      <c r="F558" s="139" t="s">
        <v>2886</v>
      </c>
      <c r="G558" s="149">
        <v>43057</v>
      </c>
      <c r="H558" s="150">
        <v>43191</v>
      </c>
      <c r="I558" s="108">
        <v>43111</v>
      </c>
      <c r="J558" s="129" t="s">
        <v>2887</v>
      </c>
      <c r="K558" s="24" t="s">
        <v>27</v>
      </c>
      <c r="L558" s="24" t="s">
        <v>28</v>
      </c>
      <c r="M558" s="134">
        <f t="shared" si="10"/>
        <v>4</v>
      </c>
    </row>
    <row r="559" spans="1:13" ht="20.100000000000001" customHeight="1">
      <c r="A559" s="105" t="s">
        <v>2888</v>
      </c>
      <c r="B559" s="118" t="s">
        <v>2889</v>
      </c>
      <c r="C559" s="104" t="s">
        <v>763</v>
      </c>
      <c r="D559" s="104" t="s">
        <v>748</v>
      </c>
      <c r="E559" s="104" t="s">
        <v>2890</v>
      </c>
      <c r="F559" s="139" t="s">
        <v>2891</v>
      </c>
      <c r="G559" s="149">
        <v>43103</v>
      </c>
      <c r="H559" s="150">
        <v>43281</v>
      </c>
      <c r="I559" s="108">
        <v>43465</v>
      </c>
      <c r="J559" s="128" t="s">
        <v>2892</v>
      </c>
      <c r="K559" s="24" t="s">
        <v>27</v>
      </c>
      <c r="L559" s="24" t="s">
        <v>28</v>
      </c>
      <c r="M559" s="134">
        <f t="shared" si="10"/>
        <v>5</v>
      </c>
    </row>
    <row r="560" spans="1:13" ht="20.100000000000001" customHeight="1">
      <c r="A560" s="105" t="s">
        <v>2893</v>
      </c>
      <c r="B560" s="118" t="s">
        <v>2894</v>
      </c>
      <c r="C560" s="104" t="s">
        <v>763</v>
      </c>
      <c r="D560" s="104" t="s">
        <v>748</v>
      </c>
      <c r="E560" s="104" t="s">
        <v>2895</v>
      </c>
      <c r="F560" s="139" t="s">
        <v>2896</v>
      </c>
      <c r="G560" s="149">
        <v>43103</v>
      </c>
      <c r="H560" s="150">
        <v>43281</v>
      </c>
      <c r="I560" s="108">
        <v>43465</v>
      </c>
      <c r="J560" s="128" t="s">
        <v>2897</v>
      </c>
      <c r="K560" s="24" t="s">
        <v>27</v>
      </c>
      <c r="L560" s="24" t="s">
        <v>28</v>
      </c>
      <c r="M560" s="134">
        <f t="shared" si="10"/>
        <v>5</v>
      </c>
    </row>
    <row r="561" spans="1:13" ht="20.100000000000001" customHeight="1">
      <c r="A561" s="105" t="s">
        <v>2898</v>
      </c>
      <c r="B561" s="118" t="s">
        <v>2899</v>
      </c>
      <c r="C561" s="104" t="s">
        <v>763</v>
      </c>
      <c r="D561" s="104" t="s">
        <v>748</v>
      </c>
      <c r="E561" s="104" t="s">
        <v>2900</v>
      </c>
      <c r="F561" s="139" t="s">
        <v>2901</v>
      </c>
      <c r="G561" s="149">
        <v>43103</v>
      </c>
      <c r="H561" s="150">
        <v>43281</v>
      </c>
      <c r="I561" s="108">
        <v>43465</v>
      </c>
      <c r="J561" s="128" t="s">
        <v>2902</v>
      </c>
      <c r="K561" s="24" t="s">
        <v>27</v>
      </c>
      <c r="L561" s="24" t="s">
        <v>28</v>
      </c>
      <c r="M561" s="134">
        <f t="shared" si="10"/>
        <v>5</v>
      </c>
    </row>
    <row r="562" spans="1:13" ht="20.100000000000001" customHeight="1">
      <c r="A562" s="105" t="s">
        <v>2903</v>
      </c>
      <c r="B562" s="118" t="s">
        <v>2904</v>
      </c>
      <c r="C562" s="104" t="s">
        <v>1149</v>
      </c>
      <c r="D562" s="104" t="s">
        <v>748</v>
      </c>
      <c r="E562" s="104" t="s">
        <v>1556</v>
      </c>
      <c r="F562" s="139" t="s">
        <v>2905</v>
      </c>
      <c r="G562" s="149">
        <v>43166</v>
      </c>
      <c r="H562" s="150">
        <v>43152</v>
      </c>
      <c r="I562" s="108">
        <v>43152</v>
      </c>
      <c r="J562" s="128" t="s">
        <v>2906</v>
      </c>
      <c r="K562" s="24" t="s">
        <v>73</v>
      </c>
      <c r="L562" s="24" t="s">
        <v>74</v>
      </c>
      <c r="M562" s="134" t="e">
        <f t="shared" si="10"/>
        <v>#NUM!</v>
      </c>
    </row>
    <row r="563" spans="1:13" ht="20.100000000000001" customHeight="1">
      <c r="A563" s="105" t="s">
        <v>2907</v>
      </c>
      <c r="B563" s="118" t="s">
        <v>2908</v>
      </c>
      <c r="C563" s="104" t="s">
        <v>1149</v>
      </c>
      <c r="D563" s="104" t="s">
        <v>748</v>
      </c>
      <c r="E563" s="104" t="s">
        <v>2909</v>
      </c>
      <c r="F563" s="139" t="s">
        <v>2910</v>
      </c>
      <c r="G563" s="149">
        <v>43362</v>
      </c>
      <c r="H563" s="150">
        <v>43328</v>
      </c>
      <c r="I563" s="108">
        <v>43328</v>
      </c>
      <c r="J563" s="128" t="s">
        <v>2911</v>
      </c>
      <c r="K563" s="24" t="s">
        <v>73</v>
      </c>
      <c r="L563" s="24" t="s">
        <v>74</v>
      </c>
      <c r="M563" s="134" t="e">
        <f t="shared" si="10"/>
        <v>#NUM!</v>
      </c>
    </row>
    <row r="564" spans="1:13" ht="20.100000000000001" customHeight="1">
      <c r="A564" s="105" t="s">
        <v>2912</v>
      </c>
      <c r="B564" s="118" t="s">
        <v>2913</v>
      </c>
      <c r="C564" s="104" t="s">
        <v>1149</v>
      </c>
      <c r="D564" s="104" t="s">
        <v>748</v>
      </c>
      <c r="E564" s="104" t="s">
        <v>2914</v>
      </c>
      <c r="F564" s="139" t="s">
        <v>2915</v>
      </c>
      <c r="G564" s="149">
        <v>43362</v>
      </c>
      <c r="H564" s="150">
        <v>43536</v>
      </c>
      <c r="I564" s="108">
        <v>43718</v>
      </c>
      <c r="J564" s="128" t="s">
        <v>2916</v>
      </c>
      <c r="K564" s="24" t="s">
        <v>73</v>
      </c>
      <c r="L564" s="24" t="s">
        <v>74</v>
      </c>
      <c r="M564" s="134">
        <f t="shared" si="10"/>
        <v>5</v>
      </c>
    </row>
    <row r="565" spans="1:13" ht="20.100000000000001" customHeight="1">
      <c r="A565" s="105" t="s">
        <v>2917</v>
      </c>
      <c r="B565" s="118" t="s">
        <v>2918</v>
      </c>
      <c r="C565" s="104" t="s">
        <v>1149</v>
      </c>
      <c r="D565" s="104" t="s">
        <v>748</v>
      </c>
      <c r="E565" s="104" t="s">
        <v>2919</v>
      </c>
      <c r="F565" s="139" t="s">
        <v>2920</v>
      </c>
      <c r="G565" s="149">
        <v>43419</v>
      </c>
      <c r="H565" s="150">
        <v>43598</v>
      </c>
      <c r="I565" s="108">
        <v>43749</v>
      </c>
      <c r="J565" s="128" t="s">
        <v>2921</v>
      </c>
      <c r="K565" s="24" t="s">
        <v>73</v>
      </c>
      <c r="L565" s="24" t="s">
        <v>74</v>
      </c>
      <c r="M565" s="134">
        <f t="shared" si="10"/>
        <v>5</v>
      </c>
    </row>
    <row r="566" spans="1:13" ht="20.100000000000001" customHeight="1">
      <c r="A566" s="105" t="s">
        <v>2922</v>
      </c>
      <c r="B566" s="118" t="s">
        <v>2923</v>
      </c>
      <c r="C566" s="104" t="s">
        <v>1149</v>
      </c>
      <c r="D566" s="104" t="s">
        <v>748</v>
      </c>
      <c r="E566" s="104" t="s">
        <v>2924</v>
      </c>
      <c r="F566" s="139" t="s">
        <v>2925</v>
      </c>
      <c r="G566" s="149">
        <v>43419</v>
      </c>
      <c r="H566" s="150">
        <v>43598</v>
      </c>
      <c r="I566" s="108">
        <v>43749</v>
      </c>
      <c r="J566" s="128" t="s">
        <v>2325</v>
      </c>
      <c r="K566" s="24" t="s">
        <v>73</v>
      </c>
      <c r="L566" s="24" t="s">
        <v>74</v>
      </c>
      <c r="M566" s="134">
        <f t="shared" si="10"/>
        <v>5</v>
      </c>
    </row>
    <row r="567" spans="1:13" ht="20.100000000000001" customHeight="1">
      <c r="A567" s="105" t="s">
        <v>2926</v>
      </c>
      <c r="B567" s="118" t="s">
        <v>2927</v>
      </c>
      <c r="C567" s="104" t="s">
        <v>1149</v>
      </c>
      <c r="D567" s="104" t="s">
        <v>748</v>
      </c>
      <c r="E567" s="104" t="s">
        <v>2928</v>
      </c>
      <c r="F567" s="139" t="s">
        <v>2929</v>
      </c>
      <c r="G567" s="149">
        <v>43580</v>
      </c>
      <c r="H567" s="150">
        <v>43568</v>
      </c>
      <c r="I567" s="108">
        <v>43568</v>
      </c>
      <c r="J567" s="128" t="s">
        <v>2930</v>
      </c>
      <c r="K567" s="24" t="s">
        <v>73</v>
      </c>
      <c r="L567" s="24" t="s">
        <v>74</v>
      </c>
      <c r="M567" s="134" t="e">
        <f t="shared" si="10"/>
        <v>#NUM!</v>
      </c>
    </row>
    <row r="568" spans="1:13" ht="20.100000000000001" customHeight="1">
      <c r="A568" s="105" t="s">
        <v>2931</v>
      </c>
      <c r="B568" s="118" t="s">
        <v>2932</v>
      </c>
      <c r="C568" s="104" t="s">
        <v>1149</v>
      </c>
      <c r="D568" s="104" t="s">
        <v>748</v>
      </c>
      <c r="E568" s="104" t="s">
        <v>2933</v>
      </c>
      <c r="F568" s="139" t="s">
        <v>2934</v>
      </c>
      <c r="G568" s="149">
        <v>43580</v>
      </c>
      <c r="H568" s="150">
        <v>43756</v>
      </c>
      <c r="I568" s="108">
        <v>43938</v>
      </c>
      <c r="J568" s="128" t="s">
        <v>2935</v>
      </c>
      <c r="K568" s="24" t="s">
        <v>73</v>
      </c>
      <c r="L568" s="24" t="s">
        <v>74</v>
      </c>
      <c r="M568" s="134">
        <f t="shared" si="10"/>
        <v>5</v>
      </c>
    </row>
    <row r="569" spans="1:13" ht="20.100000000000001" customHeight="1">
      <c r="A569" s="105" t="s">
        <v>2936</v>
      </c>
      <c r="B569" s="118" t="s">
        <v>2937</v>
      </c>
      <c r="C569" s="104" t="s">
        <v>1149</v>
      </c>
      <c r="D569" s="104" t="s">
        <v>748</v>
      </c>
      <c r="E569" s="104" t="s">
        <v>2938</v>
      </c>
      <c r="F569" s="139" t="s">
        <v>2939</v>
      </c>
      <c r="G569" s="149">
        <v>43608</v>
      </c>
      <c r="H569" s="150">
        <v>43595</v>
      </c>
      <c r="I569" s="108">
        <v>43595</v>
      </c>
      <c r="J569" s="128" t="s">
        <v>2940</v>
      </c>
      <c r="K569" s="24" t="s">
        <v>73</v>
      </c>
      <c r="L569" s="24" t="s">
        <v>74</v>
      </c>
      <c r="M569" s="134" t="e">
        <f t="shared" si="10"/>
        <v>#NUM!</v>
      </c>
    </row>
    <row r="570" spans="1:13" ht="20.100000000000001" customHeight="1">
      <c r="A570" s="105" t="s">
        <v>2941</v>
      </c>
      <c r="B570" s="118" t="s">
        <v>2942</v>
      </c>
      <c r="C570" s="104" t="s">
        <v>1149</v>
      </c>
      <c r="D570" s="104" t="s">
        <v>748</v>
      </c>
      <c r="E570" s="104" t="s">
        <v>2943</v>
      </c>
      <c r="F570" s="139" t="s">
        <v>2944</v>
      </c>
      <c r="G570" s="149">
        <v>43726</v>
      </c>
      <c r="H570" s="150">
        <v>43712</v>
      </c>
      <c r="I570" s="108">
        <v>43712</v>
      </c>
      <c r="J570" s="128" t="s">
        <v>2945</v>
      </c>
      <c r="K570" s="24" t="s">
        <v>540</v>
      </c>
      <c r="L570" s="62" t="s">
        <v>0</v>
      </c>
      <c r="M570" s="134" t="e">
        <f t="shared" si="10"/>
        <v>#NUM!</v>
      </c>
    </row>
    <row r="571" spans="1:13" ht="20.100000000000001" customHeight="1">
      <c r="A571" s="105" t="s">
        <v>2946</v>
      </c>
      <c r="B571" s="118" t="s">
        <v>2947</v>
      </c>
      <c r="C571" s="104" t="s">
        <v>1149</v>
      </c>
      <c r="D571" s="104" t="s">
        <v>748</v>
      </c>
      <c r="E571" s="104" t="s">
        <v>2924</v>
      </c>
      <c r="F571" s="139" t="s">
        <v>2948</v>
      </c>
      <c r="G571" s="149">
        <v>43788</v>
      </c>
      <c r="H571" s="150">
        <v>43945</v>
      </c>
      <c r="I571" s="108">
        <v>44127</v>
      </c>
      <c r="J571" s="128" t="s">
        <v>2949</v>
      </c>
      <c r="K571" s="24" t="s">
        <v>73</v>
      </c>
      <c r="L571" s="24" t="s">
        <v>74</v>
      </c>
      <c r="M571" s="134">
        <f t="shared" si="10"/>
        <v>5</v>
      </c>
    </row>
    <row r="572" spans="1:13" ht="20.100000000000001" customHeight="1">
      <c r="A572" s="105" t="s">
        <v>2950</v>
      </c>
      <c r="B572" s="118" t="s">
        <v>2951</v>
      </c>
      <c r="C572" s="104" t="s">
        <v>1149</v>
      </c>
      <c r="D572" s="104" t="s">
        <v>748</v>
      </c>
      <c r="E572" s="104" t="s">
        <v>2952</v>
      </c>
      <c r="F572" s="139" t="s">
        <v>2953</v>
      </c>
      <c r="G572" s="149">
        <v>43914</v>
      </c>
      <c r="H572" s="150">
        <v>43888</v>
      </c>
      <c r="I572" s="108">
        <v>43936</v>
      </c>
      <c r="J572" s="128" t="s">
        <v>2954</v>
      </c>
      <c r="K572" s="24" t="s">
        <v>540</v>
      </c>
      <c r="L572" s="62" t="s">
        <v>0</v>
      </c>
      <c r="M572" s="134" t="e">
        <f t="shared" si="10"/>
        <v>#NUM!</v>
      </c>
    </row>
    <row r="573" spans="1:13" ht="20.100000000000001" customHeight="1">
      <c r="A573" s="105" t="s">
        <v>2955</v>
      </c>
      <c r="B573" s="118" t="s">
        <v>2956</v>
      </c>
      <c r="C573" s="104" t="s">
        <v>1149</v>
      </c>
      <c r="D573" s="104" t="s">
        <v>748</v>
      </c>
      <c r="E573" s="104" t="s">
        <v>2957</v>
      </c>
      <c r="F573" s="139" t="s">
        <v>2958</v>
      </c>
      <c r="G573" s="149">
        <v>43951</v>
      </c>
      <c r="H573" s="150" t="e">
        <v>#VALUE!</v>
      </c>
      <c r="I573" s="108">
        <v>43968</v>
      </c>
      <c r="J573" s="129" t="s">
        <v>2959</v>
      </c>
      <c r="K573" s="24" t="s">
        <v>73</v>
      </c>
      <c r="L573" s="24" t="s">
        <v>74</v>
      </c>
      <c r="M573" s="134" t="e">
        <f t="shared" si="10"/>
        <v>#VALUE!</v>
      </c>
    </row>
    <row r="574" spans="1:13" ht="20.100000000000001" customHeight="1">
      <c r="A574" s="105" t="s">
        <v>2960</v>
      </c>
      <c r="B574" s="118" t="s">
        <v>2961</v>
      </c>
      <c r="C574" s="104" t="s">
        <v>1149</v>
      </c>
      <c r="D574" s="104" t="s">
        <v>748</v>
      </c>
      <c r="E574" s="104" t="s">
        <v>2962</v>
      </c>
      <c r="F574" s="139" t="s">
        <v>2963</v>
      </c>
      <c r="G574" s="149">
        <v>44229</v>
      </c>
      <c r="H574" s="150">
        <v>44317</v>
      </c>
      <c r="I574" s="108">
        <v>44531</v>
      </c>
      <c r="J574" s="128" t="s">
        <v>2964</v>
      </c>
      <c r="K574" s="24" t="s">
        <v>540</v>
      </c>
      <c r="L574" s="62" t="s">
        <v>0</v>
      </c>
      <c r="M574" s="134">
        <f t="shared" si="10"/>
        <v>2</v>
      </c>
    </row>
    <row r="575" spans="1:13" ht="20.100000000000001" customHeight="1">
      <c r="A575" s="105" t="s">
        <v>2965</v>
      </c>
      <c r="B575" s="118" t="s">
        <v>2966</v>
      </c>
      <c r="C575" s="104" t="s">
        <v>1149</v>
      </c>
      <c r="D575" s="104" t="s">
        <v>748</v>
      </c>
      <c r="E575" s="104" t="s">
        <v>2967</v>
      </c>
      <c r="F575" s="139" t="s">
        <v>2968</v>
      </c>
      <c r="G575" s="149">
        <v>44321</v>
      </c>
      <c r="H575" s="150">
        <v>44408</v>
      </c>
      <c r="I575" s="108">
        <v>44439</v>
      </c>
      <c r="J575" s="129" t="s">
        <v>2969</v>
      </c>
      <c r="K575" s="24" t="s">
        <v>73</v>
      </c>
      <c r="L575" s="24" t="s">
        <v>74</v>
      </c>
      <c r="M575" s="134">
        <f t="shared" si="10"/>
        <v>2</v>
      </c>
    </row>
    <row r="576" spans="1:13" ht="20.100000000000001" customHeight="1">
      <c r="A576" s="105" t="s">
        <v>2970</v>
      </c>
      <c r="B576" s="118" t="s">
        <v>2971</v>
      </c>
      <c r="C576" s="104" t="s">
        <v>1149</v>
      </c>
      <c r="D576" s="104" t="s">
        <v>748</v>
      </c>
      <c r="E576" s="104" t="s">
        <v>2972</v>
      </c>
      <c r="F576" s="139" t="s">
        <v>2973</v>
      </c>
      <c r="G576" s="149">
        <v>44288</v>
      </c>
      <c r="H576" s="150">
        <v>44286</v>
      </c>
      <c r="I576" s="108">
        <v>44286</v>
      </c>
      <c r="J576" s="128" t="s">
        <v>2959</v>
      </c>
      <c r="K576" s="24" t="s">
        <v>73</v>
      </c>
      <c r="L576" s="24" t="s">
        <v>74</v>
      </c>
      <c r="M576" s="134" t="e">
        <f t="shared" si="10"/>
        <v>#NUM!</v>
      </c>
    </row>
    <row r="577" spans="1:13" ht="20.100000000000001" customHeight="1">
      <c r="A577" s="105" t="s">
        <v>2974</v>
      </c>
      <c r="B577" s="118" t="s">
        <v>2975</v>
      </c>
      <c r="C577" s="104" t="s">
        <v>2976</v>
      </c>
      <c r="D577" s="104" t="s">
        <v>748</v>
      </c>
      <c r="E577" s="104" t="s">
        <v>2977</v>
      </c>
      <c r="F577" s="139" t="s">
        <v>2978</v>
      </c>
      <c r="G577" s="149">
        <v>44419</v>
      </c>
      <c r="H577" s="150">
        <v>44598</v>
      </c>
      <c r="I577" s="108"/>
      <c r="J577" s="128" t="s">
        <v>2979</v>
      </c>
      <c r="K577" s="24" t="s">
        <v>73</v>
      </c>
      <c r="L577" s="24" t="s">
        <v>74</v>
      </c>
      <c r="M577" s="134">
        <f t="shared" si="10"/>
        <v>5</v>
      </c>
    </row>
    <row r="578" spans="1:13" ht="20.100000000000001" customHeight="1">
      <c r="A578" s="105" t="s">
        <v>2980</v>
      </c>
      <c r="B578" s="118" t="s">
        <v>2981</v>
      </c>
      <c r="C578" s="104" t="s">
        <v>2982</v>
      </c>
      <c r="D578" s="104" t="s">
        <v>748</v>
      </c>
      <c r="E578" s="104" t="s">
        <v>2983</v>
      </c>
      <c r="F578" s="139" t="s">
        <v>2984</v>
      </c>
      <c r="G578" s="149">
        <v>44496</v>
      </c>
      <c r="H578" s="150">
        <v>44486</v>
      </c>
      <c r="I578" s="108"/>
      <c r="J578" s="128" t="s">
        <v>2959</v>
      </c>
      <c r="K578" s="24" t="s">
        <v>73</v>
      </c>
      <c r="L578" s="24" t="s">
        <v>74</v>
      </c>
      <c r="M578" s="134" t="e">
        <f t="shared" si="10"/>
        <v>#NUM!</v>
      </c>
    </row>
    <row r="579" spans="1:13" ht="20.100000000000001" customHeight="1">
      <c r="A579" s="105" t="s">
        <v>2985</v>
      </c>
      <c r="B579" s="118" t="s">
        <v>367</v>
      </c>
      <c r="C579" s="104" t="s">
        <v>192</v>
      </c>
      <c r="D579" s="104" t="s">
        <v>1855</v>
      </c>
      <c r="E579" s="104" t="s">
        <v>2986</v>
      </c>
      <c r="F579" s="139" t="s">
        <v>2987</v>
      </c>
      <c r="G579" s="149">
        <v>43393</v>
      </c>
      <c r="H579" s="150">
        <v>43462</v>
      </c>
      <c r="I579" s="109">
        <v>43585</v>
      </c>
      <c r="J579" s="129" t="s">
        <v>2988</v>
      </c>
      <c r="K579" s="24" t="s">
        <v>73</v>
      </c>
      <c r="L579" s="24" t="s">
        <v>74</v>
      </c>
      <c r="M579" s="134">
        <f t="shared" ref="M579:M614" si="11">DATEDIF(G579,H579,"m")</f>
        <v>2</v>
      </c>
    </row>
    <row r="580" spans="1:13" ht="20.100000000000001" customHeight="1">
      <c r="A580" s="105" t="s">
        <v>2989</v>
      </c>
      <c r="B580" s="118" t="s">
        <v>369</v>
      </c>
      <c r="C580" s="104" t="s">
        <v>192</v>
      </c>
      <c r="D580" s="104" t="s">
        <v>1855</v>
      </c>
      <c r="E580" s="104" t="s">
        <v>2990</v>
      </c>
      <c r="F580" s="139" t="s">
        <v>2991</v>
      </c>
      <c r="G580" s="149">
        <v>43365</v>
      </c>
      <c r="H580" s="150">
        <v>43539</v>
      </c>
      <c r="I580" s="108">
        <v>43830</v>
      </c>
      <c r="J580" s="128" t="s">
        <v>2992</v>
      </c>
      <c r="K580" s="24" t="s">
        <v>73</v>
      </c>
      <c r="L580" s="24" t="s">
        <v>74</v>
      </c>
      <c r="M580" s="134">
        <f t="shared" si="11"/>
        <v>5</v>
      </c>
    </row>
    <row r="581" spans="1:13" ht="20.100000000000001" customHeight="1">
      <c r="A581" s="105" t="s">
        <v>2993</v>
      </c>
      <c r="B581" s="118" t="s">
        <v>2994</v>
      </c>
      <c r="C581" s="104" t="s">
        <v>2995</v>
      </c>
      <c r="D581" s="104" t="s">
        <v>2996</v>
      </c>
      <c r="E581" s="104" t="s">
        <v>2997</v>
      </c>
      <c r="F581" s="139" t="s">
        <v>2998</v>
      </c>
      <c r="G581" s="149">
        <v>43434</v>
      </c>
      <c r="H581" s="150">
        <v>43553</v>
      </c>
      <c r="I581" s="108">
        <v>43644</v>
      </c>
      <c r="J581" s="128" t="s">
        <v>2988</v>
      </c>
      <c r="K581" s="24" t="s">
        <v>73</v>
      </c>
      <c r="L581" s="24" t="s">
        <v>74</v>
      </c>
      <c r="M581" s="134">
        <f t="shared" si="11"/>
        <v>3</v>
      </c>
    </row>
    <row r="582" spans="1:13" ht="20.100000000000001" customHeight="1">
      <c r="A582" s="105" t="s">
        <v>2999</v>
      </c>
      <c r="B582" s="118" t="s">
        <v>371</v>
      </c>
      <c r="C582" s="104" t="s">
        <v>192</v>
      </c>
      <c r="D582" s="104" t="s">
        <v>1855</v>
      </c>
      <c r="E582" s="104" t="s">
        <v>3000</v>
      </c>
      <c r="F582" s="139" t="s">
        <v>3001</v>
      </c>
      <c r="G582" s="149">
        <v>43841</v>
      </c>
      <c r="H582" s="150">
        <v>43983</v>
      </c>
      <c r="I582" s="110">
        <v>44561</v>
      </c>
      <c r="J582" t="s">
        <v>273</v>
      </c>
      <c r="K582" s="24" t="s">
        <v>73</v>
      </c>
      <c r="L582" s="24" t="s">
        <v>74</v>
      </c>
      <c r="M582" s="134">
        <f t="shared" si="11"/>
        <v>4</v>
      </c>
    </row>
    <row r="583" spans="1:13" ht="20.100000000000001" customHeight="1">
      <c r="A583" s="105" t="s">
        <v>3002</v>
      </c>
      <c r="B583" s="118" t="s">
        <v>372</v>
      </c>
      <c r="C583" s="104" t="s">
        <v>192</v>
      </c>
      <c r="D583" s="104" t="s">
        <v>1855</v>
      </c>
      <c r="E583" s="104" t="s">
        <v>3003</v>
      </c>
      <c r="F583" s="139" t="s">
        <v>3004</v>
      </c>
      <c r="G583" s="149">
        <v>43911</v>
      </c>
      <c r="H583" s="150">
        <v>44094</v>
      </c>
      <c r="I583" s="109">
        <v>44275</v>
      </c>
      <c r="J583" s="128" t="s">
        <v>3005</v>
      </c>
      <c r="K583" s="24" t="s">
        <v>73</v>
      </c>
      <c r="L583" s="24" t="s">
        <v>74</v>
      </c>
      <c r="M583" s="134">
        <f t="shared" si="11"/>
        <v>5</v>
      </c>
    </row>
    <row r="584" spans="1:13" ht="20.100000000000001" customHeight="1">
      <c r="A584" s="105" t="s">
        <v>3006</v>
      </c>
      <c r="B584" s="118" t="s">
        <v>374</v>
      </c>
      <c r="C584" s="104" t="s">
        <v>192</v>
      </c>
      <c r="D584" s="104" t="s">
        <v>1855</v>
      </c>
      <c r="E584" s="104" t="s">
        <v>3007</v>
      </c>
      <c r="F584" s="139" t="s">
        <v>3008</v>
      </c>
      <c r="G584" s="149">
        <v>43967</v>
      </c>
      <c r="H584" s="150"/>
      <c r="I584" s="108"/>
      <c r="J584" s="128" t="s">
        <v>3009</v>
      </c>
      <c r="K584" s="24" t="s">
        <v>73</v>
      </c>
      <c r="L584" s="24" t="s">
        <v>74</v>
      </c>
      <c r="M584" s="134" t="e">
        <f t="shared" si="11"/>
        <v>#NUM!</v>
      </c>
    </row>
    <row r="585" spans="1:13" ht="20.100000000000001" customHeight="1">
      <c r="A585" s="105" t="s">
        <v>3010</v>
      </c>
      <c r="B585" s="118" t="s">
        <v>3011</v>
      </c>
      <c r="C585" s="104" t="s">
        <v>1420</v>
      </c>
      <c r="D585" s="104" t="s">
        <v>1855</v>
      </c>
      <c r="E585" s="104" t="s">
        <v>3012</v>
      </c>
      <c r="F585" s="139" t="s">
        <v>3013</v>
      </c>
      <c r="G585" s="149">
        <v>44280</v>
      </c>
      <c r="H585" s="150"/>
      <c r="I585" s="108"/>
      <c r="J585" s="128" t="s">
        <v>3014</v>
      </c>
      <c r="M585" s="134" t="e">
        <f t="shared" si="11"/>
        <v>#NUM!</v>
      </c>
    </row>
    <row r="586" spans="1:13" ht="20.100000000000001" customHeight="1">
      <c r="A586" s="105" t="s">
        <v>3015</v>
      </c>
      <c r="B586" s="118" t="s">
        <v>376</v>
      </c>
      <c r="C586" s="104" t="s">
        <v>3016</v>
      </c>
      <c r="D586" s="104" t="s">
        <v>3017</v>
      </c>
      <c r="E586" s="104" t="s">
        <v>3018</v>
      </c>
      <c r="F586" s="139" t="s">
        <v>3019</v>
      </c>
      <c r="G586" s="149">
        <v>44377</v>
      </c>
      <c r="H586" s="150">
        <v>44561</v>
      </c>
      <c r="I586" s="108"/>
      <c r="J586" s="128" t="s">
        <v>3020</v>
      </c>
      <c r="K586" s="24" t="s">
        <v>73</v>
      </c>
      <c r="L586" s="24" t="s">
        <v>74</v>
      </c>
      <c r="M586" s="134">
        <f t="shared" si="11"/>
        <v>6</v>
      </c>
    </row>
    <row r="587" spans="1:13" ht="20.100000000000001" customHeight="1">
      <c r="A587" s="105" t="s">
        <v>3021</v>
      </c>
      <c r="B587" s="118" t="s">
        <v>3022</v>
      </c>
      <c r="C587" s="104" t="s">
        <v>3023</v>
      </c>
      <c r="D587" s="104" t="s">
        <v>1855</v>
      </c>
      <c r="E587" s="104" t="s">
        <v>3024</v>
      </c>
      <c r="F587" s="139" t="s">
        <v>3025</v>
      </c>
      <c r="G587" s="149">
        <v>44399</v>
      </c>
      <c r="H587" s="150">
        <v>44582</v>
      </c>
      <c r="I587" s="110"/>
      <c r="J587" s="129" t="s">
        <v>3026</v>
      </c>
      <c r="K587" s="24" t="s">
        <v>540</v>
      </c>
      <c r="L587" s="62" t="s">
        <v>0</v>
      </c>
      <c r="M587" s="134">
        <f t="shared" si="11"/>
        <v>5</v>
      </c>
    </row>
    <row r="588" spans="1:13" ht="20.100000000000001" customHeight="1">
      <c r="A588" s="105" t="s">
        <v>3027</v>
      </c>
      <c r="B588" s="118" t="s">
        <v>3028</v>
      </c>
      <c r="C588" s="104" t="s">
        <v>3029</v>
      </c>
      <c r="D588" s="104" t="s">
        <v>3030</v>
      </c>
      <c r="E588" s="104" t="s">
        <v>855</v>
      </c>
      <c r="F588" s="139" t="s">
        <v>3031</v>
      </c>
      <c r="G588" s="149">
        <v>44408</v>
      </c>
      <c r="H588" s="150">
        <v>44591</v>
      </c>
      <c r="I588" s="108"/>
      <c r="J588" s="128" t="s">
        <v>3026</v>
      </c>
      <c r="K588" s="24" t="s">
        <v>540</v>
      </c>
      <c r="L588" s="62" t="s">
        <v>0</v>
      </c>
      <c r="M588" s="134">
        <f t="shared" si="11"/>
        <v>5</v>
      </c>
    </row>
    <row r="589" spans="1:13" ht="20.100000000000001" customHeight="1">
      <c r="A589" s="105" t="s">
        <v>3032</v>
      </c>
      <c r="B589" s="118" t="s">
        <v>3033</v>
      </c>
      <c r="C589" s="104" t="s">
        <v>2371</v>
      </c>
      <c r="D589" s="104" t="s">
        <v>1855</v>
      </c>
      <c r="E589" s="104" t="s">
        <v>3034</v>
      </c>
      <c r="F589" s="139" t="s">
        <v>3035</v>
      </c>
      <c r="G589" s="149">
        <v>44408</v>
      </c>
      <c r="H589" s="150">
        <v>44591</v>
      </c>
      <c r="I589" s="108"/>
      <c r="J589" s="128" t="s">
        <v>3026</v>
      </c>
      <c r="K589" s="24" t="s">
        <v>540</v>
      </c>
      <c r="L589" s="62" t="s">
        <v>0</v>
      </c>
      <c r="M589" s="134">
        <f t="shared" si="11"/>
        <v>5</v>
      </c>
    </row>
    <row r="590" spans="1:13" ht="20.100000000000001" customHeight="1">
      <c r="A590" s="105" t="s">
        <v>3036</v>
      </c>
      <c r="B590" s="118" t="s">
        <v>3037</v>
      </c>
      <c r="C590" s="104" t="s">
        <v>2371</v>
      </c>
      <c r="D590" s="104" t="s">
        <v>1855</v>
      </c>
      <c r="E590" s="104" t="s">
        <v>3038</v>
      </c>
      <c r="F590" s="139" t="s">
        <v>3039</v>
      </c>
      <c r="G590" s="149">
        <v>44468</v>
      </c>
      <c r="H590" s="150">
        <v>44651</v>
      </c>
      <c r="I590" s="110"/>
      <c r="J590" s="129" t="s">
        <v>3040</v>
      </c>
      <c r="K590" s="24" t="s">
        <v>73</v>
      </c>
      <c r="L590" s="24" t="s">
        <v>74</v>
      </c>
      <c r="M590" s="134">
        <f t="shared" si="11"/>
        <v>6</v>
      </c>
    </row>
    <row r="591" spans="1:13" ht="20.100000000000001" customHeight="1">
      <c r="A591" s="105" t="s">
        <v>3041</v>
      </c>
      <c r="B591" s="118" t="s">
        <v>3042</v>
      </c>
      <c r="C591" s="104" t="s">
        <v>2371</v>
      </c>
      <c r="D591" s="104" t="s">
        <v>1855</v>
      </c>
      <c r="E591" s="104" t="s">
        <v>3043</v>
      </c>
      <c r="F591" s="139" t="s">
        <v>3044</v>
      </c>
      <c r="G591" s="149">
        <v>44492</v>
      </c>
      <c r="H591" s="150">
        <v>44494</v>
      </c>
      <c r="I591" s="108"/>
      <c r="J591" s="128" t="s">
        <v>3045</v>
      </c>
      <c r="K591" s="24" t="s">
        <v>540</v>
      </c>
      <c r="L591" s="62" t="s">
        <v>0</v>
      </c>
      <c r="M591" s="134">
        <f t="shared" si="11"/>
        <v>0</v>
      </c>
    </row>
    <row r="592" spans="1:13" ht="20.100000000000001" customHeight="1">
      <c r="A592" s="105" t="s">
        <v>3046</v>
      </c>
      <c r="B592" s="118" t="s">
        <v>3047</v>
      </c>
      <c r="C592" s="104" t="s">
        <v>2583</v>
      </c>
      <c r="D592" s="104" t="s">
        <v>1855</v>
      </c>
      <c r="E592" s="104" t="s">
        <v>3048</v>
      </c>
      <c r="F592" s="139" t="s">
        <v>3049</v>
      </c>
      <c r="G592" s="149">
        <v>44572</v>
      </c>
      <c r="H592" s="150">
        <v>44753</v>
      </c>
      <c r="I592" s="108"/>
      <c r="J592" s="128" t="s">
        <v>3050</v>
      </c>
      <c r="K592" s="24" t="s">
        <v>540</v>
      </c>
      <c r="L592" s="62" t="s">
        <v>0</v>
      </c>
      <c r="M592" s="134">
        <f t="shared" si="11"/>
        <v>6</v>
      </c>
    </row>
    <row r="593" spans="1:13" ht="20.100000000000001" customHeight="1">
      <c r="A593" s="105" t="s">
        <v>3051</v>
      </c>
      <c r="B593" s="118" t="s">
        <v>3052</v>
      </c>
      <c r="C593" s="104" t="s">
        <v>1905</v>
      </c>
      <c r="D593" s="104" t="s">
        <v>1895</v>
      </c>
      <c r="E593" s="104" t="s">
        <v>1930</v>
      </c>
      <c r="F593" s="139" t="s">
        <v>3053</v>
      </c>
      <c r="G593" s="149">
        <v>43181</v>
      </c>
      <c r="H593" s="150">
        <v>43357</v>
      </c>
      <c r="I593" s="108">
        <v>43538</v>
      </c>
      <c r="J593" t="s">
        <v>396</v>
      </c>
      <c r="K593" s="24" t="s">
        <v>36</v>
      </c>
      <c r="L593" s="24" t="s">
        <v>28</v>
      </c>
      <c r="M593" s="134">
        <f t="shared" si="11"/>
        <v>5</v>
      </c>
    </row>
    <row r="594" spans="1:13" ht="20.100000000000001" customHeight="1">
      <c r="A594" s="105" t="s">
        <v>3054</v>
      </c>
      <c r="B594" s="118" t="s">
        <v>3055</v>
      </c>
      <c r="C594" s="104" t="s">
        <v>1905</v>
      </c>
      <c r="D594" s="104" t="s">
        <v>1895</v>
      </c>
      <c r="E594" s="104" t="s">
        <v>1930</v>
      </c>
      <c r="F594" s="139" t="s">
        <v>2039</v>
      </c>
      <c r="G594" s="149">
        <v>43348</v>
      </c>
      <c r="H594" s="150">
        <v>43522</v>
      </c>
      <c r="I594" s="108">
        <v>43703</v>
      </c>
      <c r="J594" t="s">
        <v>396</v>
      </c>
      <c r="K594" s="24" t="s">
        <v>36</v>
      </c>
      <c r="L594" s="24" t="s">
        <v>28</v>
      </c>
      <c r="M594" s="134">
        <f t="shared" si="11"/>
        <v>5</v>
      </c>
    </row>
    <row r="595" spans="1:13" ht="20.100000000000001" customHeight="1">
      <c r="A595" s="105" t="s">
        <v>3056</v>
      </c>
      <c r="B595" s="118" t="s">
        <v>3057</v>
      </c>
      <c r="C595" s="104" t="s">
        <v>1905</v>
      </c>
      <c r="D595" s="104" t="s">
        <v>1895</v>
      </c>
      <c r="E595" s="104" t="s">
        <v>1921</v>
      </c>
      <c r="F595" s="139" t="s">
        <v>3058</v>
      </c>
      <c r="G595" s="149">
        <v>43004</v>
      </c>
      <c r="H595" s="150">
        <v>43174</v>
      </c>
      <c r="I595" s="108">
        <v>43358</v>
      </c>
      <c r="J595" t="s">
        <v>396</v>
      </c>
      <c r="K595" s="24" t="s">
        <v>36</v>
      </c>
      <c r="L595" s="24" t="s">
        <v>28</v>
      </c>
      <c r="M595" s="134">
        <f t="shared" si="11"/>
        <v>5</v>
      </c>
    </row>
    <row r="596" spans="1:13" ht="20.100000000000001" customHeight="1">
      <c r="A596" s="105" t="s">
        <v>3059</v>
      </c>
      <c r="B596" s="118" t="s">
        <v>3060</v>
      </c>
      <c r="C596" s="104" t="s">
        <v>1905</v>
      </c>
      <c r="D596" s="104" t="s">
        <v>1895</v>
      </c>
      <c r="E596" s="104" t="s">
        <v>3061</v>
      </c>
      <c r="F596" s="139" t="s">
        <v>3062</v>
      </c>
      <c r="G596" s="149">
        <v>43845</v>
      </c>
      <c r="H596" s="150">
        <v>43922</v>
      </c>
      <c r="I596" s="108">
        <v>44104</v>
      </c>
      <c r="J596" t="s">
        <v>486</v>
      </c>
      <c r="K596" s="24" t="s">
        <v>36</v>
      </c>
      <c r="L596" s="24" t="s">
        <v>28</v>
      </c>
      <c r="M596" s="134">
        <f t="shared" si="11"/>
        <v>2</v>
      </c>
    </row>
    <row r="597" spans="1:13" ht="20.100000000000001" customHeight="1">
      <c r="A597" s="105" t="s">
        <v>3063</v>
      </c>
      <c r="B597" s="118" t="s">
        <v>3064</v>
      </c>
      <c r="C597" s="104" t="s">
        <v>1905</v>
      </c>
      <c r="D597" s="104" t="s">
        <v>1895</v>
      </c>
      <c r="E597" s="104" t="s">
        <v>3061</v>
      </c>
      <c r="F597" s="139" t="s">
        <v>487</v>
      </c>
      <c r="G597" s="149">
        <v>43845</v>
      </c>
      <c r="H597" s="150">
        <v>43830</v>
      </c>
      <c r="I597" s="108">
        <v>43646</v>
      </c>
      <c r="J597" t="s">
        <v>490</v>
      </c>
      <c r="K597" s="24" t="s">
        <v>36</v>
      </c>
      <c r="L597" s="24" t="s">
        <v>28</v>
      </c>
      <c r="M597" s="134" t="e">
        <f t="shared" si="11"/>
        <v>#NUM!</v>
      </c>
    </row>
    <row r="598" spans="1:13" ht="20.100000000000001" customHeight="1">
      <c r="A598" s="105" t="s">
        <v>3065</v>
      </c>
      <c r="B598" s="118" t="s">
        <v>3066</v>
      </c>
      <c r="C598" s="104" t="s">
        <v>3067</v>
      </c>
      <c r="D598" s="104" t="s">
        <v>1895</v>
      </c>
      <c r="E598" s="104" t="s">
        <v>3068</v>
      </c>
      <c r="F598" s="139" t="s">
        <v>3069</v>
      </c>
      <c r="G598" s="149">
        <v>44147</v>
      </c>
      <c r="H598" s="150">
        <v>44146</v>
      </c>
      <c r="I598" s="110"/>
      <c r="J598" s="129" t="s">
        <v>3070</v>
      </c>
      <c r="K598" s="24" t="s">
        <v>540</v>
      </c>
      <c r="L598" s="62" t="s">
        <v>0</v>
      </c>
      <c r="M598" s="134" t="e">
        <f t="shared" si="11"/>
        <v>#NUM!</v>
      </c>
    </row>
    <row r="599" spans="1:13" ht="20.100000000000001" customHeight="1">
      <c r="A599" s="105" t="s">
        <v>3071</v>
      </c>
      <c r="B599" s="118" t="s">
        <v>3072</v>
      </c>
      <c r="C599" s="104" t="s">
        <v>3073</v>
      </c>
      <c r="D599" s="104" t="s">
        <v>1895</v>
      </c>
      <c r="E599" s="104" t="s">
        <v>3074</v>
      </c>
      <c r="F599" s="139" t="s">
        <v>3075</v>
      </c>
      <c r="G599" s="149">
        <v>44502</v>
      </c>
      <c r="H599" s="150">
        <v>44683</v>
      </c>
      <c r="I599" s="108"/>
      <c r="J599" s="128" t="s">
        <v>3076</v>
      </c>
      <c r="K599" s="24" t="s">
        <v>27</v>
      </c>
      <c r="L599" s="24" t="s">
        <v>28</v>
      </c>
      <c r="M599" s="134">
        <f t="shared" si="11"/>
        <v>6</v>
      </c>
    </row>
    <row r="600" spans="1:13" ht="20.100000000000001" customHeight="1">
      <c r="A600" s="105" t="s">
        <v>3077</v>
      </c>
      <c r="B600" s="118" t="s">
        <v>3078</v>
      </c>
      <c r="C600" s="104" t="s">
        <v>1894</v>
      </c>
      <c r="D600" s="104" t="s">
        <v>1895</v>
      </c>
      <c r="E600" s="104" t="s">
        <v>3079</v>
      </c>
      <c r="F600" s="139" t="s">
        <v>491</v>
      </c>
      <c r="G600" s="149">
        <v>44222</v>
      </c>
      <c r="H600" s="150">
        <v>44404</v>
      </c>
      <c r="I600" s="108"/>
      <c r="J600" s="128" t="s">
        <v>3080</v>
      </c>
      <c r="K600" s="24" t="s">
        <v>27</v>
      </c>
      <c r="L600" s="24" t="s">
        <v>28</v>
      </c>
      <c r="M600" s="134">
        <f t="shared" si="11"/>
        <v>6</v>
      </c>
    </row>
    <row r="601" spans="1:13" ht="20.100000000000001" customHeight="1">
      <c r="A601" s="105" t="s">
        <v>3081</v>
      </c>
      <c r="B601" s="118" t="s">
        <v>3082</v>
      </c>
      <c r="C601" s="104" t="s">
        <v>1915</v>
      </c>
      <c r="D601" s="104" t="s">
        <v>1895</v>
      </c>
      <c r="E601" s="104" t="s">
        <v>3083</v>
      </c>
      <c r="F601" s="139" t="s">
        <v>3084</v>
      </c>
      <c r="G601" s="149">
        <v>43999</v>
      </c>
      <c r="H601" s="150"/>
      <c r="I601" s="108"/>
      <c r="J601" t="s">
        <v>3085</v>
      </c>
      <c r="K601" s="24" t="s">
        <v>75</v>
      </c>
      <c r="L601" s="24" t="s">
        <v>103</v>
      </c>
      <c r="M601" s="134" t="e">
        <f t="shared" si="11"/>
        <v>#NUM!</v>
      </c>
    </row>
    <row r="602" spans="1:13" ht="20.100000000000001" customHeight="1">
      <c r="A602" s="105" t="s">
        <v>3086</v>
      </c>
      <c r="B602" s="118" t="s">
        <v>3087</v>
      </c>
      <c r="C602" s="104" t="s">
        <v>1915</v>
      </c>
      <c r="D602" s="104" t="s">
        <v>1895</v>
      </c>
      <c r="E602" s="104" t="s">
        <v>3088</v>
      </c>
      <c r="F602" s="139" t="s">
        <v>3089</v>
      </c>
      <c r="G602" s="149">
        <v>42882</v>
      </c>
      <c r="H602" s="150">
        <v>43065</v>
      </c>
      <c r="I602" s="108">
        <v>43246</v>
      </c>
      <c r="J602" t="s">
        <v>3090</v>
      </c>
      <c r="K602" s="24" t="s">
        <v>60</v>
      </c>
      <c r="L602" s="24" t="s">
        <v>28</v>
      </c>
      <c r="M602" s="134">
        <f t="shared" si="11"/>
        <v>5</v>
      </c>
    </row>
    <row r="603" spans="1:13" ht="20.100000000000001" customHeight="1">
      <c r="A603" s="105" t="s">
        <v>3091</v>
      </c>
      <c r="B603" s="118" t="s">
        <v>3092</v>
      </c>
      <c r="C603" s="104" t="s">
        <v>1894</v>
      </c>
      <c r="D603" s="104" t="s">
        <v>1895</v>
      </c>
      <c r="E603" s="104" t="s">
        <v>3093</v>
      </c>
      <c r="F603" s="139" t="s">
        <v>496</v>
      </c>
      <c r="G603" s="149">
        <v>44364</v>
      </c>
      <c r="H603" s="150">
        <v>44517</v>
      </c>
      <c r="I603" s="108"/>
      <c r="J603" s="128" t="s">
        <v>3080</v>
      </c>
      <c r="K603" s="24" t="s">
        <v>27</v>
      </c>
      <c r="L603" s="24" t="s">
        <v>28</v>
      </c>
      <c r="M603" s="134">
        <f t="shared" si="11"/>
        <v>5</v>
      </c>
    </row>
    <row r="604" spans="1:13" ht="20.100000000000001" customHeight="1">
      <c r="A604" s="105" t="s">
        <v>3094</v>
      </c>
      <c r="B604" s="118" t="s">
        <v>3095</v>
      </c>
      <c r="C604" s="104" t="s">
        <v>1894</v>
      </c>
      <c r="D604" s="104" t="s">
        <v>1895</v>
      </c>
      <c r="E604" s="104" t="s">
        <v>3096</v>
      </c>
      <c r="F604" s="139" t="s">
        <v>500</v>
      </c>
      <c r="G604" s="149">
        <v>44364</v>
      </c>
      <c r="H604" s="150">
        <v>44537</v>
      </c>
      <c r="I604" s="108"/>
      <c r="J604" s="128" t="s">
        <v>3080</v>
      </c>
      <c r="K604" s="24" t="s">
        <v>27</v>
      </c>
      <c r="L604" s="24" t="s">
        <v>28</v>
      </c>
      <c r="M604" s="134">
        <f t="shared" si="11"/>
        <v>5</v>
      </c>
    </row>
    <row r="605" spans="1:13" ht="20.100000000000001" customHeight="1">
      <c r="A605" s="105" t="s">
        <v>3097</v>
      </c>
      <c r="B605" s="118" t="s">
        <v>3098</v>
      </c>
      <c r="C605" s="104" t="s">
        <v>1894</v>
      </c>
      <c r="D605" s="104" t="s">
        <v>1895</v>
      </c>
      <c r="E605" s="104" t="s">
        <v>3099</v>
      </c>
      <c r="F605" s="139" t="s">
        <v>3100</v>
      </c>
      <c r="G605" s="149">
        <v>44379</v>
      </c>
      <c r="H605" s="150">
        <v>44571</v>
      </c>
      <c r="I605" s="108"/>
      <c r="J605" s="128" t="s">
        <v>3080</v>
      </c>
      <c r="K605" s="24" t="s">
        <v>27</v>
      </c>
      <c r="L605" s="24" t="s">
        <v>28</v>
      </c>
      <c r="M605" s="134">
        <f t="shared" si="11"/>
        <v>6</v>
      </c>
    </row>
    <row r="606" spans="1:13" ht="20.100000000000001" customHeight="1">
      <c r="A606" s="105" t="s">
        <v>3101</v>
      </c>
      <c r="B606" s="118" t="s">
        <v>3102</v>
      </c>
      <c r="C606" s="104" t="s">
        <v>1894</v>
      </c>
      <c r="D606" s="104" t="s">
        <v>1895</v>
      </c>
      <c r="E606" s="104" t="s">
        <v>3103</v>
      </c>
      <c r="F606" s="139" t="s">
        <v>506</v>
      </c>
      <c r="G606" s="149">
        <v>44426</v>
      </c>
      <c r="H606" s="150">
        <v>44619</v>
      </c>
      <c r="I606" s="108"/>
      <c r="J606" s="128" t="s">
        <v>3080</v>
      </c>
      <c r="K606" s="24" t="s">
        <v>27</v>
      </c>
      <c r="L606" s="24" t="s">
        <v>28</v>
      </c>
      <c r="M606" s="134">
        <f t="shared" si="11"/>
        <v>6</v>
      </c>
    </row>
    <row r="607" spans="1:13" ht="20.100000000000001" customHeight="1">
      <c r="A607" s="105" t="s">
        <v>3104</v>
      </c>
      <c r="B607" s="118" t="s">
        <v>3105</v>
      </c>
      <c r="C607" s="104" t="s">
        <v>1894</v>
      </c>
      <c r="D607" s="104" t="s">
        <v>1895</v>
      </c>
      <c r="E607" s="104" t="s">
        <v>3106</v>
      </c>
      <c r="F607" s="139" t="s">
        <v>3107</v>
      </c>
      <c r="G607" s="149">
        <v>44462</v>
      </c>
      <c r="H607" s="150">
        <v>44645</v>
      </c>
      <c r="I607" s="108"/>
      <c r="J607" s="128" t="s">
        <v>3108</v>
      </c>
      <c r="K607" s="24" t="s">
        <v>27</v>
      </c>
      <c r="L607" s="24" t="s">
        <v>28</v>
      </c>
      <c r="M607" s="134">
        <f t="shared" si="11"/>
        <v>6</v>
      </c>
    </row>
    <row r="608" spans="1:13" ht="20.100000000000001" customHeight="1">
      <c r="A608" s="105" t="s">
        <v>3109</v>
      </c>
      <c r="B608" s="118" t="s">
        <v>3110</v>
      </c>
      <c r="C608" s="104" t="s">
        <v>1894</v>
      </c>
      <c r="D608" s="104" t="s">
        <v>1895</v>
      </c>
      <c r="E608" s="104" t="s">
        <v>3111</v>
      </c>
      <c r="F608" s="139" t="s">
        <v>3112</v>
      </c>
      <c r="G608" s="149">
        <v>44517</v>
      </c>
      <c r="H608" s="150">
        <v>44883</v>
      </c>
      <c r="I608" s="108"/>
      <c r="J608" s="128" t="s">
        <v>3113</v>
      </c>
      <c r="K608" s="24" t="s">
        <v>540</v>
      </c>
      <c r="L608" s="62" t="s">
        <v>0</v>
      </c>
      <c r="M608" s="134">
        <f t="shared" si="11"/>
        <v>12</v>
      </c>
    </row>
    <row r="609" spans="1:13" ht="20.100000000000001" customHeight="1">
      <c r="A609" s="105" t="s">
        <v>3114</v>
      </c>
      <c r="B609" s="118" t="s">
        <v>3115</v>
      </c>
      <c r="C609" s="104" t="s">
        <v>1894</v>
      </c>
      <c r="D609" s="104" t="s">
        <v>1895</v>
      </c>
      <c r="E609" s="104" t="s">
        <v>3116</v>
      </c>
      <c r="F609" s="139" t="s">
        <v>3117</v>
      </c>
      <c r="G609" s="149">
        <v>44517</v>
      </c>
      <c r="H609" s="150">
        <v>44707</v>
      </c>
      <c r="I609" s="108"/>
      <c r="J609" s="128" t="s">
        <v>3118</v>
      </c>
      <c r="K609" s="24" t="s">
        <v>540</v>
      </c>
      <c r="L609" s="62" t="s">
        <v>0</v>
      </c>
      <c r="M609" s="134">
        <f t="shared" si="11"/>
        <v>6</v>
      </c>
    </row>
    <row r="610" spans="1:13" ht="20.100000000000001" customHeight="1">
      <c r="A610" s="105" t="s">
        <v>3119</v>
      </c>
      <c r="B610" s="118" t="s">
        <v>3120</v>
      </c>
      <c r="C610" s="104" t="s">
        <v>3121</v>
      </c>
      <c r="D610" s="104" t="s">
        <v>1895</v>
      </c>
      <c r="E610" s="104" t="s">
        <v>3122</v>
      </c>
      <c r="F610" s="139" t="s">
        <v>3123</v>
      </c>
      <c r="G610" s="149">
        <v>44188</v>
      </c>
      <c r="H610" s="150">
        <v>44377</v>
      </c>
      <c r="I610" s="108"/>
      <c r="J610" s="128" t="s">
        <v>3080</v>
      </c>
      <c r="K610" s="24" t="s">
        <v>27</v>
      </c>
      <c r="L610" s="24" t="s">
        <v>28</v>
      </c>
      <c r="M610" s="134">
        <f t="shared" si="11"/>
        <v>6</v>
      </c>
    </row>
    <row r="611" spans="1:13" ht="20.100000000000001" customHeight="1">
      <c r="A611" s="105" t="s">
        <v>3124</v>
      </c>
      <c r="B611" s="118" t="s">
        <v>3125</v>
      </c>
      <c r="C611" s="104" t="s">
        <v>529</v>
      </c>
      <c r="D611" s="104" t="s">
        <v>606</v>
      </c>
      <c r="E611" s="104" t="s">
        <v>3126</v>
      </c>
      <c r="F611" s="139" t="s">
        <v>3127</v>
      </c>
      <c r="G611" s="149">
        <v>43130</v>
      </c>
      <c r="H611" s="150">
        <v>43301</v>
      </c>
      <c r="I611" s="108">
        <v>43485</v>
      </c>
      <c r="J611" t="s">
        <v>3128</v>
      </c>
      <c r="K611" s="24" t="s">
        <v>73</v>
      </c>
      <c r="L611" s="24" t="s">
        <v>74</v>
      </c>
      <c r="M611" s="134">
        <f t="shared" si="11"/>
        <v>5</v>
      </c>
    </row>
    <row r="612" spans="1:13" ht="20.100000000000001" customHeight="1">
      <c r="A612" s="105" t="s">
        <v>3129</v>
      </c>
      <c r="B612" s="118" t="s">
        <v>3130</v>
      </c>
      <c r="C612" s="104" t="s">
        <v>529</v>
      </c>
      <c r="D612" s="104" t="s">
        <v>3131</v>
      </c>
      <c r="E612" s="104" t="s">
        <v>3132</v>
      </c>
      <c r="F612" s="139" t="s">
        <v>3133</v>
      </c>
      <c r="G612" s="149">
        <v>42928</v>
      </c>
      <c r="H612" s="150">
        <v>43100</v>
      </c>
      <c r="I612" s="108">
        <v>43281</v>
      </c>
      <c r="J612" t="s">
        <v>3134</v>
      </c>
      <c r="K612" s="24" t="s">
        <v>73</v>
      </c>
      <c r="L612" s="24" t="s">
        <v>74</v>
      </c>
      <c r="M612" s="134">
        <f t="shared" si="11"/>
        <v>5</v>
      </c>
    </row>
    <row r="613" spans="1:13" ht="21" customHeight="1">
      <c r="A613" s="105" t="s">
        <v>3135</v>
      </c>
      <c r="B613" s="118" t="s">
        <v>3136</v>
      </c>
      <c r="C613" s="104" t="s">
        <v>529</v>
      </c>
      <c r="D613" s="104" t="s">
        <v>606</v>
      </c>
      <c r="E613" s="104" t="s">
        <v>3137</v>
      </c>
      <c r="F613" s="139" t="s">
        <v>3138</v>
      </c>
      <c r="G613" s="149">
        <v>43041</v>
      </c>
      <c r="H613" s="150">
        <v>42969</v>
      </c>
      <c r="I613" s="108">
        <v>42794</v>
      </c>
      <c r="J613" s="128" t="s">
        <v>3139</v>
      </c>
      <c r="K613" s="24" t="s">
        <v>27</v>
      </c>
      <c r="L613" s="24" t="s">
        <v>28</v>
      </c>
      <c r="M613" s="134" t="e">
        <f t="shared" si="11"/>
        <v>#NUM!</v>
      </c>
    </row>
    <row r="614" spans="1:13" ht="20.100000000000001" customHeight="1">
      <c r="A614" s="105" t="s">
        <v>3140</v>
      </c>
      <c r="B614" s="118" t="s">
        <v>3141</v>
      </c>
      <c r="C614" s="104" t="s">
        <v>529</v>
      </c>
      <c r="D614" s="104" t="s">
        <v>606</v>
      </c>
      <c r="E614" s="104" t="s">
        <v>3142</v>
      </c>
      <c r="F614" s="139" t="s">
        <v>3143</v>
      </c>
      <c r="G614" s="149">
        <v>43012</v>
      </c>
      <c r="H614" s="150">
        <v>43190</v>
      </c>
      <c r="I614" s="108">
        <v>43311</v>
      </c>
      <c r="J614" s="128" t="s">
        <v>3144</v>
      </c>
      <c r="K614" s="24" t="s">
        <v>73</v>
      </c>
      <c r="L614" s="24" t="s">
        <v>74</v>
      </c>
      <c r="M614" s="134">
        <f t="shared" si="11"/>
        <v>5</v>
      </c>
    </row>
    <row r="615" spans="1:13" ht="20.100000000000001" customHeight="1">
      <c r="A615" s="105" t="s">
        <v>3145</v>
      </c>
      <c r="B615" s="118" t="s">
        <v>378</v>
      </c>
      <c r="C615" s="104" t="s">
        <v>192</v>
      </c>
      <c r="D615" s="104" t="s">
        <v>3146</v>
      </c>
      <c r="E615" s="104" t="s">
        <v>3147</v>
      </c>
      <c r="F615" s="139" t="s">
        <v>3148</v>
      </c>
      <c r="G615" s="149">
        <v>42972</v>
      </c>
      <c r="H615" s="144"/>
      <c r="I615" s="110"/>
      <c r="J615" s="131"/>
    </row>
    <row r="616" spans="1:13">
      <c r="G616" s="149"/>
      <c r="H616" s="146"/>
      <c r="I616" s="135"/>
      <c r="J616" s="132"/>
    </row>
    <row r="617" spans="1:13">
      <c r="G617" s="149"/>
    </row>
    <row r="618" spans="1:13">
      <c r="C618" s="24" cm="1">
        <f t="array" ref="C618:C619">FREQUENCY(C2:C615,C624:C644)</f>
        <v>0</v>
      </c>
      <c r="G618" s="149"/>
    </row>
    <row r="619" spans="1:13">
      <c r="C619" s="24">
        <v>0</v>
      </c>
      <c r="G619" s="149"/>
    </row>
    <row r="620" spans="1:13">
      <c r="G620" s="149"/>
    </row>
    <row r="621" spans="1:13">
      <c r="G621" s="149"/>
    </row>
    <row r="622" spans="1:13">
      <c r="G622" s="149"/>
    </row>
    <row r="623" spans="1:13">
      <c r="G623" s="149"/>
    </row>
    <row r="624" spans="1:13">
      <c r="G624" s="149"/>
    </row>
    <row r="625" spans="7:7">
      <c r="G625" s="149"/>
    </row>
    <row r="626" spans="7:7">
      <c r="G626" s="149"/>
    </row>
    <row r="627" spans="7:7">
      <c r="G627" s="149"/>
    </row>
    <row r="628" spans="7:7">
      <c r="G628" s="149"/>
    </row>
    <row r="629" spans="7:7">
      <c r="G629" s="149"/>
    </row>
    <row r="630" spans="7:7">
      <c r="G630" s="149"/>
    </row>
    <row r="631" spans="7:7">
      <c r="G631" s="149"/>
    </row>
    <row r="632" spans="7:7">
      <c r="G632" s="149"/>
    </row>
    <row r="633" spans="7:7">
      <c r="G633" s="149"/>
    </row>
    <row r="634" spans="7:7">
      <c r="G634" s="149"/>
    </row>
    <row r="635" spans="7:7">
      <c r="G635" s="149"/>
    </row>
    <row r="636" spans="7:7">
      <c r="G636" s="149"/>
    </row>
    <row r="637" spans="7:7">
      <c r="G637" s="149"/>
    </row>
    <row r="638" spans="7:7">
      <c r="G638" s="149"/>
    </row>
    <row r="639" spans="7:7">
      <c r="G639" s="149"/>
    </row>
    <row r="640" spans="7:7">
      <c r="G640" s="149"/>
    </row>
    <row r="641" spans="7:7">
      <c r="G641" s="149"/>
    </row>
    <row r="642" spans="7:7">
      <c r="G642" s="149"/>
    </row>
    <row r="643" spans="7:7">
      <c r="G643" s="149"/>
    </row>
    <row r="644" spans="7:7">
      <c r="G644" s="149"/>
    </row>
    <row r="645" spans="7:7">
      <c r="G645" s="149"/>
    </row>
    <row r="646" spans="7:7">
      <c r="G646" s="149"/>
    </row>
    <row r="647" spans="7:7">
      <c r="G647" s="149"/>
    </row>
    <row r="648" spans="7:7">
      <c r="G648" s="149"/>
    </row>
    <row r="649" spans="7:7">
      <c r="G649" s="149"/>
    </row>
    <row r="650" spans="7:7">
      <c r="G650" s="149"/>
    </row>
    <row r="651" spans="7:7">
      <c r="G651" s="149"/>
    </row>
    <row r="652" spans="7:7">
      <c r="G652" s="149"/>
    </row>
    <row r="653" spans="7:7">
      <c r="G653" s="149"/>
    </row>
    <row r="654" spans="7:7">
      <c r="G654" s="149"/>
    </row>
    <row r="655" spans="7:7">
      <c r="G655" s="149"/>
    </row>
    <row r="656" spans="7:7">
      <c r="G656" s="149"/>
    </row>
    <row r="657" spans="7:7">
      <c r="G657" s="149"/>
    </row>
    <row r="658" spans="7:7">
      <c r="G658" s="149"/>
    </row>
    <row r="659" spans="7:7">
      <c r="G659" s="149"/>
    </row>
    <row r="660" spans="7:7">
      <c r="G660" s="149"/>
    </row>
    <row r="661" spans="7:7">
      <c r="G661" s="149"/>
    </row>
    <row r="662" spans="7:7">
      <c r="G662" s="149"/>
    </row>
    <row r="663" spans="7:7">
      <c r="G663" s="149"/>
    </row>
    <row r="664" spans="7:7">
      <c r="G664" s="149"/>
    </row>
    <row r="665" spans="7:7">
      <c r="G665" s="149"/>
    </row>
    <row r="666" spans="7:7">
      <c r="G666" s="149"/>
    </row>
    <row r="667" spans="7:7">
      <c r="G667" s="149"/>
    </row>
    <row r="668" spans="7:7">
      <c r="G668" s="149"/>
    </row>
    <row r="669" spans="7:7">
      <c r="G669" s="149"/>
    </row>
    <row r="670" spans="7:7">
      <c r="G670" s="149"/>
    </row>
    <row r="671" spans="7:7">
      <c r="G671" s="149"/>
    </row>
    <row r="672" spans="7:7">
      <c r="G672" s="149"/>
    </row>
    <row r="673" spans="7:7">
      <c r="G673" s="149"/>
    </row>
    <row r="674" spans="7:7">
      <c r="G674" s="149"/>
    </row>
    <row r="675" spans="7:7">
      <c r="G675" s="149"/>
    </row>
    <row r="676" spans="7:7">
      <c r="G676" s="149"/>
    </row>
    <row r="677" spans="7:7">
      <c r="G677" s="149"/>
    </row>
    <row r="678" spans="7:7">
      <c r="G678" s="149"/>
    </row>
    <row r="679" spans="7:7">
      <c r="G679" s="149"/>
    </row>
    <row r="680" spans="7:7">
      <c r="G680" s="149"/>
    </row>
    <row r="681" spans="7:7">
      <c r="G681" s="149"/>
    </row>
    <row r="682" spans="7:7">
      <c r="G682" s="149"/>
    </row>
    <row r="683" spans="7:7">
      <c r="G683" s="149"/>
    </row>
    <row r="684" spans="7:7">
      <c r="G684" s="149"/>
    </row>
    <row r="685" spans="7:7">
      <c r="G685" s="149"/>
    </row>
    <row r="686" spans="7:7">
      <c r="G686" s="149"/>
    </row>
    <row r="687" spans="7:7">
      <c r="G687" s="149"/>
    </row>
    <row r="688" spans="7:7">
      <c r="G688" s="149"/>
    </row>
    <row r="689" spans="7:7">
      <c r="G689" s="149"/>
    </row>
    <row r="690" spans="7:7">
      <c r="G690" s="149"/>
    </row>
    <row r="691" spans="7:7">
      <c r="G691" s="149"/>
    </row>
    <row r="692" spans="7:7">
      <c r="G692" s="149"/>
    </row>
    <row r="693" spans="7:7">
      <c r="G693" s="149"/>
    </row>
    <row r="694" spans="7:7">
      <c r="G694" s="149"/>
    </row>
    <row r="695" spans="7:7">
      <c r="G695" s="149"/>
    </row>
    <row r="696" spans="7:7">
      <c r="G696" s="149"/>
    </row>
    <row r="697" spans="7:7">
      <c r="G697" s="149"/>
    </row>
    <row r="698" spans="7:7">
      <c r="G698" s="149"/>
    </row>
    <row r="699" spans="7:7">
      <c r="G699" s="149"/>
    </row>
    <row r="700" spans="7:7">
      <c r="G700" s="149"/>
    </row>
    <row r="701" spans="7:7">
      <c r="G701" s="149"/>
    </row>
    <row r="702" spans="7:7">
      <c r="G702" s="149"/>
    </row>
    <row r="703" spans="7:7">
      <c r="G703" s="149"/>
    </row>
    <row r="704" spans="7:7">
      <c r="G704" s="149"/>
    </row>
    <row r="705" spans="7:7">
      <c r="G705" s="149"/>
    </row>
    <row r="706" spans="7:7">
      <c r="G706" s="149"/>
    </row>
    <row r="707" spans="7:7">
      <c r="G707" s="149"/>
    </row>
    <row r="708" spans="7:7">
      <c r="G708" s="149"/>
    </row>
    <row r="709" spans="7:7">
      <c r="G709" s="149"/>
    </row>
    <row r="710" spans="7:7">
      <c r="G710" s="149"/>
    </row>
    <row r="711" spans="7:7">
      <c r="G711" s="149"/>
    </row>
    <row r="712" spans="7:7">
      <c r="G712" s="149"/>
    </row>
    <row r="713" spans="7:7">
      <c r="G713" s="149"/>
    </row>
    <row r="714" spans="7:7">
      <c r="G714" s="149"/>
    </row>
    <row r="715" spans="7:7">
      <c r="G715" s="149"/>
    </row>
    <row r="716" spans="7:7">
      <c r="G716" s="149"/>
    </row>
    <row r="717" spans="7:7">
      <c r="G717" s="149"/>
    </row>
    <row r="718" spans="7:7">
      <c r="G718" s="149"/>
    </row>
    <row r="719" spans="7:7">
      <c r="G719" s="149"/>
    </row>
    <row r="720" spans="7:7">
      <c r="G720" s="149"/>
    </row>
    <row r="721" spans="7:7">
      <c r="G721" s="149"/>
    </row>
    <row r="722" spans="7:7">
      <c r="G722" s="149"/>
    </row>
    <row r="723" spans="7:7">
      <c r="G723" s="149"/>
    </row>
    <row r="724" spans="7:7">
      <c r="G724" s="149"/>
    </row>
    <row r="725" spans="7:7">
      <c r="G725" s="149"/>
    </row>
    <row r="726" spans="7:7">
      <c r="G726" s="149"/>
    </row>
    <row r="727" spans="7:7">
      <c r="G727" s="149"/>
    </row>
    <row r="728" spans="7:7">
      <c r="G728" s="149"/>
    </row>
    <row r="729" spans="7:7">
      <c r="G729" s="149"/>
    </row>
    <row r="730" spans="7:7">
      <c r="G730" s="149"/>
    </row>
    <row r="731" spans="7:7">
      <c r="G731" s="149"/>
    </row>
    <row r="732" spans="7:7">
      <c r="G732" s="149"/>
    </row>
    <row r="733" spans="7:7">
      <c r="G733" s="149"/>
    </row>
    <row r="734" spans="7:7">
      <c r="G734" s="149"/>
    </row>
    <row r="735" spans="7:7">
      <c r="G735" s="149"/>
    </row>
    <row r="736" spans="7:7">
      <c r="G736" s="149"/>
    </row>
    <row r="737" spans="7:7">
      <c r="G737" s="149"/>
    </row>
    <row r="738" spans="7:7">
      <c r="G738" s="149"/>
    </row>
    <row r="739" spans="7:7">
      <c r="G739" s="149"/>
    </row>
    <row r="740" spans="7:7">
      <c r="G740" s="149"/>
    </row>
    <row r="741" spans="7:7">
      <c r="G741" s="149"/>
    </row>
    <row r="742" spans="7:7">
      <c r="G742" s="149"/>
    </row>
    <row r="743" spans="7:7">
      <c r="G743" s="149"/>
    </row>
    <row r="744" spans="7:7">
      <c r="G744" s="149"/>
    </row>
    <row r="745" spans="7:7">
      <c r="G745" s="149"/>
    </row>
    <row r="746" spans="7:7">
      <c r="G746" s="149"/>
    </row>
    <row r="747" spans="7:7">
      <c r="G747" s="149"/>
    </row>
    <row r="748" spans="7:7">
      <c r="G748" s="149"/>
    </row>
    <row r="749" spans="7:7">
      <c r="G749" s="149"/>
    </row>
    <row r="750" spans="7:7">
      <c r="G750" s="149"/>
    </row>
    <row r="751" spans="7:7">
      <c r="G751" s="149"/>
    </row>
    <row r="752" spans="7:7">
      <c r="G752" s="149"/>
    </row>
    <row r="753" spans="7:7">
      <c r="G753" s="149"/>
    </row>
    <row r="754" spans="7:7">
      <c r="G754" s="149"/>
    </row>
    <row r="755" spans="7:7">
      <c r="G755" s="149"/>
    </row>
    <row r="756" spans="7:7">
      <c r="G756" s="149"/>
    </row>
    <row r="757" spans="7:7">
      <c r="G757" s="149"/>
    </row>
    <row r="758" spans="7:7">
      <c r="G758" s="149"/>
    </row>
    <row r="759" spans="7:7">
      <c r="G759" s="149"/>
    </row>
    <row r="760" spans="7:7">
      <c r="G760" s="149"/>
    </row>
    <row r="761" spans="7:7">
      <c r="G761" s="149"/>
    </row>
    <row r="762" spans="7:7">
      <c r="G762" s="149"/>
    </row>
    <row r="763" spans="7:7">
      <c r="G763" s="149"/>
    </row>
    <row r="764" spans="7:7">
      <c r="G764" s="149"/>
    </row>
    <row r="765" spans="7:7">
      <c r="G765" s="149"/>
    </row>
    <row r="766" spans="7:7">
      <c r="G766" s="149"/>
    </row>
    <row r="767" spans="7:7">
      <c r="G767" s="149"/>
    </row>
    <row r="768" spans="7:7">
      <c r="G768" s="149"/>
    </row>
    <row r="769" spans="7:7">
      <c r="G769" s="149"/>
    </row>
    <row r="770" spans="7:7">
      <c r="G770" s="149"/>
    </row>
    <row r="771" spans="7:7">
      <c r="G771" s="149"/>
    </row>
    <row r="772" spans="7:7">
      <c r="G772" s="149"/>
    </row>
    <row r="773" spans="7:7">
      <c r="G773" s="149"/>
    </row>
    <row r="774" spans="7:7">
      <c r="G774" s="149"/>
    </row>
    <row r="775" spans="7:7">
      <c r="G775" s="149"/>
    </row>
    <row r="776" spans="7:7">
      <c r="G776" s="149"/>
    </row>
    <row r="777" spans="7:7">
      <c r="G777" s="149"/>
    </row>
    <row r="778" spans="7:7">
      <c r="G778" s="149"/>
    </row>
    <row r="779" spans="7:7">
      <c r="G779" s="149"/>
    </row>
    <row r="780" spans="7:7">
      <c r="G780" s="149"/>
    </row>
    <row r="781" spans="7:7">
      <c r="G781" s="149"/>
    </row>
    <row r="782" spans="7:7">
      <c r="G782" s="149"/>
    </row>
    <row r="783" spans="7:7">
      <c r="G783" s="149"/>
    </row>
    <row r="784" spans="7:7">
      <c r="G784" s="149"/>
    </row>
    <row r="785" spans="7:7">
      <c r="G785" s="149"/>
    </row>
    <row r="786" spans="7:7">
      <c r="G786" s="149"/>
    </row>
    <row r="787" spans="7:7">
      <c r="G787" s="149"/>
    </row>
    <row r="788" spans="7:7">
      <c r="G788" s="149"/>
    </row>
    <row r="789" spans="7:7">
      <c r="G789" s="149"/>
    </row>
    <row r="790" spans="7:7">
      <c r="G790" s="149"/>
    </row>
    <row r="791" spans="7:7">
      <c r="G791" s="149"/>
    </row>
    <row r="792" spans="7:7">
      <c r="G792" s="149"/>
    </row>
    <row r="793" spans="7:7">
      <c r="G793" s="149"/>
    </row>
    <row r="794" spans="7:7">
      <c r="G794" s="149"/>
    </row>
    <row r="795" spans="7:7">
      <c r="G795" s="149"/>
    </row>
    <row r="796" spans="7:7">
      <c r="G796" s="149"/>
    </row>
    <row r="797" spans="7:7">
      <c r="G797" s="149"/>
    </row>
    <row r="798" spans="7:7">
      <c r="G798" s="149"/>
    </row>
    <row r="799" spans="7:7">
      <c r="G799" s="149"/>
    </row>
    <row r="800" spans="7:7">
      <c r="G800" s="149"/>
    </row>
    <row r="801" spans="7:7">
      <c r="G801" s="149"/>
    </row>
    <row r="802" spans="7:7">
      <c r="G802" s="149"/>
    </row>
    <row r="803" spans="7:7">
      <c r="G803" s="149"/>
    </row>
    <row r="804" spans="7:7">
      <c r="G804" s="149"/>
    </row>
    <row r="805" spans="7:7">
      <c r="G805" s="149"/>
    </row>
    <row r="806" spans="7:7">
      <c r="G806" s="149"/>
    </row>
    <row r="807" spans="7:7">
      <c r="G807" s="149"/>
    </row>
    <row r="808" spans="7:7">
      <c r="G808" s="149"/>
    </row>
    <row r="809" spans="7:7">
      <c r="G809" s="149"/>
    </row>
    <row r="810" spans="7:7">
      <c r="G810" s="149"/>
    </row>
    <row r="811" spans="7:7">
      <c r="G811" s="149"/>
    </row>
    <row r="812" spans="7:7">
      <c r="G812" s="149"/>
    </row>
    <row r="813" spans="7:7">
      <c r="G813" s="149"/>
    </row>
    <row r="814" spans="7:7">
      <c r="G814" s="149"/>
    </row>
    <row r="815" spans="7:7">
      <c r="G815" s="149"/>
    </row>
    <row r="816" spans="7:7">
      <c r="G816" s="149"/>
    </row>
    <row r="817" spans="7:7">
      <c r="G817" s="149"/>
    </row>
    <row r="818" spans="7:7">
      <c r="G818" s="149"/>
    </row>
    <row r="819" spans="7:7">
      <c r="G819" s="149"/>
    </row>
    <row r="820" spans="7:7">
      <c r="G820" s="149"/>
    </row>
    <row r="821" spans="7:7">
      <c r="G821" s="149"/>
    </row>
    <row r="822" spans="7:7">
      <c r="G822" s="149"/>
    </row>
    <row r="823" spans="7:7">
      <c r="G823" s="149"/>
    </row>
    <row r="824" spans="7:7">
      <c r="G824" s="149"/>
    </row>
    <row r="825" spans="7:7">
      <c r="G825" s="149"/>
    </row>
    <row r="826" spans="7:7">
      <c r="G826" s="149"/>
    </row>
    <row r="827" spans="7:7">
      <c r="G827" s="149"/>
    </row>
    <row r="828" spans="7:7">
      <c r="G828" s="149"/>
    </row>
    <row r="829" spans="7:7">
      <c r="G829" s="149"/>
    </row>
    <row r="830" spans="7:7">
      <c r="G830" s="149"/>
    </row>
    <row r="831" spans="7:7">
      <c r="G831" s="149"/>
    </row>
    <row r="832" spans="7:7">
      <c r="G832" s="149"/>
    </row>
    <row r="833" spans="7:7">
      <c r="G833" s="149"/>
    </row>
    <row r="834" spans="7:7">
      <c r="G834" s="149"/>
    </row>
    <row r="835" spans="7:7">
      <c r="G835" s="149"/>
    </row>
    <row r="836" spans="7:7">
      <c r="G836" s="149"/>
    </row>
    <row r="837" spans="7:7">
      <c r="G837" s="149"/>
    </row>
    <row r="838" spans="7:7">
      <c r="G838" s="149"/>
    </row>
    <row r="839" spans="7:7">
      <c r="G839" s="149"/>
    </row>
    <row r="840" spans="7:7">
      <c r="G840" s="149"/>
    </row>
    <row r="841" spans="7:7">
      <c r="G841" s="149"/>
    </row>
    <row r="842" spans="7:7">
      <c r="G842" s="149"/>
    </row>
    <row r="843" spans="7:7">
      <c r="G843" s="149"/>
    </row>
    <row r="844" spans="7:7">
      <c r="G844" s="149"/>
    </row>
    <row r="845" spans="7:7">
      <c r="G845" s="149"/>
    </row>
    <row r="846" spans="7:7">
      <c r="G846" s="149"/>
    </row>
    <row r="847" spans="7:7">
      <c r="G847" s="149"/>
    </row>
    <row r="848" spans="7:7">
      <c r="G848" s="149"/>
    </row>
    <row r="849" spans="7:7">
      <c r="G849" s="149"/>
    </row>
    <row r="850" spans="7:7">
      <c r="G850" s="149"/>
    </row>
    <row r="851" spans="7:7">
      <c r="G851" s="149"/>
    </row>
    <row r="852" spans="7:7">
      <c r="G852" s="149"/>
    </row>
    <row r="853" spans="7:7">
      <c r="G853" s="149"/>
    </row>
    <row r="854" spans="7:7">
      <c r="G854" s="149"/>
    </row>
    <row r="855" spans="7:7">
      <c r="G855" s="149"/>
    </row>
    <row r="856" spans="7:7">
      <c r="G856" s="149"/>
    </row>
    <row r="857" spans="7:7">
      <c r="G857" s="149"/>
    </row>
    <row r="858" spans="7:7">
      <c r="G858" s="149"/>
    </row>
    <row r="859" spans="7:7">
      <c r="G859" s="149"/>
    </row>
    <row r="860" spans="7:7">
      <c r="G860" s="149"/>
    </row>
    <row r="861" spans="7:7">
      <c r="G861" s="149"/>
    </row>
    <row r="862" spans="7:7">
      <c r="G862" s="149"/>
    </row>
    <row r="863" spans="7:7">
      <c r="G863" s="149"/>
    </row>
    <row r="864" spans="7:7">
      <c r="G864" s="149"/>
    </row>
    <row r="865" spans="7:7">
      <c r="G865" s="149"/>
    </row>
    <row r="866" spans="7:7">
      <c r="G866" s="149"/>
    </row>
    <row r="867" spans="7:7">
      <c r="G867" s="149"/>
    </row>
    <row r="868" spans="7:7">
      <c r="G868" s="149"/>
    </row>
    <row r="869" spans="7:7">
      <c r="G869" s="149"/>
    </row>
    <row r="870" spans="7:7">
      <c r="G870" s="149"/>
    </row>
    <row r="871" spans="7:7">
      <c r="G871" s="149"/>
    </row>
    <row r="872" spans="7:7">
      <c r="G872" s="149"/>
    </row>
    <row r="873" spans="7:7">
      <c r="G873" s="149"/>
    </row>
    <row r="874" spans="7:7">
      <c r="G874" s="149"/>
    </row>
    <row r="875" spans="7:7">
      <c r="G875" s="149"/>
    </row>
    <row r="876" spans="7:7">
      <c r="G876" s="149"/>
    </row>
    <row r="877" spans="7:7">
      <c r="G877" s="149"/>
    </row>
    <row r="878" spans="7:7">
      <c r="G878" s="149"/>
    </row>
    <row r="879" spans="7:7">
      <c r="G879" s="149"/>
    </row>
    <row r="880" spans="7:7">
      <c r="G880" s="149"/>
    </row>
    <row r="881" spans="7:7">
      <c r="G881" s="149"/>
    </row>
    <row r="882" spans="7:7">
      <c r="G882" s="149"/>
    </row>
    <row r="883" spans="7:7">
      <c r="G883" s="149"/>
    </row>
    <row r="884" spans="7:7">
      <c r="G884" s="149"/>
    </row>
    <row r="885" spans="7:7">
      <c r="G885" s="149"/>
    </row>
    <row r="886" spans="7:7">
      <c r="G886" s="149"/>
    </row>
    <row r="887" spans="7:7">
      <c r="G887" s="149"/>
    </row>
    <row r="888" spans="7:7">
      <c r="G888" s="149"/>
    </row>
    <row r="889" spans="7:7">
      <c r="G889" s="149"/>
    </row>
    <row r="890" spans="7:7">
      <c r="G890" s="149"/>
    </row>
    <row r="891" spans="7:7">
      <c r="G891" s="149"/>
    </row>
    <row r="892" spans="7:7">
      <c r="G892" s="149"/>
    </row>
    <row r="893" spans="7:7">
      <c r="G893" s="149"/>
    </row>
    <row r="894" spans="7:7">
      <c r="G894" s="149"/>
    </row>
    <row r="895" spans="7:7">
      <c r="G895" s="149"/>
    </row>
    <row r="896" spans="7:7">
      <c r="G896" s="149"/>
    </row>
    <row r="897" spans="7:7">
      <c r="G897" s="149"/>
    </row>
    <row r="898" spans="7:7">
      <c r="G898" s="149"/>
    </row>
    <row r="899" spans="7:7">
      <c r="G899" s="149"/>
    </row>
    <row r="900" spans="7:7">
      <c r="G900" s="149"/>
    </row>
    <row r="901" spans="7:7">
      <c r="G901" s="149"/>
    </row>
    <row r="902" spans="7:7">
      <c r="G902" s="149"/>
    </row>
    <row r="903" spans="7:7">
      <c r="G903" s="149"/>
    </row>
    <row r="904" spans="7:7">
      <c r="G904" s="149"/>
    </row>
    <row r="905" spans="7:7">
      <c r="G905" s="149"/>
    </row>
    <row r="906" spans="7:7">
      <c r="G906" s="149"/>
    </row>
    <row r="907" spans="7:7">
      <c r="G907" s="149"/>
    </row>
    <row r="908" spans="7:7">
      <c r="G908" s="149"/>
    </row>
    <row r="909" spans="7:7">
      <c r="G909" s="149"/>
    </row>
    <row r="910" spans="7:7">
      <c r="G910" s="149"/>
    </row>
    <row r="911" spans="7:7">
      <c r="G911" s="149"/>
    </row>
    <row r="912" spans="7:7">
      <c r="G912" s="149"/>
    </row>
    <row r="913" spans="7:7">
      <c r="G913" s="149"/>
    </row>
    <row r="914" spans="7:7">
      <c r="G914" s="149"/>
    </row>
    <row r="915" spans="7:7">
      <c r="G915" s="149"/>
    </row>
    <row r="916" spans="7:7">
      <c r="G916" s="149"/>
    </row>
    <row r="917" spans="7:7">
      <c r="G917" s="149"/>
    </row>
    <row r="918" spans="7:7">
      <c r="G918" s="149"/>
    </row>
    <row r="919" spans="7:7">
      <c r="G919" s="149"/>
    </row>
    <row r="920" spans="7:7">
      <c r="G920" s="149"/>
    </row>
    <row r="921" spans="7:7">
      <c r="G921" s="149"/>
    </row>
    <row r="922" spans="7:7">
      <c r="G922" s="149"/>
    </row>
    <row r="923" spans="7:7">
      <c r="G923" s="149"/>
    </row>
    <row r="924" spans="7:7">
      <c r="G924" s="149"/>
    </row>
    <row r="925" spans="7:7">
      <c r="G925" s="149"/>
    </row>
    <row r="926" spans="7:7">
      <c r="G926" s="149"/>
    </row>
    <row r="927" spans="7:7">
      <c r="G927" s="149"/>
    </row>
    <row r="928" spans="7:7">
      <c r="G928" s="149"/>
    </row>
    <row r="929" spans="7:7">
      <c r="G929" s="149"/>
    </row>
    <row r="930" spans="7:7">
      <c r="G930" s="149"/>
    </row>
    <row r="931" spans="7:7">
      <c r="G931" s="149"/>
    </row>
    <row r="932" spans="7:7">
      <c r="G932" s="149"/>
    </row>
    <row r="933" spans="7:7">
      <c r="G933" s="149"/>
    </row>
    <row r="934" spans="7:7">
      <c r="G934" s="149"/>
    </row>
    <row r="935" spans="7:7">
      <c r="G935" s="149"/>
    </row>
    <row r="936" spans="7:7">
      <c r="G936" s="149"/>
    </row>
    <row r="937" spans="7:7">
      <c r="G937" s="149"/>
    </row>
    <row r="938" spans="7:7">
      <c r="G938" s="149"/>
    </row>
    <row r="939" spans="7:7">
      <c r="G939" s="149"/>
    </row>
    <row r="940" spans="7:7">
      <c r="G940" s="149"/>
    </row>
    <row r="941" spans="7:7">
      <c r="G941" s="149"/>
    </row>
    <row r="942" spans="7:7">
      <c r="G942" s="149"/>
    </row>
    <row r="943" spans="7:7">
      <c r="G943" s="149"/>
    </row>
    <row r="944" spans="7:7">
      <c r="G944" s="149"/>
    </row>
    <row r="945" spans="7:7">
      <c r="G945" s="149"/>
    </row>
    <row r="946" spans="7:7">
      <c r="G946" s="149"/>
    </row>
    <row r="947" spans="7:7">
      <c r="G947" s="149"/>
    </row>
    <row r="948" spans="7:7">
      <c r="G948" s="149"/>
    </row>
    <row r="949" spans="7:7">
      <c r="G949" s="149"/>
    </row>
    <row r="950" spans="7:7">
      <c r="G950" s="149"/>
    </row>
    <row r="951" spans="7:7">
      <c r="G951" s="149"/>
    </row>
    <row r="952" spans="7:7">
      <c r="G952" s="149"/>
    </row>
    <row r="953" spans="7:7">
      <c r="G953" s="149"/>
    </row>
    <row r="954" spans="7:7">
      <c r="G954" s="149"/>
    </row>
    <row r="955" spans="7:7">
      <c r="G955" s="149"/>
    </row>
    <row r="956" spans="7:7">
      <c r="G956" s="149"/>
    </row>
    <row r="957" spans="7:7">
      <c r="G957" s="149"/>
    </row>
    <row r="958" spans="7:7">
      <c r="G958" s="149"/>
    </row>
    <row r="959" spans="7:7">
      <c r="G959" s="149"/>
    </row>
    <row r="960" spans="7:7">
      <c r="G960" s="149"/>
    </row>
    <row r="961" spans="7:7">
      <c r="G961" s="149"/>
    </row>
    <row r="962" spans="7:7">
      <c r="G962" s="149"/>
    </row>
    <row r="963" spans="7:7">
      <c r="G963" s="149"/>
    </row>
    <row r="964" spans="7:7">
      <c r="G964" s="149"/>
    </row>
    <row r="965" spans="7:7">
      <c r="G965" s="149"/>
    </row>
    <row r="966" spans="7:7">
      <c r="G966" s="149"/>
    </row>
    <row r="967" spans="7:7">
      <c r="G967" s="149"/>
    </row>
    <row r="968" spans="7:7">
      <c r="G968" s="149"/>
    </row>
    <row r="969" spans="7:7">
      <c r="G969" s="149"/>
    </row>
    <row r="970" spans="7:7">
      <c r="G970" s="149"/>
    </row>
    <row r="971" spans="7:7">
      <c r="G971" s="149"/>
    </row>
    <row r="972" spans="7:7">
      <c r="G972" s="149"/>
    </row>
    <row r="973" spans="7:7">
      <c r="G973" s="149"/>
    </row>
    <row r="974" spans="7:7">
      <c r="G974" s="149"/>
    </row>
    <row r="975" spans="7:7">
      <c r="G975" s="149"/>
    </row>
    <row r="976" spans="7:7">
      <c r="G976" s="149"/>
    </row>
    <row r="977" spans="7:7">
      <c r="G977" s="149"/>
    </row>
    <row r="978" spans="7:7">
      <c r="G978" s="149"/>
    </row>
    <row r="979" spans="7:7">
      <c r="G979" s="149"/>
    </row>
    <row r="980" spans="7:7">
      <c r="G980" s="149"/>
    </row>
    <row r="981" spans="7:7">
      <c r="G981" s="149"/>
    </row>
    <row r="982" spans="7:7">
      <c r="G982" s="149"/>
    </row>
    <row r="983" spans="7:7">
      <c r="G983" s="149"/>
    </row>
    <row r="984" spans="7:7">
      <c r="G984" s="149"/>
    </row>
    <row r="985" spans="7:7">
      <c r="G985" s="149"/>
    </row>
    <row r="986" spans="7:7">
      <c r="G986" s="149"/>
    </row>
    <row r="987" spans="7:7">
      <c r="G987" s="149"/>
    </row>
    <row r="988" spans="7:7">
      <c r="G988" s="149"/>
    </row>
    <row r="989" spans="7:7">
      <c r="G989" s="149"/>
    </row>
    <row r="990" spans="7:7">
      <c r="G990" s="149"/>
    </row>
    <row r="991" spans="7:7">
      <c r="G991" s="149"/>
    </row>
    <row r="992" spans="7:7">
      <c r="G992" s="149"/>
    </row>
    <row r="993" spans="7:10">
      <c r="G993" s="149"/>
    </row>
    <row r="994" spans="7:10">
      <c r="G994" s="149"/>
    </row>
    <row r="995" spans="7:10">
      <c r="G995" s="149"/>
    </row>
    <row r="996" spans="7:10">
      <c r="G996" s="149"/>
    </row>
    <row r="997" spans="7:10">
      <c r="G997" s="149"/>
    </row>
    <row r="998" spans="7:10">
      <c r="G998" s="149"/>
    </row>
    <row r="999" spans="7:10">
      <c r="G999" s="149"/>
    </row>
    <row r="1000" spans="7:10" ht="28.8">
      <c r="G1000" s="149"/>
      <c r="H1000" s="146"/>
      <c r="I1000" s="135"/>
      <c r="J1000" s="132" t="s">
        <v>3149</v>
      </c>
    </row>
    <row r="1001" spans="7:10">
      <c r="G1001" s="149"/>
    </row>
    <row r="1002" spans="7:10">
      <c r="G1002" s="149"/>
    </row>
    <row r="1003" spans="7:10">
      <c r="G1003" s="149"/>
    </row>
    <row r="1004" spans="7:10">
      <c r="G1004" s="149"/>
    </row>
    <row r="1005" spans="7:10">
      <c r="G1005" s="149"/>
    </row>
    <row r="1006" spans="7:10">
      <c r="G1006" s="149"/>
    </row>
    <row r="1007" spans="7:10">
      <c r="G1007" s="149"/>
    </row>
    <row r="1008" spans="7:10">
      <c r="G1008" s="149"/>
    </row>
    <row r="1009" spans="7:7">
      <c r="G1009" s="149"/>
    </row>
    <row r="1010" spans="7:7">
      <c r="G1010" s="149"/>
    </row>
    <row r="1011" spans="7:7">
      <c r="G1011" s="149"/>
    </row>
    <row r="1012" spans="7:7">
      <c r="G1012" s="149"/>
    </row>
    <row r="1013" spans="7:7">
      <c r="G1013" s="149"/>
    </row>
    <row r="1014" spans="7:7">
      <c r="G1014" s="149"/>
    </row>
    <row r="1015" spans="7:7">
      <c r="G1015" s="149"/>
    </row>
    <row r="1016" spans="7:7">
      <c r="G1016" s="149"/>
    </row>
    <row r="1017" spans="7:7">
      <c r="G1017" s="149"/>
    </row>
    <row r="1018" spans="7:7">
      <c r="G1018" s="149"/>
    </row>
    <row r="1019" spans="7:7">
      <c r="G1019" s="149"/>
    </row>
    <row r="1020" spans="7:7">
      <c r="G1020" s="149"/>
    </row>
    <row r="1021" spans="7:7">
      <c r="G1021" s="149"/>
    </row>
    <row r="1022" spans="7:7">
      <c r="G1022" s="149"/>
    </row>
    <row r="1023" spans="7:7">
      <c r="G1023" s="149"/>
    </row>
    <row r="1024" spans="7:7">
      <c r="G1024" s="149"/>
    </row>
    <row r="1025" spans="7:7">
      <c r="G1025" s="149"/>
    </row>
    <row r="1026" spans="7:7">
      <c r="G1026" s="149"/>
    </row>
    <row r="1027" spans="7:7">
      <c r="G1027" s="149"/>
    </row>
    <row r="1028" spans="7:7">
      <c r="G1028" s="149"/>
    </row>
    <row r="1029" spans="7:7">
      <c r="G1029" s="149"/>
    </row>
    <row r="1030" spans="7:7">
      <c r="G1030" s="149"/>
    </row>
    <row r="1031" spans="7:7">
      <c r="G1031" s="149"/>
    </row>
    <row r="1032" spans="7:7">
      <c r="G1032" s="149"/>
    </row>
    <row r="1033" spans="7:7">
      <c r="G1033" s="149"/>
    </row>
    <row r="1034" spans="7:7">
      <c r="G1034" s="149"/>
    </row>
    <row r="1035" spans="7:7">
      <c r="G1035" s="149"/>
    </row>
    <row r="1036" spans="7:7">
      <c r="G1036" s="149"/>
    </row>
    <row r="1037" spans="7:7">
      <c r="G1037" s="149"/>
    </row>
    <row r="1038" spans="7:7">
      <c r="G1038" s="149"/>
    </row>
    <row r="1039" spans="7:7">
      <c r="G1039" s="149"/>
    </row>
    <row r="1040" spans="7:7">
      <c r="G1040" s="149"/>
    </row>
    <row r="1041" spans="7:7">
      <c r="G1041" s="149"/>
    </row>
    <row r="1042" spans="7:7">
      <c r="G1042" s="149"/>
    </row>
    <row r="1043" spans="7:7">
      <c r="G1043" s="149"/>
    </row>
    <row r="1044" spans="7:7">
      <c r="G1044" s="149"/>
    </row>
    <row r="1045" spans="7:7">
      <c r="G1045" s="149"/>
    </row>
    <row r="1046" spans="7:7">
      <c r="G1046" s="149"/>
    </row>
    <row r="1047" spans="7:7">
      <c r="G1047" s="149"/>
    </row>
    <row r="1048" spans="7:7">
      <c r="G1048" s="149"/>
    </row>
    <row r="1049" spans="7:7">
      <c r="G1049" s="149"/>
    </row>
    <row r="1050" spans="7:7">
      <c r="G1050" s="149"/>
    </row>
    <row r="1051" spans="7:7">
      <c r="G1051" s="149"/>
    </row>
    <row r="1052" spans="7:7">
      <c r="G1052" s="149"/>
    </row>
    <row r="1053" spans="7:7">
      <c r="G1053" s="149"/>
    </row>
    <row r="1054" spans="7:7">
      <c r="G1054" s="149"/>
    </row>
    <row r="1055" spans="7:7">
      <c r="G1055" s="149"/>
    </row>
    <row r="1056" spans="7:7">
      <c r="G1056" s="149"/>
    </row>
    <row r="1057" spans="7:7">
      <c r="G1057" s="149"/>
    </row>
    <row r="1058" spans="7:7">
      <c r="G1058" s="149"/>
    </row>
    <row r="1059" spans="7:7">
      <c r="G1059" s="149"/>
    </row>
    <row r="1060" spans="7:7">
      <c r="G1060" s="149"/>
    </row>
    <row r="1061" spans="7:7">
      <c r="G1061" s="149"/>
    </row>
    <row r="1062" spans="7:7">
      <c r="G1062" s="149"/>
    </row>
    <row r="1063" spans="7:7">
      <c r="G1063" s="149"/>
    </row>
    <row r="1064" spans="7:7">
      <c r="G1064" s="149"/>
    </row>
    <row r="1065" spans="7:7">
      <c r="G1065" s="149"/>
    </row>
    <row r="1066" spans="7:7">
      <c r="G1066" s="149"/>
    </row>
    <row r="1067" spans="7:7">
      <c r="G1067" s="149"/>
    </row>
    <row r="1068" spans="7:7">
      <c r="G1068" s="149"/>
    </row>
    <row r="1069" spans="7:7">
      <c r="G1069" s="149"/>
    </row>
    <row r="1070" spans="7:7">
      <c r="G1070" s="149"/>
    </row>
    <row r="1071" spans="7:7">
      <c r="G1071" s="149"/>
    </row>
    <row r="1072" spans="7:7">
      <c r="G1072" s="149"/>
    </row>
    <row r="1073" spans="7:7">
      <c r="G1073" s="149"/>
    </row>
    <row r="1074" spans="7:7">
      <c r="G1074" s="149"/>
    </row>
    <row r="1075" spans="7:7">
      <c r="G1075" s="149"/>
    </row>
    <row r="1076" spans="7:7">
      <c r="G1076" s="149"/>
    </row>
    <row r="1077" spans="7:7">
      <c r="G1077" s="149"/>
    </row>
    <row r="1078" spans="7:7">
      <c r="G1078" s="149"/>
    </row>
    <row r="1079" spans="7:7">
      <c r="G1079" s="149"/>
    </row>
    <row r="1080" spans="7:7">
      <c r="G1080" s="149"/>
    </row>
    <row r="1081" spans="7:7">
      <c r="G1081" s="149"/>
    </row>
    <row r="1082" spans="7:7">
      <c r="G1082" s="149"/>
    </row>
    <row r="1083" spans="7:7">
      <c r="G1083" s="149"/>
    </row>
    <row r="1084" spans="7:7">
      <c r="G1084" s="149"/>
    </row>
    <row r="1085" spans="7:7">
      <c r="G1085" s="149"/>
    </row>
    <row r="1086" spans="7:7">
      <c r="G1086" s="149"/>
    </row>
    <row r="1087" spans="7:7">
      <c r="G1087" s="149"/>
    </row>
    <row r="1088" spans="7:7">
      <c r="G1088" s="149"/>
    </row>
    <row r="1089" spans="7:7">
      <c r="G1089" s="149"/>
    </row>
    <row r="1090" spans="7:7">
      <c r="G1090" s="149"/>
    </row>
    <row r="1091" spans="7:7">
      <c r="G1091" s="149"/>
    </row>
    <row r="1092" spans="7:7">
      <c r="G1092" s="149"/>
    </row>
    <row r="1093" spans="7:7">
      <c r="G1093" s="149"/>
    </row>
    <row r="1094" spans="7:7">
      <c r="G1094" s="149"/>
    </row>
    <row r="1095" spans="7:7">
      <c r="G1095" s="149"/>
    </row>
    <row r="1096" spans="7:7">
      <c r="G1096" s="149"/>
    </row>
    <row r="1097" spans="7:7">
      <c r="G1097" s="149"/>
    </row>
    <row r="1098" spans="7:7">
      <c r="G1098" s="149"/>
    </row>
    <row r="1099" spans="7:7">
      <c r="G1099" s="149"/>
    </row>
    <row r="1100" spans="7:7">
      <c r="G1100" s="149"/>
    </row>
    <row r="1101" spans="7:7">
      <c r="G1101" s="149"/>
    </row>
    <row r="1102" spans="7:7">
      <c r="G1102" s="149"/>
    </row>
    <row r="1103" spans="7:7">
      <c r="G1103" s="149"/>
    </row>
    <row r="1104" spans="7:7">
      <c r="G1104" s="149"/>
    </row>
    <row r="1105" spans="7:7">
      <c r="G1105" s="149"/>
    </row>
    <row r="1106" spans="7:7">
      <c r="G1106" s="149"/>
    </row>
    <row r="1107" spans="7:7">
      <c r="G1107" s="149"/>
    </row>
    <row r="1108" spans="7:7">
      <c r="G1108" s="149"/>
    </row>
    <row r="1109" spans="7:7">
      <c r="G1109" s="149"/>
    </row>
    <row r="1110" spans="7:7">
      <c r="G1110" s="149"/>
    </row>
    <row r="1111" spans="7:7">
      <c r="G1111" s="149"/>
    </row>
    <row r="1112" spans="7:7">
      <c r="G1112" s="149"/>
    </row>
    <row r="1113" spans="7:7">
      <c r="G1113" s="149"/>
    </row>
    <row r="1114" spans="7:7">
      <c r="G1114" s="149"/>
    </row>
    <row r="1115" spans="7:7">
      <c r="G1115" s="149"/>
    </row>
    <row r="1116" spans="7:7">
      <c r="G1116" s="149"/>
    </row>
    <row r="1117" spans="7:7">
      <c r="G1117" s="149"/>
    </row>
    <row r="1118" spans="7:7">
      <c r="G1118" s="149"/>
    </row>
    <row r="1119" spans="7:7">
      <c r="G1119" s="149"/>
    </row>
    <row r="1120" spans="7:7">
      <c r="G1120" s="149"/>
    </row>
    <row r="1121" spans="7:7">
      <c r="G1121" s="149"/>
    </row>
    <row r="1122" spans="7:7">
      <c r="G1122" s="149"/>
    </row>
    <row r="1123" spans="7:7">
      <c r="G1123" s="149"/>
    </row>
    <row r="1124" spans="7:7">
      <c r="G1124" s="149"/>
    </row>
    <row r="1125" spans="7:7">
      <c r="G1125" s="149"/>
    </row>
    <row r="1126" spans="7:7">
      <c r="G1126" s="149"/>
    </row>
    <row r="1127" spans="7:7">
      <c r="G1127" s="149"/>
    </row>
    <row r="1128" spans="7:7">
      <c r="G1128" s="149"/>
    </row>
    <row r="1129" spans="7:7">
      <c r="G1129" s="149"/>
    </row>
    <row r="1130" spans="7:7">
      <c r="G1130" s="149"/>
    </row>
    <row r="1131" spans="7:7">
      <c r="G1131" s="149"/>
    </row>
    <row r="1132" spans="7:7">
      <c r="G1132" s="149"/>
    </row>
    <row r="1133" spans="7:7">
      <c r="G1133" s="149"/>
    </row>
    <row r="1134" spans="7:7">
      <c r="G1134" s="149"/>
    </row>
    <row r="1135" spans="7:7">
      <c r="G1135" s="149"/>
    </row>
    <row r="1136" spans="7:7">
      <c r="G1136" s="149"/>
    </row>
    <row r="1137" spans="7:7">
      <c r="G1137" s="149"/>
    </row>
    <row r="1138" spans="7:7">
      <c r="G1138" s="149"/>
    </row>
    <row r="1139" spans="7:7">
      <c r="G1139" s="149"/>
    </row>
    <row r="1140" spans="7:7">
      <c r="G1140" s="149"/>
    </row>
    <row r="1141" spans="7:7">
      <c r="G1141" s="149"/>
    </row>
    <row r="1142" spans="7:7">
      <c r="G1142" s="149"/>
    </row>
    <row r="1143" spans="7:7">
      <c r="G1143" s="149"/>
    </row>
    <row r="1144" spans="7:7">
      <c r="G1144" s="149"/>
    </row>
    <row r="1145" spans="7:7">
      <c r="G1145" s="149"/>
    </row>
    <row r="1146" spans="7:7">
      <c r="G1146" s="149"/>
    </row>
    <row r="1147" spans="7:7">
      <c r="G1147" s="149"/>
    </row>
    <row r="1148" spans="7:7">
      <c r="G1148" s="149"/>
    </row>
    <row r="1149" spans="7:7">
      <c r="G1149" s="149"/>
    </row>
    <row r="1150" spans="7:7">
      <c r="G1150" s="149"/>
    </row>
    <row r="1151" spans="7:7">
      <c r="G1151" s="149"/>
    </row>
    <row r="1152" spans="7:7">
      <c r="G1152" s="149"/>
    </row>
    <row r="1153" spans="7:7">
      <c r="G1153" s="149"/>
    </row>
    <row r="1154" spans="7:7">
      <c r="G1154" s="149"/>
    </row>
    <row r="1155" spans="7:7">
      <c r="G1155" s="149"/>
    </row>
    <row r="1156" spans="7:7">
      <c r="G1156" s="149"/>
    </row>
    <row r="1157" spans="7:7">
      <c r="G1157" s="149"/>
    </row>
    <row r="1158" spans="7:7">
      <c r="G1158" s="149"/>
    </row>
    <row r="1159" spans="7:7">
      <c r="G1159" s="149"/>
    </row>
    <row r="1160" spans="7:7">
      <c r="G1160" s="149"/>
    </row>
    <row r="1161" spans="7:7">
      <c r="G1161" s="149"/>
    </row>
    <row r="1162" spans="7:7">
      <c r="G1162" s="149"/>
    </row>
    <row r="1163" spans="7:7">
      <c r="G1163" s="149"/>
    </row>
    <row r="1164" spans="7:7">
      <c r="G1164" s="149"/>
    </row>
    <row r="1165" spans="7:7">
      <c r="G1165" s="149"/>
    </row>
    <row r="1166" spans="7:7">
      <c r="G1166" s="149"/>
    </row>
    <row r="1167" spans="7:7">
      <c r="G1167" s="149"/>
    </row>
    <row r="1168" spans="7:7">
      <c r="G1168" s="149"/>
    </row>
    <row r="1169" spans="7:7">
      <c r="G1169" s="149"/>
    </row>
    <row r="1170" spans="7:7">
      <c r="G1170" s="149"/>
    </row>
    <row r="1171" spans="7:7">
      <c r="G1171" s="149"/>
    </row>
    <row r="1172" spans="7:7">
      <c r="G1172" s="149"/>
    </row>
    <row r="1173" spans="7:7">
      <c r="G1173" s="149"/>
    </row>
    <row r="1174" spans="7:7">
      <c r="G1174" s="149"/>
    </row>
    <row r="1175" spans="7:7">
      <c r="G1175" s="149"/>
    </row>
    <row r="1176" spans="7:7">
      <c r="G1176" s="149"/>
    </row>
    <row r="1177" spans="7:7">
      <c r="G1177" s="149"/>
    </row>
    <row r="1178" spans="7:7">
      <c r="G1178" s="149"/>
    </row>
    <row r="1179" spans="7:7">
      <c r="G1179" s="149"/>
    </row>
    <row r="1180" spans="7:7">
      <c r="G1180" s="149"/>
    </row>
    <row r="1181" spans="7:7">
      <c r="G1181" s="149"/>
    </row>
    <row r="1182" spans="7:7">
      <c r="G1182" s="149"/>
    </row>
    <row r="1183" spans="7:7">
      <c r="G1183" s="149"/>
    </row>
    <row r="1184" spans="7:7">
      <c r="G1184" s="149"/>
    </row>
    <row r="1185" spans="7:7">
      <c r="G1185" s="149"/>
    </row>
    <row r="1186" spans="7:7">
      <c r="G1186" s="149"/>
    </row>
    <row r="1187" spans="7:7">
      <c r="G1187" s="149"/>
    </row>
    <row r="1188" spans="7:7">
      <c r="G1188" s="149"/>
    </row>
    <row r="1189" spans="7:7">
      <c r="G1189" s="149"/>
    </row>
    <row r="1190" spans="7:7">
      <c r="G1190" s="149"/>
    </row>
    <row r="1191" spans="7:7">
      <c r="G1191" s="149"/>
    </row>
    <row r="1192" spans="7:7">
      <c r="G1192" s="149"/>
    </row>
    <row r="1193" spans="7:7">
      <c r="G1193" s="149"/>
    </row>
    <row r="1194" spans="7:7">
      <c r="G1194" s="149"/>
    </row>
    <row r="1195" spans="7:7">
      <c r="G1195" s="149"/>
    </row>
    <row r="1196" spans="7:7">
      <c r="G1196" s="149"/>
    </row>
    <row r="1197" spans="7:7">
      <c r="G1197" s="149"/>
    </row>
    <row r="1198" spans="7:7">
      <c r="G1198" s="149"/>
    </row>
    <row r="1199" spans="7:7">
      <c r="G1199" s="149"/>
    </row>
    <row r="1200" spans="7:7">
      <c r="G1200" s="149"/>
    </row>
    <row r="1201" spans="7:7">
      <c r="G1201" s="149"/>
    </row>
    <row r="1202" spans="7:7">
      <c r="G1202" s="149"/>
    </row>
    <row r="1203" spans="7:7">
      <c r="G1203" s="149"/>
    </row>
    <row r="1204" spans="7:7">
      <c r="G1204" s="149"/>
    </row>
    <row r="1205" spans="7:7">
      <c r="G1205" s="149"/>
    </row>
    <row r="1206" spans="7:7">
      <c r="G1206" s="149"/>
    </row>
    <row r="1207" spans="7:7">
      <c r="G1207" s="149"/>
    </row>
    <row r="1208" spans="7:7">
      <c r="G1208" s="149"/>
    </row>
    <row r="1209" spans="7:7">
      <c r="G1209" s="149"/>
    </row>
    <row r="1210" spans="7:7">
      <c r="G1210" s="149"/>
    </row>
    <row r="1211" spans="7:7">
      <c r="G1211" s="149"/>
    </row>
    <row r="1212" spans="7:7">
      <c r="G1212" s="149"/>
    </row>
    <row r="1213" spans="7:7">
      <c r="G1213" s="149"/>
    </row>
    <row r="1214" spans="7:7">
      <c r="G1214" s="149"/>
    </row>
    <row r="1215" spans="7:7">
      <c r="G1215" s="149"/>
    </row>
    <row r="1216" spans="7:7">
      <c r="G1216" s="149"/>
    </row>
    <row r="1217" spans="7:7">
      <c r="G1217" s="149"/>
    </row>
    <row r="1218" spans="7:7">
      <c r="G1218" s="149"/>
    </row>
    <row r="1219" spans="7:7">
      <c r="G1219" s="149"/>
    </row>
    <row r="1220" spans="7:7">
      <c r="G1220" s="149"/>
    </row>
    <row r="1221" spans="7:7">
      <c r="G1221" s="149"/>
    </row>
    <row r="1222" spans="7:7">
      <c r="G1222" s="149"/>
    </row>
    <row r="1223" spans="7:7">
      <c r="G1223" s="149"/>
    </row>
    <row r="1224" spans="7:7">
      <c r="G1224" s="149"/>
    </row>
    <row r="1225" spans="7:7">
      <c r="G1225" s="149"/>
    </row>
    <row r="1226" spans="7:7">
      <c r="G1226" s="149"/>
    </row>
    <row r="1227" spans="7:7">
      <c r="G1227" s="149"/>
    </row>
    <row r="1228" spans="7:7">
      <c r="G1228" s="149"/>
    </row>
    <row r="1229" spans="7:7">
      <c r="G1229" s="149"/>
    </row>
    <row r="1230" spans="7:7">
      <c r="G1230" s="149"/>
    </row>
    <row r="1231" spans="7:7">
      <c r="G1231" s="149"/>
    </row>
    <row r="1232" spans="7:7">
      <c r="G1232" s="149"/>
    </row>
    <row r="1233" spans="7:7">
      <c r="G1233" s="149"/>
    </row>
    <row r="1234" spans="7:7">
      <c r="G1234" s="149"/>
    </row>
    <row r="1235" spans="7:7">
      <c r="G1235" s="149"/>
    </row>
    <row r="1236" spans="7:7">
      <c r="G1236" s="149"/>
    </row>
    <row r="1237" spans="7:7">
      <c r="G1237" s="149"/>
    </row>
    <row r="1238" spans="7:7">
      <c r="G1238" s="149"/>
    </row>
    <row r="1239" spans="7:7">
      <c r="G1239" s="149"/>
    </row>
    <row r="1240" spans="7:7">
      <c r="G1240" s="149"/>
    </row>
    <row r="1241" spans="7:7">
      <c r="G1241" s="149"/>
    </row>
    <row r="1242" spans="7:7">
      <c r="G1242" s="149"/>
    </row>
    <row r="1243" spans="7:7">
      <c r="G1243" s="149"/>
    </row>
    <row r="1244" spans="7:7">
      <c r="G1244" s="149"/>
    </row>
    <row r="1245" spans="7:7">
      <c r="G1245" s="149"/>
    </row>
    <row r="1246" spans="7:7">
      <c r="G1246" s="149"/>
    </row>
    <row r="1247" spans="7:7">
      <c r="G1247" s="149"/>
    </row>
    <row r="1248" spans="7:7">
      <c r="G1248" s="149"/>
    </row>
    <row r="1249" spans="7:7">
      <c r="G1249" s="149"/>
    </row>
    <row r="1250" spans="7:7">
      <c r="G1250" s="149"/>
    </row>
    <row r="1251" spans="7:7">
      <c r="G1251" s="149"/>
    </row>
    <row r="1252" spans="7:7">
      <c r="G1252" s="149"/>
    </row>
    <row r="1253" spans="7:7">
      <c r="G1253" s="149"/>
    </row>
    <row r="1254" spans="7:7">
      <c r="G1254" s="149"/>
    </row>
    <row r="1255" spans="7:7">
      <c r="G1255" s="149"/>
    </row>
    <row r="1256" spans="7:7">
      <c r="G1256" s="149"/>
    </row>
    <row r="1257" spans="7:7">
      <c r="G1257" s="149"/>
    </row>
    <row r="1258" spans="7:7">
      <c r="G1258" s="149"/>
    </row>
    <row r="1259" spans="7:7">
      <c r="G1259" s="149"/>
    </row>
    <row r="1260" spans="7:7">
      <c r="G1260" s="149"/>
    </row>
    <row r="1261" spans="7:7">
      <c r="G1261" s="149"/>
    </row>
    <row r="1262" spans="7:7">
      <c r="G1262" s="149"/>
    </row>
    <row r="1263" spans="7:7">
      <c r="G1263" s="149"/>
    </row>
    <row r="1264" spans="7:7">
      <c r="G1264" s="149"/>
    </row>
    <row r="1265" spans="7:7">
      <c r="G1265" s="149"/>
    </row>
    <row r="1266" spans="7:7">
      <c r="G1266" s="149"/>
    </row>
    <row r="1267" spans="7:7">
      <c r="G1267" s="149"/>
    </row>
    <row r="1268" spans="7:7">
      <c r="G1268" s="149"/>
    </row>
    <row r="1269" spans="7:7">
      <c r="G1269" s="149"/>
    </row>
    <row r="1270" spans="7:7">
      <c r="G1270" s="149"/>
    </row>
    <row r="1271" spans="7:7">
      <c r="G1271" s="149"/>
    </row>
    <row r="1272" spans="7:7">
      <c r="G1272" s="149"/>
    </row>
    <row r="1273" spans="7:7">
      <c r="G1273" s="149"/>
    </row>
    <row r="1274" spans="7:7">
      <c r="G1274" s="149"/>
    </row>
    <row r="1275" spans="7:7">
      <c r="G1275" s="149"/>
    </row>
    <row r="1276" spans="7:7">
      <c r="G1276" s="149"/>
    </row>
    <row r="1277" spans="7:7">
      <c r="G1277" s="149"/>
    </row>
    <row r="1278" spans="7:7">
      <c r="G1278" s="149"/>
    </row>
    <row r="1279" spans="7:7">
      <c r="G1279" s="149"/>
    </row>
    <row r="1280" spans="7:7">
      <c r="G1280" s="149"/>
    </row>
    <row r="1281" spans="7:7">
      <c r="G1281" s="149"/>
    </row>
    <row r="1282" spans="7:7">
      <c r="G1282" s="149"/>
    </row>
    <row r="1283" spans="7:7">
      <c r="G1283" s="149"/>
    </row>
    <row r="1284" spans="7:7">
      <c r="G1284" s="149"/>
    </row>
    <row r="1285" spans="7:7">
      <c r="G1285" s="149"/>
    </row>
    <row r="1286" spans="7:7">
      <c r="G1286" s="149"/>
    </row>
    <row r="1287" spans="7:7">
      <c r="G1287" s="149"/>
    </row>
    <row r="1288" spans="7:7">
      <c r="G1288" s="149"/>
    </row>
    <row r="1289" spans="7:7">
      <c r="G1289" s="149"/>
    </row>
    <row r="1290" spans="7:7">
      <c r="G1290" s="149"/>
    </row>
    <row r="1291" spans="7:7">
      <c r="G1291" s="149"/>
    </row>
    <row r="1292" spans="7:7">
      <c r="G1292" s="149"/>
    </row>
    <row r="1293" spans="7:7">
      <c r="G1293" s="149"/>
    </row>
    <row r="1294" spans="7:7">
      <c r="G1294" s="149"/>
    </row>
    <row r="1295" spans="7:7">
      <c r="G1295" s="149"/>
    </row>
    <row r="1296" spans="7:7">
      <c r="G1296" s="149"/>
    </row>
    <row r="1297" spans="7:7">
      <c r="G1297" s="149"/>
    </row>
    <row r="1298" spans="7:7">
      <c r="G1298" s="149"/>
    </row>
    <row r="1299" spans="7:7">
      <c r="G1299" s="149"/>
    </row>
    <row r="1300" spans="7:7">
      <c r="G1300" s="149"/>
    </row>
    <row r="1301" spans="7:7">
      <c r="G1301" s="149"/>
    </row>
    <row r="1302" spans="7:7">
      <c r="G1302" s="149"/>
    </row>
    <row r="1303" spans="7:7">
      <c r="G1303" s="149"/>
    </row>
    <row r="1304" spans="7:7">
      <c r="G1304" s="149"/>
    </row>
    <row r="1305" spans="7:7">
      <c r="G1305" s="149"/>
    </row>
    <row r="1306" spans="7:7">
      <c r="G1306" s="149"/>
    </row>
    <row r="1307" spans="7:7">
      <c r="G1307" s="149"/>
    </row>
    <row r="1308" spans="7:7">
      <c r="G1308" s="149"/>
    </row>
    <row r="1309" spans="7:7">
      <c r="G1309" s="149"/>
    </row>
    <row r="1310" spans="7:7">
      <c r="G1310" s="149"/>
    </row>
    <row r="1311" spans="7:7">
      <c r="G1311" s="149"/>
    </row>
    <row r="1312" spans="7:7">
      <c r="G1312" s="149"/>
    </row>
    <row r="1313" spans="7:7">
      <c r="G1313" s="149"/>
    </row>
    <row r="1314" spans="7:7">
      <c r="G1314" s="149"/>
    </row>
    <row r="1315" spans="7:7">
      <c r="G1315" s="149"/>
    </row>
    <row r="1316" spans="7:7">
      <c r="G1316" s="149"/>
    </row>
    <row r="1317" spans="7:7">
      <c r="G1317" s="149"/>
    </row>
    <row r="1318" spans="7:7">
      <c r="G1318" s="149"/>
    </row>
    <row r="1319" spans="7:7">
      <c r="G1319" s="149"/>
    </row>
    <row r="1320" spans="7:7">
      <c r="G1320" s="149"/>
    </row>
    <row r="1321" spans="7:7">
      <c r="G1321" s="149"/>
    </row>
    <row r="1322" spans="7:7">
      <c r="G1322" s="149"/>
    </row>
    <row r="1323" spans="7:7">
      <c r="G1323" s="149"/>
    </row>
    <row r="1324" spans="7:7">
      <c r="G1324" s="149"/>
    </row>
    <row r="1325" spans="7:7">
      <c r="G1325" s="149"/>
    </row>
    <row r="1326" spans="7:7">
      <c r="G1326" s="149"/>
    </row>
    <row r="1327" spans="7:7">
      <c r="G1327" s="149"/>
    </row>
    <row r="1328" spans="7:7">
      <c r="G1328" s="149"/>
    </row>
    <row r="1329" spans="7:7">
      <c r="G1329" s="149"/>
    </row>
    <row r="1330" spans="7:7">
      <c r="G1330" s="149"/>
    </row>
    <row r="1331" spans="7:7">
      <c r="G1331" s="149"/>
    </row>
    <row r="1332" spans="7:7">
      <c r="G1332" s="149"/>
    </row>
    <row r="1333" spans="7:7">
      <c r="G1333" s="149"/>
    </row>
    <row r="1334" spans="7:7">
      <c r="G1334" s="149"/>
    </row>
    <row r="1335" spans="7:7">
      <c r="G1335" s="149"/>
    </row>
    <row r="1336" spans="7:7">
      <c r="G1336" s="149"/>
    </row>
    <row r="1337" spans="7:7">
      <c r="G1337" s="149"/>
    </row>
    <row r="1338" spans="7:7">
      <c r="G1338" s="149"/>
    </row>
    <row r="1339" spans="7:7">
      <c r="G1339" s="149"/>
    </row>
    <row r="1340" spans="7:7">
      <c r="G1340" s="149"/>
    </row>
    <row r="1341" spans="7:7">
      <c r="G1341" s="149"/>
    </row>
    <row r="1342" spans="7:7">
      <c r="G1342" s="149"/>
    </row>
    <row r="1343" spans="7:7">
      <c r="G1343" s="149"/>
    </row>
    <row r="1344" spans="7:7">
      <c r="G1344" s="149"/>
    </row>
    <row r="1345" spans="7:7">
      <c r="G1345" s="149"/>
    </row>
    <row r="1346" spans="7:7">
      <c r="G1346" s="149"/>
    </row>
    <row r="1347" spans="7:7">
      <c r="G1347" s="149"/>
    </row>
    <row r="1348" spans="7:7">
      <c r="G1348" s="149"/>
    </row>
    <row r="1349" spans="7:7">
      <c r="G1349" s="149"/>
    </row>
    <row r="1350" spans="7:7">
      <c r="G1350" s="149"/>
    </row>
    <row r="1351" spans="7:7">
      <c r="G1351" s="149"/>
    </row>
    <row r="1352" spans="7:7">
      <c r="G1352" s="149"/>
    </row>
    <row r="1353" spans="7:7">
      <c r="G1353" s="149"/>
    </row>
    <row r="1354" spans="7:7">
      <c r="G1354" s="149"/>
    </row>
    <row r="1355" spans="7:7">
      <c r="G1355" s="149"/>
    </row>
    <row r="1356" spans="7:7">
      <c r="G1356" s="149"/>
    </row>
    <row r="1357" spans="7:7">
      <c r="G1357" s="149"/>
    </row>
    <row r="1358" spans="7:7">
      <c r="G1358" s="149"/>
    </row>
    <row r="1359" spans="7:7">
      <c r="G1359" s="149"/>
    </row>
    <row r="1360" spans="7:7">
      <c r="G1360" s="149"/>
    </row>
    <row r="1361" spans="7:7">
      <c r="G1361" s="149"/>
    </row>
    <row r="1362" spans="7:7">
      <c r="G1362" s="149"/>
    </row>
    <row r="1363" spans="7:7">
      <c r="G1363" s="149"/>
    </row>
    <row r="1364" spans="7:7">
      <c r="G1364" s="149"/>
    </row>
    <row r="1365" spans="7:7">
      <c r="G1365" s="149"/>
    </row>
    <row r="1366" spans="7:7">
      <c r="G1366" s="149"/>
    </row>
    <row r="1367" spans="7:7">
      <c r="G1367" s="149"/>
    </row>
    <row r="1368" spans="7:7">
      <c r="G1368" s="149"/>
    </row>
    <row r="1369" spans="7:7">
      <c r="G1369" s="149"/>
    </row>
    <row r="1370" spans="7:7">
      <c r="G1370" s="149"/>
    </row>
    <row r="1371" spans="7:7">
      <c r="G1371" s="149"/>
    </row>
    <row r="1372" spans="7:7">
      <c r="G1372" s="149"/>
    </row>
    <row r="1373" spans="7:7">
      <c r="G1373" s="149"/>
    </row>
    <row r="1374" spans="7:7">
      <c r="G1374" s="149"/>
    </row>
    <row r="1375" spans="7:7">
      <c r="G1375" s="149"/>
    </row>
    <row r="1376" spans="7:7">
      <c r="G1376" s="149"/>
    </row>
    <row r="1377" spans="7:7">
      <c r="G1377" s="149"/>
    </row>
    <row r="1378" spans="7:7">
      <c r="G1378" s="149"/>
    </row>
    <row r="1379" spans="7:7">
      <c r="G1379" s="149"/>
    </row>
    <row r="1380" spans="7:7">
      <c r="G1380" s="149"/>
    </row>
    <row r="1381" spans="7:7">
      <c r="G1381" s="149"/>
    </row>
    <row r="1382" spans="7:7">
      <c r="G1382" s="149"/>
    </row>
    <row r="1383" spans="7:7">
      <c r="G1383" s="149"/>
    </row>
    <row r="1384" spans="7:7">
      <c r="G1384" s="149"/>
    </row>
    <row r="1385" spans="7:7">
      <c r="G1385" s="149"/>
    </row>
    <row r="1386" spans="7:7">
      <c r="G1386" s="149"/>
    </row>
    <row r="1387" spans="7:7">
      <c r="G1387" s="149"/>
    </row>
    <row r="1388" spans="7:7">
      <c r="G1388" s="149"/>
    </row>
    <row r="1389" spans="7:7">
      <c r="G1389" s="149"/>
    </row>
    <row r="1390" spans="7:7">
      <c r="G1390" s="149"/>
    </row>
    <row r="1391" spans="7:7">
      <c r="G1391" s="149"/>
    </row>
    <row r="1392" spans="7:7">
      <c r="G1392" s="149"/>
    </row>
    <row r="1393" spans="7:7">
      <c r="G1393" s="149"/>
    </row>
    <row r="1394" spans="7:7">
      <c r="G1394" s="149"/>
    </row>
    <row r="1395" spans="7:7">
      <c r="G1395" s="149"/>
    </row>
    <row r="1396" spans="7:7">
      <c r="G1396" s="149"/>
    </row>
    <row r="1397" spans="7:7">
      <c r="G1397" s="149"/>
    </row>
    <row r="1398" spans="7:7">
      <c r="G1398" s="149"/>
    </row>
    <row r="1399" spans="7:7">
      <c r="G1399" s="149"/>
    </row>
    <row r="1400" spans="7:7">
      <c r="G1400" s="149"/>
    </row>
    <row r="1401" spans="7:7">
      <c r="G1401" s="149"/>
    </row>
    <row r="1402" spans="7:7">
      <c r="G1402" s="149"/>
    </row>
    <row r="1403" spans="7:7">
      <c r="G1403" s="149"/>
    </row>
    <row r="1404" spans="7:7">
      <c r="G1404" s="149"/>
    </row>
    <row r="1405" spans="7:7">
      <c r="G1405" s="149"/>
    </row>
    <row r="1406" spans="7:7">
      <c r="G1406" s="149"/>
    </row>
    <row r="1407" spans="7:7">
      <c r="G1407" s="149"/>
    </row>
    <row r="1408" spans="7:7">
      <c r="G1408" s="149"/>
    </row>
    <row r="1409" spans="7:7">
      <c r="G1409" s="149"/>
    </row>
    <row r="1410" spans="7:7">
      <c r="G1410" s="149"/>
    </row>
    <row r="1411" spans="7:7">
      <c r="G1411" s="149"/>
    </row>
    <row r="1412" spans="7:7">
      <c r="G1412" s="149"/>
    </row>
    <row r="1413" spans="7:7">
      <c r="G1413" s="149"/>
    </row>
    <row r="1414" spans="7:7">
      <c r="G1414" s="149"/>
    </row>
    <row r="1415" spans="7:7">
      <c r="G1415" s="149"/>
    </row>
    <row r="1416" spans="7:7">
      <c r="G1416" s="149"/>
    </row>
    <row r="1417" spans="7:7">
      <c r="G1417" s="149"/>
    </row>
    <row r="1418" spans="7:7">
      <c r="G1418" s="149"/>
    </row>
    <row r="1419" spans="7:7">
      <c r="G1419" s="149"/>
    </row>
    <row r="1420" spans="7:7">
      <c r="G1420" s="149"/>
    </row>
    <row r="1421" spans="7:7">
      <c r="G1421" s="149"/>
    </row>
    <row r="1422" spans="7:7">
      <c r="G1422" s="149"/>
    </row>
    <row r="1423" spans="7:7">
      <c r="G1423" s="149"/>
    </row>
    <row r="1424" spans="7:7">
      <c r="G1424" s="149"/>
    </row>
    <row r="1425" spans="7:7">
      <c r="G1425" s="149"/>
    </row>
    <row r="1426" spans="7:7">
      <c r="G1426" s="149"/>
    </row>
    <row r="1427" spans="7:7">
      <c r="G1427" s="149"/>
    </row>
    <row r="1428" spans="7:7">
      <c r="G1428" s="149"/>
    </row>
    <row r="1429" spans="7:7">
      <c r="G1429" s="149"/>
    </row>
    <row r="1430" spans="7:7">
      <c r="G1430" s="149"/>
    </row>
    <row r="1431" spans="7:7">
      <c r="G1431" s="149"/>
    </row>
    <row r="1432" spans="7:7">
      <c r="G1432" s="149"/>
    </row>
    <row r="1433" spans="7:7">
      <c r="G1433" s="149"/>
    </row>
    <row r="1434" spans="7:7">
      <c r="G1434" s="149"/>
    </row>
    <row r="1435" spans="7:7">
      <c r="G1435" s="149"/>
    </row>
    <row r="1436" spans="7:7">
      <c r="G1436" s="149"/>
    </row>
    <row r="1437" spans="7:7">
      <c r="G1437" s="149"/>
    </row>
    <row r="1438" spans="7:7">
      <c r="G1438" s="149"/>
    </row>
    <row r="1439" spans="7:7">
      <c r="G1439" s="149"/>
    </row>
    <row r="1440" spans="7:7">
      <c r="G1440" s="149"/>
    </row>
    <row r="1441" spans="7:7">
      <c r="G1441" s="149"/>
    </row>
    <row r="1442" spans="7:7">
      <c r="G1442" s="149"/>
    </row>
    <row r="1443" spans="7:7">
      <c r="G1443" s="149"/>
    </row>
    <row r="1444" spans="7:7">
      <c r="G1444" s="149"/>
    </row>
    <row r="1445" spans="7:7">
      <c r="G1445" s="149"/>
    </row>
    <row r="1446" spans="7:7">
      <c r="G1446" s="149"/>
    </row>
    <row r="1447" spans="7:7">
      <c r="G1447" s="149"/>
    </row>
    <row r="1448" spans="7:7">
      <c r="G1448" s="149"/>
    </row>
    <row r="1449" spans="7:7">
      <c r="G1449" s="149"/>
    </row>
    <row r="1450" spans="7:7">
      <c r="G1450" s="149"/>
    </row>
    <row r="1451" spans="7:7">
      <c r="G1451" s="149"/>
    </row>
    <row r="1452" spans="7:7">
      <c r="G1452" s="149"/>
    </row>
    <row r="1453" spans="7:7">
      <c r="G1453" s="149"/>
    </row>
    <row r="1454" spans="7:7">
      <c r="G1454" s="149"/>
    </row>
    <row r="1455" spans="7:7">
      <c r="G1455" s="149"/>
    </row>
    <row r="1456" spans="7:7">
      <c r="G1456" s="149"/>
    </row>
    <row r="1457" spans="7:7">
      <c r="G1457" s="149"/>
    </row>
    <row r="1458" spans="7:7">
      <c r="G1458" s="149"/>
    </row>
    <row r="1459" spans="7:7">
      <c r="G1459" s="149"/>
    </row>
    <row r="1460" spans="7:7">
      <c r="G1460" s="149"/>
    </row>
    <row r="1461" spans="7:7">
      <c r="G1461" s="149"/>
    </row>
    <row r="1462" spans="7:7">
      <c r="G1462" s="149"/>
    </row>
    <row r="1463" spans="7:7">
      <c r="G1463" s="149"/>
    </row>
    <row r="1464" spans="7:7">
      <c r="G1464" s="149"/>
    </row>
    <row r="1465" spans="7:7">
      <c r="G1465" s="149"/>
    </row>
    <row r="1466" spans="7:7">
      <c r="G1466" s="149"/>
    </row>
    <row r="1467" spans="7:7">
      <c r="G1467" s="149"/>
    </row>
    <row r="1468" spans="7:7">
      <c r="G1468" s="149"/>
    </row>
    <row r="1469" spans="7:7">
      <c r="G1469" s="149"/>
    </row>
    <row r="1470" spans="7:7">
      <c r="G1470" s="149"/>
    </row>
    <row r="1471" spans="7:7">
      <c r="G1471" s="149"/>
    </row>
    <row r="1472" spans="7:7">
      <c r="G1472" s="149"/>
    </row>
    <row r="1473" spans="7:7">
      <c r="G1473" s="149"/>
    </row>
    <row r="1474" spans="7:7">
      <c r="G1474" s="149"/>
    </row>
    <row r="1475" spans="7:7">
      <c r="G1475" s="149"/>
    </row>
    <row r="1476" spans="7:7">
      <c r="G1476" s="149"/>
    </row>
    <row r="1477" spans="7:7">
      <c r="G1477" s="149"/>
    </row>
    <row r="1478" spans="7:7">
      <c r="G1478" s="149"/>
    </row>
    <row r="1479" spans="7:7">
      <c r="G1479" s="149"/>
    </row>
    <row r="1480" spans="7:7">
      <c r="G1480" s="149"/>
    </row>
    <row r="1481" spans="7:7">
      <c r="G1481" s="149"/>
    </row>
    <row r="1482" spans="7:7">
      <c r="G1482" s="149"/>
    </row>
    <row r="1483" spans="7:7">
      <c r="G1483" s="149"/>
    </row>
    <row r="1484" spans="7:7">
      <c r="G1484" s="149"/>
    </row>
    <row r="1485" spans="7:7">
      <c r="G1485" s="149"/>
    </row>
    <row r="1486" spans="7:7">
      <c r="G1486" s="149"/>
    </row>
    <row r="1487" spans="7:7">
      <c r="G1487" s="149"/>
    </row>
    <row r="1488" spans="7:7">
      <c r="G1488" s="149"/>
    </row>
    <row r="1489" spans="7:7">
      <c r="G1489" s="149"/>
    </row>
    <row r="1490" spans="7:7">
      <c r="G1490" s="149"/>
    </row>
    <row r="1491" spans="7:7">
      <c r="G1491" s="149"/>
    </row>
    <row r="1492" spans="7:7">
      <c r="G1492" s="149"/>
    </row>
    <row r="1493" spans="7:7">
      <c r="G1493" s="149"/>
    </row>
    <row r="1494" spans="7:7">
      <c r="G1494" s="149"/>
    </row>
    <row r="1495" spans="7:7">
      <c r="G1495" s="149"/>
    </row>
    <row r="1496" spans="7:7">
      <c r="G1496" s="149"/>
    </row>
    <row r="1497" spans="7:7">
      <c r="G1497" s="149"/>
    </row>
    <row r="1498" spans="7:7">
      <c r="G1498" s="149"/>
    </row>
    <row r="1499" spans="7:7">
      <c r="G1499" s="149"/>
    </row>
    <row r="1500" spans="7:7">
      <c r="G1500" s="149"/>
    </row>
    <row r="1501" spans="7:7">
      <c r="G1501" s="149"/>
    </row>
    <row r="1502" spans="7:7">
      <c r="G1502" s="149"/>
    </row>
    <row r="1503" spans="7:7">
      <c r="G1503" s="149"/>
    </row>
    <row r="1504" spans="7:7">
      <c r="G1504" s="149"/>
    </row>
    <row r="1505" spans="7:7">
      <c r="G1505" s="149"/>
    </row>
    <row r="1506" spans="7:7">
      <c r="G1506" s="149"/>
    </row>
    <row r="1507" spans="7:7">
      <c r="G1507" s="149"/>
    </row>
    <row r="1508" spans="7:7">
      <c r="G1508" s="149"/>
    </row>
    <row r="1509" spans="7:7">
      <c r="G1509" s="149"/>
    </row>
    <row r="1510" spans="7:7">
      <c r="G1510" s="149"/>
    </row>
    <row r="1511" spans="7:7">
      <c r="G1511" s="149"/>
    </row>
    <row r="1512" spans="7:7">
      <c r="G1512" s="149"/>
    </row>
    <row r="1513" spans="7:7">
      <c r="G1513" s="149"/>
    </row>
    <row r="1514" spans="7:7">
      <c r="G1514" s="149"/>
    </row>
    <row r="1515" spans="7:7">
      <c r="G1515" s="149"/>
    </row>
    <row r="1516" spans="7:7">
      <c r="G1516" s="149"/>
    </row>
    <row r="1517" spans="7:7">
      <c r="G1517" s="149"/>
    </row>
    <row r="1518" spans="7:7">
      <c r="G1518" s="149"/>
    </row>
    <row r="1519" spans="7:7">
      <c r="G1519" s="149"/>
    </row>
    <row r="1520" spans="7:7">
      <c r="G1520" s="149"/>
    </row>
    <row r="1521" spans="7:7">
      <c r="G1521" s="149"/>
    </row>
    <row r="1522" spans="7:7">
      <c r="G1522" s="149"/>
    </row>
    <row r="1523" spans="7:7">
      <c r="G1523" s="149"/>
    </row>
    <row r="1524" spans="7:7">
      <c r="G1524" s="149"/>
    </row>
    <row r="1525" spans="7:7">
      <c r="G1525" s="149"/>
    </row>
    <row r="1526" spans="7:7">
      <c r="G1526" s="149"/>
    </row>
    <row r="1527" spans="7:7">
      <c r="G1527" s="149"/>
    </row>
    <row r="1528" spans="7:7">
      <c r="G1528" s="149"/>
    </row>
    <row r="1529" spans="7:7">
      <c r="G1529" s="149"/>
    </row>
    <row r="1530" spans="7:7">
      <c r="G1530" s="149"/>
    </row>
    <row r="1531" spans="7:7">
      <c r="G1531" s="149"/>
    </row>
    <row r="1532" spans="7:7">
      <c r="G1532" s="149"/>
    </row>
    <row r="1533" spans="7:7">
      <c r="G1533" s="149"/>
    </row>
    <row r="1534" spans="7:7">
      <c r="G1534" s="149"/>
    </row>
    <row r="1535" spans="7:7">
      <c r="G1535" s="149"/>
    </row>
    <row r="1536" spans="7:7">
      <c r="G1536" s="149"/>
    </row>
    <row r="1537" spans="7:7">
      <c r="G1537" s="149"/>
    </row>
    <row r="1538" spans="7:7">
      <c r="G1538" s="149"/>
    </row>
    <row r="1539" spans="7:7">
      <c r="G1539" s="149"/>
    </row>
    <row r="1540" spans="7:7">
      <c r="G1540" s="149"/>
    </row>
    <row r="1541" spans="7:7">
      <c r="G1541" s="149"/>
    </row>
    <row r="1542" spans="7:7">
      <c r="G1542" s="149"/>
    </row>
    <row r="1543" spans="7:7">
      <c r="G1543" s="149"/>
    </row>
    <row r="1544" spans="7:7">
      <c r="G1544" s="149"/>
    </row>
    <row r="1545" spans="7:7">
      <c r="G1545" s="149"/>
    </row>
    <row r="1546" spans="7:7">
      <c r="G1546" s="149"/>
    </row>
    <row r="1547" spans="7:7">
      <c r="G1547" s="149"/>
    </row>
    <row r="1548" spans="7:7">
      <c r="G1548" s="149"/>
    </row>
    <row r="1549" spans="7:7">
      <c r="G1549" s="149"/>
    </row>
    <row r="1550" spans="7:7">
      <c r="G1550" s="149"/>
    </row>
    <row r="1551" spans="7:7">
      <c r="G1551" s="149"/>
    </row>
    <row r="1552" spans="7:7">
      <c r="G1552" s="149"/>
    </row>
    <row r="1553" spans="7:7">
      <c r="G1553" s="149"/>
    </row>
    <row r="1554" spans="7:7">
      <c r="G1554" s="149"/>
    </row>
    <row r="1555" spans="7:7">
      <c r="G1555" s="149"/>
    </row>
    <row r="1556" spans="7:7">
      <c r="G1556" s="149"/>
    </row>
    <row r="1557" spans="7:7">
      <c r="G1557" s="149"/>
    </row>
    <row r="1558" spans="7:7">
      <c r="G1558" s="149"/>
    </row>
    <row r="1559" spans="7:7">
      <c r="G1559" s="149"/>
    </row>
    <row r="1560" spans="7:7">
      <c r="G1560" s="149"/>
    </row>
    <row r="1561" spans="7:7">
      <c r="G1561" s="149"/>
    </row>
    <row r="1562" spans="7:7">
      <c r="G1562" s="149"/>
    </row>
    <row r="1563" spans="7:7">
      <c r="G1563" s="149"/>
    </row>
    <row r="1564" spans="7:7">
      <c r="G1564" s="149"/>
    </row>
    <row r="1565" spans="7:7">
      <c r="G1565" s="149"/>
    </row>
    <row r="1566" spans="7:7">
      <c r="G1566" s="149"/>
    </row>
    <row r="1567" spans="7:7">
      <c r="G1567" s="149"/>
    </row>
    <row r="1568" spans="7:7">
      <c r="G1568" s="149"/>
    </row>
    <row r="1569" spans="7:7">
      <c r="G1569" s="149"/>
    </row>
    <row r="1570" spans="7:7">
      <c r="G1570" s="149"/>
    </row>
    <row r="1571" spans="7:7">
      <c r="G1571" s="149"/>
    </row>
    <row r="1572" spans="7:7">
      <c r="G1572" s="149"/>
    </row>
    <row r="1573" spans="7:7">
      <c r="G1573" s="149"/>
    </row>
    <row r="1574" spans="7:7">
      <c r="G1574" s="149"/>
    </row>
    <row r="1575" spans="7:7">
      <c r="G1575" s="149"/>
    </row>
    <row r="1576" spans="7:7">
      <c r="G1576" s="149"/>
    </row>
    <row r="1577" spans="7:7">
      <c r="G1577" s="149"/>
    </row>
    <row r="1578" spans="7:7">
      <c r="G1578" s="149"/>
    </row>
    <row r="1579" spans="7:7">
      <c r="G1579" s="149"/>
    </row>
    <row r="1580" spans="7:7">
      <c r="G1580" s="149"/>
    </row>
    <row r="1581" spans="7:7">
      <c r="G1581" s="149"/>
    </row>
    <row r="1582" spans="7:7">
      <c r="G1582" s="149"/>
    </row>
    <row r="1583" spans="7:7">
      <c r="G1583" s="149"/>
    </row>
    <row r="1584" spans="7:7">
      <c r="G1584" s="149"/>
    </row>
    <row r="1585" spans="7:7">
      <c r="G1585" s="149"/>
    </row>
    <row r="1586" spans="7:7">
      <c r="G1586" s="149"/>
    </row>
    <row r="1587" spans="7:7">
      <c r="G1587" s="149"/>
    </row>
    <row r="1588" spans="7:7">
      <c r="G1588" s="149"/>
    </row>
    <row r="1589" spans="7:7">
      <c r="G1589" s="149"/>
    </row>
    <row r="1590" spans="7:7">
      <c r="G1590" s="149"/>
    </row>
    <row r="1591" spans="7:7">
      <c r="G1591" s="149"/>
    </row>
    <row r="1592" spans="7:7">
      <c r="G1592" s="149"/>
    </row>
    <row r="1593" spans="7:7">
      <c r="G1593" s="149"/>
    </row>
    <row r="1594" spans="7:7">
      <c r="G1594" s="149"/>
    </row>
    <row r="1595" spans="7:7">
      <c r="G1595" s="149"/>
    </row>
    <row r="1596" spans="7:7">
      <c r="G1596" s="149"/>
    </row>
    <row r="1597" spans="7:7">
      <c r="G1597" s="149"/>
    </row>
    <row r="1598" spans="7:7">
      <c r="G1598" s="149"/>
    </row>
    <row r="1599" spans="7:7">
      <c r="G1599" s="149"/>
    </row>
    <row r="1600" spans="7:7">
      <c r="G1600" s="149"/>
    </row>
    <row r="1601" spans="7:7">
      <c r="G1601" s="149"/>
    </row>
    <row r="1602" spans="7:7">
      <c r="G1602" s="149"/>
    </row>
    <row r="1603" spans="7:7">
      <c r="G1603" s="149"/>
    </row>
    <row r="1604" spans="7:7">
      <c r="G1604" s="149"/>
    </row>
    <row r="1605" spans="7:7">
      <c r="G1605" s="149"/>
    </row>
    <row r="1606" spans="7:7">
      <c r="G1606" s="149"/>
    </row>
    <row r="1607" spans="7:7">
      <c r="G1607" s="149"/>
    </row>
    <row r="1608" spans="7:7">
      <c r="G1608" s="149"/>
    </row>
    <row r="1609" spans="7:7">
      <c r="G1609" s="149"/>
    </row>
    <row r="1610" spans="7:7">
      <c r="G1610" s="149"/>
    </row>
    <row r="1611" spans="7:7">
      <c r="G1611" s="149"/>
    </row>
    <row r="1612" spans="7:7">
      <c r="G1612" s="149"/>
    </row>
    <row r="1613" spans="7:7">
      <c r="G1613" s="149"/>
    </row>
    <row r="1614" spans="7:7">
      <c r="G1614" s="149"/>
    </row>
    <row r="1615" spans="7:7">
      <c r="G1615" s="149"/>
    </row>
    <row r="1616" spans="7:7">
      <c r="G1616" s="149"/>
    </row>
    <row r="1617" spans="7:7">
      <c r="G1617" s="149"/>
    </row>
    <row r="1618" spans="7:7">
      <c r="G1618" s="149"/>
    </row>
    <row r="1619" spans="7:7">
      <c r="G1619" s="149"/>
    </row>
    <row r="1620" spans="7:7">
      <c r="G1620" s="149"/>
    </row>
    <row r="1621" spans="7:7">
      <c r="G1621" s="149"/>
    </row>
    <row r="1622" spans="7:7">
      <c r="G1622" s="149"/>
    </row>
    <row r="1623" spans="7:7">
      <c r="G1623" s="149"/>
    </row>
    <row r="1624" spans="7:7">
      <c r="G1624" s="149"/>
    </row>
    <row r="1625" spans="7:7">
      <c r="G1625" s="149"/>
    </row>
    <row r="1626" spans="7:7">
      <c r="G1626" s="149"/>
    </row>
    <row r="1627" spans="7:7">
      <c r="G1627" s="149"/>
    </row>
    <row r="1628" spans="7:7">
      <c r="G1628" s="149"/>
    </row>
    <row r="1629" spans="7:7">
      <c r="G1629" s="149"/>
    </row>
    <row r="1630" spans="7:7">
      <c r="G1630" s="149"/>
    </row>
    <row r="1631" spans="7:7">
      <c r="G1631" s="149"/>
    </row>
    <row r="1632" spans="7:7">
      <c r="G1632" s="149"/>
    </row>
    <row r="1633" spans="7:7">
      <c r="G1633" s="149"/>
    </row>
    <row r="1634" spans="7:7">
      <c r="G1634" s="149"/>
    </row>
    <row r="1635" spans="7:7">
      <c r="G1635" s="149"/>
    </row>
    <row r="1636" spans="7:7">
      <c r="G1636" s="149"/>
    </row>
    <row r="1637" spans="7:7">
      <c r="G1637" s="149"/>
    </row>
    <row r="1638" spans="7:7">
      <c r="G1638" s="149"/>
    </row>
    <row r="1639" spans="7:7">
      <c r="G1639" s="149"/>
    </row>
    <row r="1640" spans="7:7">
      <c r="G1640" s="149"/>
    </row>
    <row r="1641" spans="7:7">
      <c r="G1641" s="149"/>
    </row>
    <row r="1642" spans="7:7">
      <c r="G1642" s="149"/>
    </row>
    <row r="1643" spans="7:7">
      <c r="G1643" s="149"/>
    </row>
    <row r="1644" spans="7:7">
      <c r="G1644" s="149"/>
    </row>
    <row r="1645" spans="7:7">
      <c r="G1645" s="149"/>
    </row>
    <row r="1646" spans="7:7">
      <c r="G1646" s="149"/>
    </row>
    <row r="1647" spans="7:7">
      <c r="G1647" s="149"/>
    </row>
    <row r="1648" spans="7:7">
      <c r="G1648" s="149"/>
    </row>
    <row r="1649" spans="7:7">
      <c r="G1649" s="149"/>
    </row>
    <row r="1650" spans="7:7">
      <c r="G1650" s="149"/>
    </row>
    <row r="1651" spans="7:7">
      <c r="G1651" s="149"/>
    </row>
    <row r="1652" spans="7:7">
      <c r="G1652" s="149"/>
    </row>
    <row r="1653" spans="7:7">
      <c r="G1653" s="149"/>
    </row>
    <row r="1654" spans="7:7">
      <c r="G1654" s="149"/>
    </row>
    <row r="1655" spans="7:7">
      <c r="G1655" s="149"/>
    </row>
    <row r="1656" spans="7:7">
      <c r="G1656" s="149"/>
    </row>
    <row r="1657" spans="7:7">
      <c r="G1657" s="149"/>
    </row>
    <row r="1658" spans="7:7">
      <c r="G1658" s="149"/>
    </row>
    <row r="1659" spans="7:7">
      <c r="G1659" s="149"/>
    </row>
    <row r="1660" spans="7:7">
      <c r="G1660" s="149"/>
    </row>
    <row r="1661" spans="7:7">
      <c r="G1661" s="149"/>
    </row>
    <row r="1662" spans="7:7">
      <c r="G1662" s="149"/>
    </row>
    <row r="1663" spans="7:7">
      <c r="G1663" s="149"/>
    </row>
    <row r="1664" spans="7:7">
      <c r="G1664" s="149"/>
    </row>
    <row r="1665" spans="7:7">
      <c r="G1665" s="149"/>
    </row>
    <row r="1666" spans="7:7">
      <c r="G1666" s="149"/>
    </row>
    <row r="1667" spans="7:7">
      <c r="G1667" s="149"/>
    </row>
    <row r="1668" spans="7:7">
      <c r="G1668" s="149"/>
    </row>
    <row r="1669" spans="7:7">
      <c r="G1669" s="149"/>
    </row>
    <row r="1670" spans="7:7">
      <c r="G1670" s="149"/>
    </row>
    <row r="1671" spans="7:7">
      <c r="G1671" s="149"/>
    </row>
    <row r="1672" spans="7:7">
      <c r="G1672" s="149"/>
    </row>
    <row r="1673" spans="7:7">
      <c r="G1673" s="149"/>
    </row>
    <row r="1674" spans="7:7">
      <c r="G1674" s="149"/>
    </row>
    <row r="1675" spans="7:7">
      <c r="G1675" s="149"/>
    </row>
    <row r="1676" spans="7:7">
      <c r="G1676" s="149"/>
    </row>
    <row r="1677" spans="7:7">
      <c r="G1677" s="149"/>
    </row>
    <row r="1678" spans="7:7">
      <c r="G1678" s="149"/>
    </row>
    <row r="1679" spans="7:7">
      <c r="G1679" s="149"/>
    </row>
    <row r="1680" spans="7:7">
      <c r="G1680" s="149"/>
    </row>
    <row r="1681" spans="7:7">
      <c r="G1681" s="149"/>
    </row>
    <row r="1682" spans="7:7">
      <c r="G1682" s="149"/>
    </row>
    <row r="1683" spans="7:7">
      <c r="G1683" s="149"/>
    </row>
    <row r="1684" spans="7:7">
      <c r="G1684" s="149"/>
    </row>
    <row r="1685" spans="7:7">
      <c r="G1685" s="149"/>
    </row>
    <row r="1686" spans="7:7">
      <c r="G1686" s="149"/>
    </row>
    <row r="1687" spans="7:7">
      <c r="G1687" s="149"/>
    </row>
    <row r="1688" spans="7:7">
      <c r="G1688" s="149"/>
    </row>
    <row r="1689" spans="7:7">
      <c r="G1689" s="149"/>
    </row>
    <row r="1690" spans="7:7">
      <c r="G1690" s="149"/>
    </row>
    <row r="1691" spans="7:7">
      <c r="G1691" s="149"/>
    </row>
    <row r="1692" spans="7:7">
      <c r="G1692" s="149"/>
    </row>
    <row r="1693" spans="7:7">
      <c r="G1693" s="149"/>
    </row>
    <row r="1694" spans="7:7">
      <c r="G1694" s="149"/>
    </row>
    <row r="1695" spans="7:7">
      <c r="G1695" s="149"/>
    </row>
    <row r="1696" spans="7:7">
      <c r="G1696" s="149"/>
    </row>
    <row r="1697" spans="7:7">
      <c r="G1697" s="149"/>
    </row>
    <row r="1698" spans="7:7">
      <c r="G1698" s="149"/>
    </row>
    <row r="1699" spans="7:7">
      <c r="G1699" s="149"/>
    </row>
    <row r="1700" spans="7:7">
      <c r="G1700" s="149"/>
    </row>
    <row r="1701" spans="7:7">
      <c r="G1701" s="149"/>
    </row>
    <row r="1702" spans="7:7">
      <c r="G1702" s="149"/>
    </row>
    <row r="1703" spans="7:7">
      <c r="G1703" s="149"/>
    </row>
    <row r="1704" spans="7:7">
      <c r="G1704" s="149"/>
    </row>
    <row r="1705" spans="7:7">
      <c r="G1705" s="149"/>
    </row>
    <row r="1706" spans="7:7">
      <c r="G1706" s="149"/>
    </row>
    <row r="1707" spans="7:7">
      <c r="G1707" s="149"/>
    </row>
    <row r="1708" spans="7:7">
      <c r="G1708" s="149"/>
    </row>
    <row r="1709" spans="7:7">
      <c r="G1709" s="149"/>
    </row>
    <row r="1710" spans="7:7">
      <c r="G1710" s="149"/>
    </row>
    <row r="1711" spans="7:7">
      <c r="G1711" s="149"/>
    </row>
    <row r="1712" spans="7:7">
      <c r="G1712" s="149"/>
    </row>
    <row r="1713" spans="7:7">
      <c r="G1713" s="149"/>
    </row>
    <row r="1714" spans="7:7">
      <c r="G1714" s="149"/>
    </row>
    <row r="1715" spans="7:7">
      <c r="G1715" s="149"/>
    </row>
    <row r="1716" spans="7:7">
      <c r="G1716" s="149"/>
    </row>
    <row r="1717" spans="7:7">
      <c r="G1717" s="149"/>
    </row>
    <row r="1718" spans="7:7">
      <c r="G1718" s="149"/>
    </row>
    <row r="1719" spans="7:7">
      <c r="G1719" s="149"/>
    </row>
    <row r="1720" spans="7:7">
      <c r="G1720" s="149"/>
    </row>
    <row r="1721" spans="7:7">
      <c r="G1721" s="149"/>
    </row>
    <row r="1722" spans="7:7">
      <c r="G1722" s="149"/>
    </row>
    <row r="1723" spans="7:7">
      <c r="G1723" s="149"/>
    </row>
    <row r="1724" spans="7:7">
      <c r="G1724" s="149"/>
    </row>
    <row r="1725" spans="7:7">
      <c r="G1725" s="149"/>
    </row>
    <row r="1726" spans="7:7">
      <c r="G1726" s="149"/>
    </row>
    <row r="1727" spans="7:7">
      <c r="G1727" s="149"/>
    </row>
    <row r="1728" spans="7:7">
      <c r="G1728" s="149"/>
    </row>
    <row r="1729" spans="7:7">
      <c r="G1729" s="149"/>
    </row>
    <row r="1730" spans="7:7">
      <c r="G1730" s="149"/>
    </row>
    <row r="1731" spans="7:7">
      <c r="G1731" s="149"/>
    </row>
    <row r="1732" spans="7:7">
      <c r="G1732" s="149"/>
    </row>
    <row r="1733" spans="7:7">
      <c r="G1733" s="149"/>
    </row>
    <row r="1734" spans="7:7">
      <c r="G1734" s="149"/>
    </row>
    <row r="1735" spans="7:7">
      <c r="G1735" s="149"/>
    </row>
    <row r="1736" spans="7:7">
      <c r="G1736" s="149"/>
    </row>
    <row r="1737" spans="7:7">
      <c r="G1737" s="149"/>
    </row>
    <row r="1738" spans="7:7">
      <c r="G1738" s="149"/>
    </row>
    <row r="1739" spans="7:7">
      <c r="G1739" s="149"/>
    </row>
    <row r="1740" spans="7:7">
      <c r="G1740" s="149"/>
    </row>
    <row r="1741" spans="7:7">
      <c r="G1741" s="149"/>
    </row>
    <row r="1742" spans="7:7">
      <c r="G1742" s="149"/>
    </row>
    <row r="1743" spans="7:7">
      <c r="G1743" s="149"/>
    </row>
    <row r="1744" spans="7:7">
      <c r="G1744" s="149"/>
    </row>
    <row r="1745" spans="7:7">
      <c r="G1745" s="149"/>
    </row>
    <row r="1746" spans="7:7">
      <c r="G1746" s="149"/>
    </row>
    <row r="1747" spans="7:7">
      <c r="G1747" s="149"/>
    </row>
    <row r="1748" spans="7:7">
      <c r="G1748" s="149"/>
    </row>
    <row r="1749" spans="7:7">
      <c r="G1749" s="149"/>
    </row>
    <row r="1750" spans="7:7">
      <c r="G1750" s="149"/>
    </row>
    <row r="1751" spans="7:7">
      <c r="G1751" s="149"/>
    </row>
    <row r="1752" spans="7:7">
      <c r="G1752" s="149"/>
    </row>
    <row r="1753" spans="7:7">
      <c r="G1753" s="149"/>
    </row>
    <row r="1754" spans="7:7">
      <c r="G1754" s="149"/>
    </row>
    <row r="1755" spans="7:7">
      <c r="G1755" s="149"/>
    </row>
    <row r="1756" spans="7:7">
      <c r="G1756" s="149"/>
    </row>
    <row r="1757" spans="7:7">
      <c r="G1757" s="149"/>
    </row>
    <row r="1758" spans="7:7">
      <c r="G1758" s="149"/>
    </row>
    <row r="1759" spans="7:7">
      <c r="G1759" s="149"/>
    </row>
    <row r="1760" spans="7:7">
      <c r="G1760" s="149"/>
    </row>
    <row r="1761" spans="7:7">
      <c r="G1761" s="149"/>
    </row>
    <row r="1762" spans="7:7">
      <c r="G1762" s="149"/>
    </row>
    <row r="1763" spans="7:7">
      <c r="G1763" s="149"/>
    </row>
    <row r="1764" spans="7:7">
      <c r="G1764" s="149"/>
    </row>
    <row r="1765" spans="7:7">
      <c r="G1765" s="149"/>
    </row>
    <row r="1766" spans="7:7">
      <c r="G1766" s="149"/>
    </row>
    <row r="1767" spans="7:7">
      <c r="G1767" s="149"/>
    </row>
    <row r="1768" spans="7:7">
      <c r="G1768" s="149"/>
    </row>
    <row r="1769" spans="7:7">
      <c r="G1769" s="149"/>
    </row>
    <row r="1770" spans="7:7">
      <c r="G1770" s="149"/>
    </row>
    <row r="1771" spans="7:7">
      <c r="G1771" s="149"/>
    </row>
    <row r="1772" spans="7:7">
      <c r="G1772" s="149"/>
    </row>
    <row r="1773" spans="7:7">
      <c r="G1773" s="149"/>
    </row>
    <row r="1774" spans="7:7">
      <c r="G1774" s="149"/>
    </row>
    <row r="1775" spans="7:7">
      <c r="G1775" s="149"/>
    </row>
    <row r="1776" spans="7:7">
      <c r="G1776" s="149"/>
    </row>
    <row r="1777" spans="7:7">
      <c r="G1777" s="149"/>
    </row>
    <row r="1778" spans="7:7">
      <c r="G1778" s="149"/>
    </row>
    <row r="1779" spans="7:7">
      <c r="G1779" s="149"/>
    </row>
    <row r="1780" spans="7:7">
      <c r="G1780" s="149"/>
    </row>
    <row r="1781" spans="7:7">
      <c r="G1781" s="149"/>
    </row>
    <row r="1782" spans="7:7">
      <c r="G1782" s="149"/>
    </row>
    <row r="1783" spans="7:7">
      <c r="G1783" s="149"/>
    </row>
    <row r="1784" spans="7:7">
      <c r="G1784" s="149"/>
    </row>
    <row r="1785" spans="7:7">
      <c r="G1785" s="149"/>
    </row>
    <row r="1786" spans="7:7">
      <c r="G1786" s="149"/>
    </row>
    <row r="1787" spans="7:7">
      <c r="G1787" s="149"/>
    </row>
    <row r="1788" spans="7:7">
      <c r="G1788" s="149"/>
    </row>
    <row r="1789" spans="7:7">
      <c r="G1789" s="149"/>
    </row>
    <row r="1790" spans="7:7">
      <c r="G1790" s="149"/>
    </row>
    <row r="1791" spans="7:7">
      <c r="G1791" s="149"/>
    </row>
    <row r="1792" spans="7:7">
      <c r="G1792" s="149"/>
    </row>
    <row r="1793" spans="7:7">
      <c r="G1793" s="149"/>
    </row>
    <row r="1794" spans="7:7">
      <c r="G1794" s="149"/>
    </row>
    <row r="1795" spans="7:7">
      <c r="G1795" s="149"/>
    </row>
    <row r="1796" spans="7:7">
      <c r="G1796" s="149"/>
    </row>
    <row r="1797" spans="7:7">
      <c r="G1797" s="149"/>
    </row>
    <row r="1798" spans="7:7">
      <c r="G1798" s="149"/>
    </row>
    <row r="1799" spans="7:7">
      <c r="G1799" s="149"/>
    </row>
    <row r="1800" spans="7:7">
      <c r="G1800" s="149"/>
    </row>
    <row r="1801" spans="7:7">
      <c r="G1801" s="149"/>
    </row>
    <row r="1802" spans="7:7">
      <c r="G1802" s="149"/>
    </row>
    <row r="1803" spans="7:7">
      <c r="G1803" s="149"/>
    </row>
    <row r="1804" spans="7:7">
      <c r="G1804" s="149"/>
    </row>
    <row r="1805" spans="7:7">
      <c r="G1805" s="149"/>
    </row>
    <row r="1806" spans="7:7">
      <c r="G1806" s="149"/>
    </row>
    <row r="1807" spans="7:7">
      <c r="G1807" s="149"/>
    </row>
    <row r="1808" spans="7:7">
      <c r="G1808" s="149"/>
    </row>
    <row r="1809" spans="7:7">
      <c r="G1809" s="149"/>
    </row>
    <row r="1810" spans="7:7">
      <c r="G1810" s="149"/>
    </row>
    <row r="1811" spans="7:7">
      <c r="G1811" s="149"/>
    </row>
    <row r="1812" spans="7:7">
      <c r="G1812" s="149"/>
    </row>
    <row r="1813" spans="7:7">
      <c r="G1813" s="149"/>
    </row>
    <row r="1814" spans="7:7">
      <c r="G1814" s="149"/>
    </row>
    <row r="1815" spans="7:7">
      <c r="G1815" s="149"/>
    </row>
    <row r="1816" spans="7:7">
      <c r="G1816" s="149"/>
    </row>
    <row r="1817" spans="7:7">
      <c r="G1817" s="149"/>
    </row>
    <row r="1818" spans="7:7">
      <c r="G1818" s="149"/>
    </row>
    <row r="1819" spans="7:7">
      <c r="G1819" s="149"/>
    </row>
    <row r="1820" spans="7:7">
      <c r="G1820" s="149"/>
    </row>
    <row r="1821" spans="7:7">
      <c r="G1821" s="149"/>
    </row>
    <row r="1822" spans="7:7">
      <c r="G1822" s="149"/>
    </row>
    <row r="1823" spans="7:7">
      <c r="G1823" s="149"/>
    </row>
    <row r="1824" spans="7:7">
      <c r="G1824" s="149"/>
    </row>
    <row r="1825" spans="7:7">
      <c r="G1825" s="149"/>
    </row>
    <row r="1826" spans="7:7">
      <c r="G1826" s="149"/>
    </row>
    <row r="1827" spans="7:7">
      <c r="G1827" s="149"/>
    </row>
    <row r="1828" spans="7:7">
      <c r="G1828" s="149"/>
    </row>
    <row r="1829" spans="7:7">
      <c r="G1829" s="149"/>
    </row>
    <row r="1830" spans="7:7">
      <c r="G1830" s="149"/>
    </row>
    <row r="1831" spans="7:7">
      <c r="G1831" s="149"/>
    </row>
    <row r="1832" spans="7:7">
      <c r="G1832" s="149"/>
    </row>
    <row r="1833" spans="7:7">
      <c r="G1833" s="149"/>
    </row>
    <row r="1834" spans="7:7">
      <c r="G1834" s="149"/>
    </row>
    <row r="1835" spans="7:7">
      <c r="G1835" s="149"/>
    </row>
    <row r="1836" spans="7:7">
      <c r="G1836" s="149"/>
    </row>
    <row r="1837" spans="7:7">
      <c r="G1837" s="149"/>
    </row>
    <row r="1838" spans="7:7">
      <c r="G1838" s="149"/>
    </row>
    <row r="1839" spans="7:7">
      <c r="G1839" s="149"/>
    </row>
    <row r="1840" spans="7:7">
      <c r="G1840" s="149"/>
    </row>
    <row r="1841" spans="7:7">
      <c r="G1841" s="149"/>
    </row>
    <row r="1842" spans="7:7">
      <c r="G1842" s="149"/>
    </row>
    <row r="1843" spans="7:7">
      <c r="G1843" s="149"/>
    </row>
    <row r="1844" spans="7:7">
      <c r="G1844" s="149"/>
    </row>
    <row r="1845" spans="7:7">
      <c r="G1845" s="149"/>
    </row>
    <row r="1846" spans="7:7">
      <c r="G1846" s="149"/>
    </row>
    <row r="1847" spans="7:7">
      <c r="G1847" s="149"/>
    </row>
    <row r="1848" spans="7:7">
      <c r="G1848" s="149"/>
    </row>
    <row r="1849" spans="7:7">
      <c r="G1849" s="149"/>
    </row>
    <row r="1850" spans="7:7">
      <c r="G1850" s="149"/>
    </row>
    <row r="1851" spans="7:7">
      <c r="G1851" s="149"/>
    </row>
    <row r="1852" spans="7:7">
      <c r="G1852" s="149"/>
    </row>
    <row r="1853" spans="7:7">
      <c r="G1853" s="149"/>
    </row>
    <row r="1854" spans="7:7">
      <c r="G1854" s="149"/>
    </row>
    <row r="1855" spans="7:7">
      <c r="G1855" s="149"/>
    </row>
    <row r="1856" spans="7:7">
      <c r="G1856" s="149"/>
    </row>
    <row r="1857" spans="7:7">
      <c r="G1857" s="149"/>
    </row>
    <row r="1858" spans="7:7">
      <c r="G1858" s="149"/>
    </row>
    <row r="1859" spans="7:7">
      <c r="G1859" s="149"/>
    </row>
    <row r="1860" spans="7:7">
      <c r="G1860" s="149"/>
    </row>
    <row r="1861" spans="7:7">
      <c r="G1861" s="149"/>
    </row>
    <row r="1862" spans="7:7">
      <c r="G1862" s="149"/>
    </row>
    <row r="1863" spans="7:7">
      <c r="G1863" s="149"/>
    </row>
    <row r="1864" spans="7:7">
      <c r="G1864" s="149"/>
    </row>
    <row r="1865" spans="7:7">
      <c r="G1865" s="149"/>
    </row>
    <row r="1866" spans="7:7">
      <c r="G1866" s="149"/>
    </row>
    <row r="1867" spans="7:7">
      <c r="G1867" s="149"/>
    </row>
    <row r="1868" spans="7:7">
      <c r="G1868" s="149"/>
    </row>
    <row r="1869" spans="7:7">
      <c r="G1869" s="149"/>
    </row>
    <row r="1870" spans="7:7">
      <c r="G1870" s="149"/>
    </row>
    <row r="1871" spans="7:7">
      <c r="G1871" s="149"/>
    </row>
    <row r="1872" spans="7:7">
      <c r="G1872" s="149"/>
    </row>
    <row r="1873" spans="7:7">
      <c r="G1873" s="149"/>
    </row>
    <row r="1874" spans="7:7">
      <c r="G1874" s="149"/>
    </row>
    <row r="1875" spans="7:7">
      <c r="G1875" s="149"/>
    </row>
    <row r="1876" spans="7:7">
      <c r="G1876" s="149"/>
    </row>
    <row r="1877" spans="7:7">
      <c r="G1877" s="149"/>
    </row>
    <row r="1878" spans="7:7">
      <c r="G1878" s="149"/>
    </row>
    <row r="1879" spans="7:7">
      <c r="G1879" s="149"/>
    </row>
    <row r="1880" spans="7:7">
      <c r="G1880" s="149"/>
    </row>
    <row r="1881" spans="7:7">
      <c r="G1881" s="149"/>
    </row>
    <row r="1882" spans="7:7">
      <c r="G1882" s="149"/>
    </row>
    <row r="1883" spans="7:7">
      <c r="G1883" s="149"/>
    </row>
    <row r="1884" spans="7:7">
      <c r="G1884" s="149"/>
    </row>
    <row r="1885" spans="7:7">
      <c r="G1885" s="149"/>
    </row>
    <row r="1886" spans="7:7">
      <c r="G1886" s="149"/>
    </row>
    <row r="1887" spans="7:7">
      <c r="G1887" s="149"/>
    </row>
    <row r="1888" spans="7:7">
      <c r="G1888" s="149"/>
    </row>
    <row r="1889" spans="7:7">
      <c r="G1889" s="149"/>
    </row>
    <row r="1890" spans="7:7">
      <c r="G1890" s="149"/>
    </row>
    <row r="1891" spans="7:7">
      <c r="G1891" s="149"/>
    </row>
    <row r="1892" spans="7:7">
      <c r="G1892" s="149"/>
    </row>
    <row r="1893" spans="7:7">
      <c r="G1893" s="149"/>
    </row>
    <row r="1894" spans="7:7">
      <c r="G1894" s="149"/>
    </row>
    <row r="1895" spans="7:7">
      <c r="G1895" s="149"/>
    </row>
    <row r="1896" spans="7:7">
      <c r="G1896" s="149"/>
    </row>
    <row r="1897" spans="7:7">
      <c r="G1897" s="149"/>
    </row>
    <row r="1898" spans="7:7">
      <c r="G1898" s="149"/>
    </row>
    <row r="1899" spans="7:7">
      <c r="G1899" s="149"/>
    </row>
    <row r="1900" spans="7:7">
      <c r="G1900" s="149"/>
    </row>
    <row r="1901" spans="7:7">
      <c r="G1901" s="149"/>
    </row>
    <row r="1902" spans="7:7">
      <c r="G1902" s="149"/>
    </row>
    <row r="1903" spans="7:7">
      <c r="G1903" s="149"/>
    </row>
    <row r="1904" spans="7:7">
      <c r="G1904" s="149"/>
    </row>
    <row r="1905" spans="7:7">
      <c r="G1905" s="149"/>
    </row>
    <row r="1906" spans="7:7">
      <c r="G1906" s="149"/>
    </row>
    <row r="1907" spans="7:7">
      <c r="G1907" s="149"/>
    </row>
    <row r="1908" spans="7:7">
      <c r="G1908" s="149"/>
    </row>
    <row r="1909" spans="7:7">
      <c r="G1909" s="149"/>
    </row>
    <row r="1910" spans="7:7">
      <c r="G1910" s="149"/>
    </row>
    <row r="1911" spans="7:7">
      <c r="G1911" s="149"/>
    </row>
    <row r="1912" spans="7:7">
      <c r="G1912" s="149"/>
    </row>
    <row r="1913" spans="7:7">
      <c r="G1913" s="149"/>
    </row>
    <row r="1914" spans="7:7">
      <c r="G1914" s="149"/>
    </row>
    <row r="1915" spans="7:7">
      <c r="G1915" s="149"/>
    </row>
    <row r="1916" spans="7:7">
      <c r="G1916" s="149"/>
    </row>
    <row r="1917" spans="7:7">
      <c r="G1917" s="149"/>
    </row>
    <row r="1918" spans="7:7">
      <c r="G1918" s="149"/>
    </row>
    <row r="1919" spans="7:7">
      <c r="G1919" s="149"/>
    </row>
    <row r="1920" spans="7:7">
      <c r="G1920" s="149"/>
    </row>
    <row r="1921" spans="7:7">
      <c r="G1921" s="149"/>
    </row>
    <row r="1922" spans="7:7">
      <c r="G1922" s="149"/>
    </row>
    <row r="1923" spans="7:7">
      <c r="G1923" s="149"/>
    </row>
    <row r="1924" spans="7:7">
      <c r="G1924" s="149"/>
    </row>
    <row r="1925" spans="7:7">
      <c r="G1925" s="149"/>
    </row>
    <row r="1926" spans="7:7">
      <c r="G1926" s="149"/>
    </row>
    <row r="1927" spans="7:7">
      <c r="G1927" s="149"/>
    </row>
    <row r="1928" spans="7:7">
      <c r="G1928" s="149"/>
    </row>
    <row r="1929" spans="7:7">
      <c r="G1929" s="149"/>
    </row>
    <row r="1930" spans="7:7">
      <c r="G1930" s="149"/>
    </row>
    <row r="1931" spans="7:7">
      <c r="G1931" s="149"/>
    </row>
    <row r="1932" spans="7:7">
      <c r="G1932" s="149"/>
    </row>
    <row r="1933" spans="7:7">
      <c r="G1933" s="149"/>
    </row>
    <row r="1934" spans="7:7">
      <c r="G1934" s="149"/>
    </row>
    <row r="1935" spans="7:7">
      <c r="G1935" s="149"/>
    </row>
    <row r="1936" spans="7:7">
      <c r="G1936" s="149"/>
    </row>
    <row r="1937" spans="7:7">
      <c r="G1937" s="149"/>
    </row>
    <row r="1938" spans="7:7">
      <c r="G1938" s="149"/>
    </row>
    <row r="1939" spans="7:7">
      <c r="G1939" s="149"/>
    </row>
    <row r="1940" spans="7:7">
      <c r="G1940" s="149"/>
    </row>
    <row r="1941" spans="7:7">
      <c r="G1941" s="149"/>
    </row>
    <row r="1942" spans="7:7">
      <c r="G1942" s="149"/>
    </row>
    <row r="1943" spans="7:7">
      <c r="G1943" s="149"/>
    </row>
    <row r="1944" spans="7:7">
      <c r="G1944" s="149"/>
    </row>
    <row r="1945" spans="7:7">
      <c r="G1945" s="149"/>
    </row>
    <row r="1946" spans="7:7">
      <c r="G1946" s="149"/>
    </row>
    <row r="1947" spans="7:7">
      <c r="G1947" s="149"/>
    </row>
    <row r="1948" spans="7:7">
      <c r="G1948" s="149"/>
    </row>
    <row r="1949" spans="7:7">
      <c r="G1949" s="149"/>
    </row>
    <row r="1950" spans="7:7">
      <c r="G1950" s="149"/>
    </row>
    <row r="1951" spans="7:7">
      <c r="G1951" s="149"/>
    </row>
    <row r="1952" spans="7:7">
      <c r="G1952" s="149"/>
    </row>
    <row r="1953" spans="7:7">
      <c r="G1953" s="149"/>
    </row>
    <row r="1954" spans="7:7">
      <c r="G1954" s="149"/>
    </row>
    <row r="1955" spans="7:7">
      <c r="G1955" s="149"/>
    </row>
    <row r="1956" spans="7:7">
      <c r="G1956" s="149"/>
    </row>
    <row r="1957" spans="7:7">
      <c r="G1957" s="149"/>
    </row>
    <row r="1958" spans="7:7">
      <c r="G1958" s="149"/>
    </row>
    <row r="1959" spans="7:7">
      <c r="G1959" s="149"/>
    </row>
    <row r="1960" spans="7:7">
      <c r="G1960" s="149"/>
    </row>
    <row r="1961" spans="7:7">
      <c r="G1961" s="149"/>
    </row>
    <row r="1962" spans="7:7">
      <c r="G1962" s="149"/>
    </row>
    <row r="1963" spans="7:7">
      <c r="G1963" s="149"/>
    </row>
    <row r="1964" spans="7:7">
      <c r="G1964" s="149"/>
    </row>
    <row r="1965" spans="7:7">
      <c r="G1965" s="149"/>
    </row>
    <row r="1966" spans="7:7">
      <c r="G1966" s="149"/>
    </row>
    <row r="1967" spans="7:7">
      <c r="G1967" s="149"/>
    </row>
    <row r="1968" spans="7:7">
      <c r="G1968" s="149"/>
    </row>
    <row r="1969" spans="7:7">
      <c r="G1969" s="149"/>
    </row>
    <row r="1970" spans="7:7">
      <c r="G1970" s="149"/>
    </row>
    <row r="1971" spans="7:7">
      <c r="G1971" s="149"/>
    </row>
    <row r="1972" spans="7:7">
      <c r="G1972" s="149"/>
    </row>
    <row r="1973" spans="7:7">
      <c r="G1973" s="149"/>
    </row>
    <row r="1974" spans="7:7">
      <c r="G1974" s="149"/>
    </row>
    <row r="1975" spans="7:7">
      <c r="G1975" s="149"/>
    </row>
    <row r="1976" spans="7:7">
      <c r="G1976" s="149"/>
    </row>
    <row r="1977" spans="7:7">
      <c r="G1977" s="149"/>
    </row>
    <row r="1978" spans="7:7">
      <c r="G1978" s="149"/>
    </row>
    <row r="1979" spans="7:7">
      <c r="G1979" s="149"/>
    </row>
    <row r="1980" spans="7:7">
      <c r="G1980" s="149"/>
    </row>
    <row r="1981" spans="7:7">
      <c r="G1981" s="149"/>
    </row>
    <row r="1982" spans="7:7">
      <c r="G1982" s="149"/>
    </row>
    <row r="1983" spans="7:7">
      <c r="G1983" s="149"/>
    </row>
    <row r="1984" spans="7:7">
      <c r="G1984" s="149"/>
    </row>
    <row r="1985" spans="7:7">
      <c r="G1985" s="149"/>
    </row>
    <row r="1986" spans="7:7">
      <c r="G1986" s="149"/>
    </row>
    <row r="1987" spans="7:7">
      <c r="G1987" s="149"/>
    </row>
    <row r="1988" spans="7:7">
      <c r="G1988" s="149"/>
    </row>
    <row r="1989" spans="7:7">
      <c r="G1989" s="149"/>
    </row>
    <row r="1990" spans="7:7">
      <c r="G1990" s="149"/>
    </row>
    <row r="1991" spans="7:7">
      <c r="G1991" s="149"/>
    </row>
    <row r="1992" spans="7:7">
      <c r="G1992" s="149"/>
    </row>
    <row r="1993" spans="7:7">
      <c r="G1993" s="149"/>
    </row>
    <row r="1994" spans="7:7">
      <c r="G1994" s="149"/>
    </row>
    <row r="1995" spans="7:7">
      <c r="G1995" s="149"/>
    </row>
    <row r="1996" spans="7:7">
      <c r="G1996" s="149"/>
    </row>
    <row r="1997" spans="7:7">
      <c r="G1997" s="149"/>
    </row>
    <row r="1998" spans="7:7">
      <c r="G1998" s="149"/>
    </row>
    <row r="1999" spans="7:7">
      <c r="G1999" s="149"/>
    </row>
    <row r="2000" spans="7:7">
      <c r="G2000" s="149"/>
    </row>
    <row r="2001" spans="7:7">
      <c r="G2001" s="149"/>
    </row>
    <row r="2002" spans="7:7">
      <c r="G2002" s="149"/>
    </row>
    <row r="2003" spans="7:7">
      <c r="G2003" s="149"/>
    </row>
    <row r="2004" spans="7:7">
      <c r="G2004" s="149"/>
    </row>
    <row r="2005" spans="7:7">
      <c r="G2005" s="149"/>
    </row>
    <row r="2006" spans="7:7">
      <c r="G2006" s="149"/>
    </row>
    <row r="2007" spans="7:7">
      <c r="G2007" s="149"/>
    </row>
    <row r="2008" spans="7:7">
      <c r="G2008" s="149"/>
    </row>
    <row r="2009" spans="7:7">
      <c r="G2009" s="149"/>
    </row>
    <row r="2010" spans="7:7">
      <c r="G2010" s="149"/>
    </row>
    <row r="2011" spans="7:7">
      <c r="G2011" s="149"/>
    </row>
    <row r="2012" spans="7:7">
      <c r="G2012" s="149"/>
    </row>
    <row r="2013" spans="7:7">
      <c r="G2013" s="149"/>
    </row>
    <row r="2014" spans="7:7">
      <c r="G2014" s="149"/>
    </row>
    <row r="2015" spans="7:7">
      <c r="G2015" s="149"/>
    </row>
    <row r="2016" spans="7:7">
      <c r="G2016" s="149"/>
    </row>
    <row r="2017" spans="7:7">
      <c r="G2017" s="149"/>
    </row>
    <row r="2018" spans="7:7">
      <c r="G2018" s="149"/>
    </row>
    <row r="2019" spans="7:7">
      <c r="G2019" s="149"/>
    </row>
    <row r="2020" spans="7:7">
      <c r="G2020" s="149"/>
    </row>
    <row r="2021" spans="7:7">
      <c r="G2021" s="149"/>
    </row>
    <row r="2022" spans="7:7">
      <c r="G2022" s="149"/>
    </row>
    <row r="2023" spans="7:7">
      <c r="G2023" s="149"/>
    </row>
    <row r="2024" spans="7:7">
      <c r="G2024" s="149"/>
    </row>
    <row r="2025" spans="7:7">
      <c r="G2025" s="149"/>
    </row>
    <row r="2026" spans="7:7">
      <c r="G2026" s="149"/>
    </row>
    <row r="2027" spans="7:7">
      <c r="G2027" s="149"/>
    </row>
    <row r="2028" spans="7:7">
      <c r="G2028" s="149"/>
    </row>
    <row r="2029" spans="7:7">
      <c r="G2029" s="149"/>
    </row>
    <row r="2030" spans="7:7">
      <c r="G2030" s="149"/>
    </row>
    <row r="2031" spans="7:7">
      <c r="G2031" s="149"/>
    </row>
    <row r="2032" spans="7:7">
      <c r="G2032" s="149"/>
    </row>
    <row r="2033" spans="7:7">
      <c r="G2033" s="149"/>
    </row>
    <row r="2034" spans="7:7">
      <c r="G2034" s="149"/>
    </row>
    <row r="2035" spans="7:7">
      <c r="G2035" s="149"/>
    </row>
    <row r="2036" spans="7:7">
      <c r="G2036" s="149"/>
    </row>
    <row r="2037" spans="7:7">
      <c r="G2037" s="149"/>
    </row>
    <row r="2038" spans="7:7">
      <c r="G2038" s="149"/>
    </row>
    <row r="2039" spans="7:7">
      <c r="G2039" s="149"/>
    </row>
    <row r="2040" spans="7:7">
      <c r="G2040" s="149"/>
    </row>
    <row r="2041" spans="7:7">
      <c r="G2041" s="149"/>
    </row>
    <row r="2042" spans="7:7">
      <c r="G2042" s="149"/>
    </row>
    <row r="2043" spans="7:7">
      <c r="G2043" s="149"/>
    </row>
    <row r="2044" spans="7:7">
      <c r="G2044" s="149"/>
    </row>
    <row r="2045" spans="7:7">
      <c r="G2045" s="149"/>
    </row>
    <row r="2046" spans="7:7">
      <c r="G2046" s="149"/>
    </row>
    <row r="2047" spans="7:7">
      <c r="G2047" s="149"/>
    </row>
    <row r="2048" spans="7:7">
      <c r="G2048" s="149"/>
    </row>
    <row r="2049" spans="7:7">
      <c r="G2049" s="149"/>
    </row>
    <row r="2050" spans="7:7">
      <c r="G2050" s="149"/>
    </row>
    <row r="2051" spans="7:7">
      <c r="G2051" s="149"/>
    </row>
    <row r="2052" spans="7:7">
      <c r="G2052" s="149"/>
    </row>
    <row r="2053" spans="7:7">
      <c r="G2053" s="149"/>
    </row>
    <row r="2054" spans="7:7">
      <c r="G2054" s="149"/>
    </row>
    <row r="2055" spans="7:7">
      <c r="G2055" s="149"/>
    </row>
    <row r="2056" spans="7:7">
      <c r="G2056" s="149"/>
    </row>
    <row r="2057" spans="7:7">
      <c r="G2057" s="149"/>
    </row>
    <row r="2058" spans="7:7">
      <c r="G2058" s="149"/>
    </row>
    <row r="2059" spans="7:7">
      <c r="G2059" s="149"/>
    </row>
    <row r="2060" spans="7:7">
      <c r="G2060" s="149"/>
    </row>
    <row r="2061" spans="7:7">
      <c r="G2061" s="149"/>
    </row>
    <row r="2062" spans="7:7">
      <c r="G2062" s="149"/>
    </row>
    <row r="2063" spans="7:7">
      <c r="G2063" s="149"/>
    </row>
    <row r="2064" spans="7:7">
      <c r="G2064" s="149"/>
    </row>
    <row r="2065" spans="7:7">
      <c r="G2065" s="149"/>
    </row>
    <row r="2066" spans="7:7">
      <c r="G2066" s="149"/>
    </row>
    <row r="2067" spans="7:7">
      <c r="G2067" s="149"/>
    </row>
    <row r="2068" spans="7:7">
      <c r="G2068" s="149"/>
    </row>
    <row r="2069" spans="7:7">
      <c r="G2069" s="149"/>
    </row>
    <row r="2070" spans="7:7">
      <c r="G2070" s="149"/>
    </row>
    <row r="2071" spans="7:7">
      <c r="G2071" s="149"/>
    </row>
    <row r="2072" spans="7:7">
      <c r="G2072" s="149"/>
    </row>
    <row r="2073" spans="7:7">
      <c r="G2073" s="149"/>
    </row>
    <row r="2074" spans="7:7">
      <c r="G2074" s="149"/>
    </row>
    <row r="2075" spans="7:7">
      <c r="G2075" s="149"/>
    </row>
    <row r="2076" spans="7:7">
      <c r="G2076" s="149"/>
    </row>
    <row r="2077" spans="7:7">
      <c r="G2077" s="149"/>
    </row>
    <row r="2078" spans="7:7">
      <c r="G2078" s="149"/>
    </row>
    <row r="2079" spans="7:7">
      <c r="G2079" s="149"/>
    </row>
    <row r="2080" spans="7:7">
      <c r="G2080" s="149"/>
    </row>
    <row r="2081" spans="7:7">
      <c r="G2081" s="149"/>
    </row>
    <row r="2082" spans="7:7">
      <c r="G2082" s="149"/>
    </row>
    <row r="2083" spans="7:7">
      <c r="G2083" s="149"/>
    </row>
    <row r="2084" spans="7:7">
      <c r="G2084" s="149"/>
    </row>
    <row r="2085" spans="7:7">
      <c r="G2085" s="149"/>
    </row>
    <row r="2086" spans="7:7">
      <c r="G2086" s="149"/>
    </row>
    <row r="2087" spans="7:7">
      <c r="G2087" s="149"/>
    </row>
    <row r="2088" spans="7:7">
      <c r="G2088" s="149"/>
    </row>
    <row r="2089" spans="7:7">
      <c r="G2089" s="149"/>
    </row>
    <row r="2090" spans="7:7">
      <c r="G2090" s="149"/>
    </row>
    <row r="2091" spans="7:7">
      <c r="G2091" s="149"/>
    </row>
    <row r="2092" spans="7:7">
      <c r="G2092" s="149"/>
    </row>
    <row r="2093" spans="7:7">
      <c r="G2093" s="149"/>
    </row>
    <row r="2094" spans="7:7">
      <c r="G2094" s="149"/>
    </row>
    <row r="2095" spans="7:7">
      <c r="G2095" s="149"/>
    </row>
    <row r="2096" spans="7:7">
      <c r="G2096" s="149"/>
    </row>
    <row r="2097" spans="7:7">
      <c r="G2097" s="149"/>
    </row>
    <row r="2098" spans="7:7">
      <c r="G2098" s="149"/>
    </row>
    <row r="2099" spans="7:7">
      <c r="G2099" s="149"/>
    </row>
    <row r="2100" spans="7:7">
      <c r="G2100" s="149"/>
    </row>
    <row r="2101" spans="7:7">
      <c r="G2101" s="149"/>
    </row>
    <row r="2102" spans="7:7">
      <c r="G2102" s="149"/>
    </row>
    <row r="2103" spans="7:7">
      <c r="G2103" s="149"/>
    </row>
    <row r="2104" spans="7:7">
      <c r="G2104" s="149"/>
    </row>
    <row r="2105" spans="7:7">
      <c r="G2105" s="149"/>
    </row>
    <row r="2106" spans="7:7">
      <c r="G2106" s="149"/>
    </row>
    <row r="2107" spans="7:7">
      <c r="G2107" s="149"/>
    </row>
    <row r="2108" spans="7:7">
      <c r="G2108" s="149"/>
    </row>
    <row r="2109" spans="7:7">
      <c r="G2109" s="149"/>
    </row>
    <row r="2110" spans="7:7">
      <c r="G2110" s="149"/>
    </row>
    <row r="2111" spans="7:7">
      <c r="G2111" s="149"/>
    </row>
    <row r="2112" spans="7:7">
      <c r="G2112" s="149"/>
    </row>
    <row r="2113" spans="7:7">
      <c r="G2113" s="149"/>
    </row>
    <row r="2114" spans="7:7">
      <c r="G2114" s="149"/>
    </row>
    <row r="2115" spans="7:7">
      <c r="G2115" s="149"/>
    </row>
    <row r="2116" spans="7:7">
      <c r="G2116" s="149"/>
    </row>
    <row r="2117" spans="7:7">
      <c r="G2117" s="149"/>
    </row>
    <row r="2118" spans="7:7">
      <c r="G2118" s="149"/>
    </row>
    <row r="2119" spans="7:7">
      <c r="G2119" s="149"/>
    </row>
    <row r="2120" spans="7:7">
      <c r="G2120" s="149"/>
    </row>
    <row r="2121" spans="7:7">
      <c r="G2121" s="149"/>
    </row>
    <row r="2122" spans="7:7">
      <c r="G2122" s="149"/>
    </row>
    <row r="2123" spans="7:7">
      <c r="G2123" s="149"/>
    </row>
    <row r="2124" spans="7:7">
      <c r="G2124" s="149"/>
    </row>
    <row r="2125" spans="7:7">
      <c r="G2125" s="149"/>
    </row>
    <row r="2126" spans="7:7">
      <c r="G2126" s="149"/>
    </row>
    <row r="2127" spans="7:7">
      <c r="G2127" s="149"/>
    </row>
    <row r="2128" spans="7:7">
      <c r="G2128" s="149"/>
    </row>
    <row r="2129" spans="7:7">
      <c r="G2129" s="149"/>
    </row>
    <row r="2130" spans="7:7">
      <c r="G2130" s="149"/>
    </row>
    <row r="2131" spans="7:7">
      <c r="G2131" s="149"/>
    </row>
    <row r="2132" spans="7:7">
      <c r="G2132" s="149"/>
    </row>
    <row r="2133" spans="7:7">
      <c r="G2133" s="149"/>
    </row>
    <row r="2134" spans="7:7">
      <c r="G2134" s="149"/>
    </row>
    <row r="2135" spans="7:7">
      <c r="G2135" s="149"/>
    </row>
    <row r="2136" spans="7:7">
      <c r="G2136" s="149"/>
    </row>
    <row r="2137" spans="7:7">
      <c r="G2137" s="149"/>
    </row>
    <row r="2138" spans="7:7">
      <c r="G2138" s="149"/>
    </row>
    <row r="2139" spans="7:7">
      <c r="G2139" s="149"/>
    </row>
    <row r="2140" spans="7:7">
      <c r="G2140" s="149"/>
    </row>
    <row r="2141" spans="7:7">
      <c r="G2141" s="149"/>
    </row>
    <row r="2142" spans="7:7">
      <c r="G2142" s="149"/>
    </row>
    <row r="2143" spans="7:7">
      <c r="G2143" s="149"/>
    </row>
    <row r="2144" spans="7:7">
      <c r="G2144" s="149"/>
    </row>
    <row r="2145" spans="7:7">
      <c r="G2145" s="149"/>
    </row>
    <row r="2146" spans="7:7">
      <c r="G2146" s="149"/>
    </row>
    <row r="2147" spans="7:7">
      <c r="G2147" s="149"/>
    </row>
    <row r="2148" spans="7:7">
      <c r="G2148" s="149"/>
    </row>
    <row r="2149" spans="7:7">
      <c r="G2149" s="149"/>
    </row>
    <row r="2150" spans="7:7">
      <c r="G2150" s="149"/>
    </row>
    <row r="2151" spans="7:7">
      <c r="G2151" s="149"/>
    </row>
    <row r="2152" spans="7:7">
      <c r="G2152" s="149"/>
    </row>
    <row r="2153" spans="7:7">
      <c r="G2153" s="149"/>
    </row>
    <row r="2154" spans="7:7">
      <c r="G2154" s="149"/>
    </row>
    <row r="2155" spans="7:7">
      <c r="G2155" s="149"/>
    </row>
    <row r="2156" spans="7:7">
      <c r="G2156" s="149"/>
    </row>
    <row r="2157" spans="7:7">
      <c r="G2157" s="149"/>
    </row>
    <row r="2158" spans="7:7">
      <c r="G2158" s="149"/>
    </row>
    <row r="2159" spans="7:7">
      <c r="G2159" s="149"/>
    </row>
    <row r="2160" spans="7:7">
      <c r="G2160" s="149"/>
    </row>
    <row r="2161" spans="7:7">
      <c r="G2161" s="149"/>
    </row>
    <row r="2162" spans="7:7">
      <c r="G2162" s="149"/>
    </row>
    <row r="2163" spans="7:7">
      <c r="G2163" s="149"/>
    </row>
    <row r="2164" spans="7:7">
      <c r="G2164" s="149"/>
    </row>
    <row r="2165" spans="7:7">
      <c r="G2165" s="149"/>
    </row>
    <row r="2166" spans="7:7">
      <c r="G2166" s="149"/>
    </row>
    <row r="2167" spans="7:7">
      <c r="G2167" s="149"/>
    </row>
    <row r="2168" spans="7:7">
      <c r="G2168" s="149"/>
    </row>
    <row r="2169" spans="7:7">
      <c r="G2169" s="149"/>
    </row>
    <row r="2170" spans="7:7">
      <c r="G2170" s="149"/>
    </row>
    <row r="2171" spans="7:7">
      <c r="G2171" s="149"/>
    </row>
    <row r="2172" spans="7:7">
      <c r="G2172" s="149"/>
    </row>
    <row r="2173" spans="7:7">
      <c r="G2173" s="149"/>
    </row>
    <row r="2174" spans="7:7">
      <c r="G2174" s="149"/>
    </row>
    <row r="2175" spans="7:7">
      <c r="G2175" s="149"/>
    </row>
    <row r="2176" spans="7:7">
      <c r="G2176" s="149"/>
    </row>
    <row r="2177" spans="7:7">
      <c r="G2177" s="149"/>
    </row>
    <row r="2178" spans="7:7">
      <c r="G2178" s="149"/>
    </row>
    <row r="2179" spans="7:7">
      <c r="G2179" s="149"/>
    </row>
    <row r="2180" spans="7:7">
      <c r="G2180" s="149"/>
    </row>
    <row r="2181" spans="7:7">
      <c r="G2181" s="149"/>
    </row>
    <row r="2182" spans="7:7">
      <c r="G2182" s="149"/>
    </row>
    <row r="2183" spans="7:7">
      <c r="G2183" s="149"/>
    </row>
    <row r="2184" spans="7:7">
      <c r="G2184" s="149"/>
    </row>
    <row r="2185" spans="7:7">
      <c r="G2185" s="149"/>
    </row>
    <row r="2186" spans="7:7">
      <c r="G2186" s="149"/>
    </row>
    <row r="2187" spans="7:7">
      <c r="G2187" s="149"/>
    </row>
    <row r="2188" spans="7:7">
      <c r="G2188" s="149"/>
    </row>
    <row r="2189" spans="7:7">
      <c r="G2189" s="149"/>
    </row>
    <row r="2190" spans="7:7">
      <c r="G2190" s="149"/>
    </row>
    <row r="2191" spans="7:7">
      <c r="G2191" s="149"/>
    </row>
    <row r="2192" spans="7:7">
      <c r="G2192" s="149"/>
    </row>
    <row r="2193" spans="7:7">
      <c r="G2193" s="149"/>
    </row>
    <row r="2194" spans="7:7">
      <c r="G2194" s="149"/>
    </row>
    <row r="2195" spans="7:7">
      <c r="G2195" s="149"/>
    </row>
    <row r="2196" spans="7:7">
      <c r="G2196" s="149"/>
    </row>
    <row r="2197" spans="7:7">
      <c r="G2197" s="149"/>
    </row>
    <row r="2198" spans="7:7">
      <c r="G2198" s="149"/>
    </row>
    <row r="2199" spans="7:7">
      <c r="G2199" s="149"/>
    </row>
    <row r="2200" spans="7:7">
      <c r="G2200" s="149"/>
    </row>
    <row r="2201" spans="7:7">
      <c r="G2201" s="149"/>
    </row>
    <row r="2202" spans="7:7">
      <c r="G2202" s="149"/>
    </row>
    <row r="2203" spans="7:7">
      <c r="G2203" s="149"/>
    </row>
    <row r="2204" spans="7:7">
      <c r="G2204" s="149"/>
    </row>
    <row r="2205" spans="7:7">
      <c r="G2205" s="149"/>
    </row>
    <row r="2206" spans="7:7">
      <c r="G2206" s="149"/>
    </row>
    <row r="2207" spans="7:7">
      <c r="G2207" s="149"/>
    </row>
    <row r="2208" spans="7:7">
      <c r="G2208" s="149"/>
    </row>
    <row r="2209" spans="7:7">
      <c r="G2209" s="149"/>
    </row>
    <row r="2210" spans="7:7">
      <c r="G2210" s="149"/>
    </row>
    <row r="2211" spans="7:7">
      <c r="G2211" s="149"/>
    </row>
    <row r="2212" spans="7:7">
      <c r="G2212" s="149"/>
    </row>
    <row r="2213" spans="7:7">
      <c r="G2213" s="149"/>
    </row>
    <row r="2214" spans="7:7">
      <c r="G2214" s="149"/>
    </row>
    <row r="2215" spans="7:7">
      <c r="G2215" s="149"/>
    </row>
    <row r="2216" spans="7:7">
      <c r="G2216" s="149"/>
    </row>
    <row r="2217" spans="7:7">
      <c r="G2217" s="149"/>
    </row>
    <row r="2218" spans="7:7">
      <c r="G2218" s="149"/>
    </row>
    <row r="2219" spans="7:7">
      <c r="G2219" s="149"/>
    </row>
    <row r="2220" spans="7:7">
      <c r="G2220" s="149"/>
    </row>
    <row r="2221" spans="7:7">
      <c r="G2221" s="149"/>
    </row>
    <row r="2222" spans="7:7">
      <c r="G2222" s="149"/>
    </row>
    <row r="2223" spans="7:7">
      <c r="G2223" s="149"/>
    </row>
    <row r="2224" spans="7:7">
      <c r="G2224" s="149"/>
    </row>
    <row r="2225" spans="7:7">
      <c r="G2225" s="149"/>
    </row>
    <row r="2226" spans="7:7">
      <c r="G2226" s="149"/>
    </row>
    <row r="2227" spans="7:7">
      <c r="G2227" s="149"/>
    </row>
    <row r="2228" spans="7:7">
      <c r="G2228" s="149"/>
    </row>
    <row r="2229" spans="7:7">
      <c r="G2229" s="149"/>
    </row>
    <row r="2230" spans="7:7">
      <c r="G2230" s="149"/>
    </row>
    <row r="2231" spans="7:7">
      <c r="G2231" s="149"/>
    </row>
    <row r="2232" spans="7:7">
      <c r="G2232" s="149"/>
    </row>
    <row r="2233" spans="7:7">
      <c r="G2233" s="149"/>
    </row>
    <row r="2234" spans="7:7">
      <c r="G2234" s="149"/>
    </row>
    <row r="2235" spans="7:7">
      <c r="G2235" s="149"/>
    </row>
    <row r="2236" spans="7:7">
      <c r="G2236" s="149"/>
    </row>
    <row r="2237" spans="7:7">
      <c r="G2237" s="149"/>
    </row>
    <row r="2238" spans="7:7">
      <c r="G2238" s="149"/>
    </row>
    <row r="2239" spans="7:7">
      <c r="G2239" s="149"/>
    </row>
    <row r="2240" spans="7:7">
      <c r="G2240" s="149"/>
    </row>
    <row r="2241" spans="7:7">
      <c r="G2241" s="149"/>
    </row>
    <row r="2242" spans="7:7">
      <c r="G2242" s="149"/>
    </row>
    <row r="2243" spans="7:7">
      <c r="G2243" s="149"/>
    </row>
    <row r="2244" spans="7:7">
      <c r="G2244" s="149"/>
    </row>
    <row r="2245" spans="7:7">
      <c r="G2245" s="149"/>
    </row>
    <row r="2246" spans="7:7">
      <c r="G2246" s="149"/>
    </row>
    <row r="2247" spans="7:7">
      <c r="G2247" s="149"/>
    </row>
    <row r="2248" spans="7:7">
      <c r="G2248" s="149"/>
    </row>
    <row r="2249" spans="7:7">
      <c r="G2249" s="149"/>
    </row>
    <row r="2250" spans="7:7">
      <c r="G2250" s="149"/>
    </row>
    <row r="2251" spans="7:7">
      <c r="G2251" s="149"/>
    </row>
    <row r="2252" spans="7:7">
      <c r="G2252" s="149"/>
    </row>
    <row r="2253" spans="7:7">
      <c r="G2253" s="149"/>
    </row>
    <row r="2254" spans="7:7">
      <c r="G2254" s="149"/>
    </row>
    <row r="2255" spans="7:7">
      <c r="G2255" s="149"/>
    </row>
    <row r="2256" spans="7:7">
      <c r="G2256" s="149"/>
    </row>
    <row r="2257" spans="7:7">
      <c r="G2257" s="149"/>
    </row>
    <row r="2258" spans="7:7">
      <c r="G2258" s="149"/>
    </row>
    <row r="2259" spans="7:7">
      <c r="G2259" s="149"/>
    </row>
    <row r="2260" spans="7:7">
      <c r="G2260" s="149"/>
    </row>
    <row r="2261" spans="7:7">
      <c r="G2261" s="149"/>
    </row>
    <row r="2262" spans="7:7">
      <c r="G2262" s="149"/>
    </row>
    <row r="2263" spans="7:7">
      <c r="G2263" s="149"/>
    </row>
    <row r="2264" spans="7:7">
      <c r="G2264" s="149"/>
    </row>
    <row r="2265" spans="7:7">
      <c r="G2265" s="149"/>
    </row>
    <row r="2266" spans="7:7">
      <c r="G2266" s="149"/>
    </row>
    <row r="2267" spans="7:7">
      <c r="G2267" s="149"/>
    </row>
    <row r="2268" spans="7:7">
      <c r="G2268" s="149"/>
    </row>
    <row r="2269" spans="7:7">
      <c r="G2269" s="149"/>
    </row>
    <row r="2270" spans="7:7">
      <c r="G2270" s="149"/>
    </row>
    <row r="2271" spans="7:7">
      <c r="G2271" s="149"/>
    </row>
    <row r="2272" spans="7:7">
      <c r="G2272" s="149"/>
    </row>
    <row r="2273" spans="7:7">
      <c r="G2273" s="149"/>
    </row>
    <row r="2274" spans="7:7">
      <c r="G2274" s="149"/>
    </row>
    <row r="2275" spans="7:7">
      <c r="G2275" s="149"/>
    </row>
    <row r="2276" spans="7:7">
      <c r="G2276" s="149"/>
    </row>
    <row r="2277" spans="7:7">
      <c r="G2277" s="149"/>
    </row>
    <row r="2278" spans="7:7">
      <c r="G2278" s="149"/>
    </row>
    <row r="2279" spans="7:7">
      <c r="G2279" s="149"/>
    </row>
    <row r="2280" spans="7:7">
      <c r="G2280" s="149"/>
    </row>
    <row r="2281" spans="7:7">
      <c r="G2281" s="149"/>
    </row>
    <row r="2282" spans="7:7">
      <c r="G2282" s="149"/>
    </row>
    <row r="2283" spans="7:7">
      <c r="G2283" s="149"/>
    </row>
    <row r="2284" spans="7:7">
      <c r="G2284" s="149"/>
    </row>
    <row r="2285" spans="7:7">
      <c r="G2285" s="149"/>
    </row>
    <row r="2286" spans="7:7">
      <c r="G2286" s="149"/>
    </row>
    <row r="2287" spans="7:7">
      <c r="G2287" s="149"/>
    </row>
    <row r="2288" spans="7:7">
      <c r="G2288" s="149"/>
    </row>
    <row r="2289" spans="7:7">
      <c r="G2289" s="149"/>
    </row>
    <row r="2290" spans="7:7">
      <c r="G2290" s="149"/>
    </row>
    <row r="2291" spans="7:7">
      <c r="G2291" s="149"/>
    </row>
    <row r="2292" spans="7:7">
      <c r="G2292" s="149"/>
    </row>
    <row r="2293" spans="7:7">
      <c r="G2293" s="149"/>
    </row>
    <row r="2294" spans="7:7">
      <c r="G2294" s="149"/>
    </row>
    <row r="2295" spans="7:7">
      <c r="G2295" s="149"/>
    </row>
    <row r="2296" spans="7:7">
      <c r="G2296" s="149"/>
    </row>
    <row r="2297" spans="7:7">
      <c r="G2297" s="149"/>
    </row>
    <row r="2298" spans="7:7">
      <c r="G2298" s="149"/>
    </row>
    <row r="2299" spans="7:7">
      <c r="G2299" s="149"/>
    </row>
    <row r="2300" spans="7:7">
      <c r="G2300" s="149"/>
    </row>
    <row r="2301" spans="7:7">
      <c r="G2301" s="149"/>
    </row>
    <row r="2302" spans="7:7">
      <c r="G2302" s="149"/>
    </row>
    <row r="2303" spans="7:7">
      <c r="G2303" s="149"/>
    </row>
    <row r="2304" spans="7:7">
      <c r="G2304" s="149"/>
    </row>
    <row r="2305" spans="7:7">
      <c r="G2305" s="149"/>
    </row>
    <row r="2306" spans="7:7">
      <c r="G2306" s="149"/>
    </row>
    <row r="2307" spans="7:7">
      <c r="G2307" s="149"/>
    </row>
    <row r="2308" spans="7:7">
      <c r="G2308" s="149"/>
    </row>
    <row r="2309" spans="7:7">
      <c r="G2309" s="149"/>
    </row>
    <row r="2310" spans="7:7">
      <c r="G2310" s="149"/>
    </row>
    <row r="2311" spans="7:7">
      <c r="G2311" s="149"/>
    </row>
    <row r="2312" spans="7:7">
      <c r="G2312" s="149"/>
    </row>
    <row r="2313" spans="7:7">
      <c r="G2313" s="149"/>
    </row>
    <row r="2314" spans="7:7">
      <c r="G2314" s="149"/>
    </row>
    <row r="2315" spans="7:7">
      <c r="G2315" s="149"/>
    </row>
    <row r="2316" spans="7:7">
      <c r="G2316" s="149"/>
    </row>
    <row r="2317" spans="7:7">
      <c r="G2317" s="149"/>
    </row>
    <row r="2318" spans="7:7">
      <c r="G2318" s="149"/>
    </row>
    <row r="2319" spans="7:7">
      <c r="G2319" s="149"/>
    </row>
    <row r="2320" spans="7:7">
      <c r="G2320" s="149"/>
    </row>
    <row r="2321" spans="7:7">
      <c r="G2321" s="149"/>
    </row>
    <row r="2322" spans="7:7">
      <c r="G2322" s="149"/>
    </row>
    <row r="2323" spans="7:7">
      <c r="G2323" s="149"/>
    </row>
    <row r="2324" spans="7:7">
      <c r="G2324" s="149"/>
    </row>
    <row r="2325" spans="7:7">
      <c r="G2325" s="149"/>
    </row>
    <row r="2326" spans="7:7">
      <c r="G2326" s="149"/>
    </row>
    <row r="2327" spans="7:7">
      <c r="G2327" s="149"/>
    </row>
    <row r="2328" spans="7:7">
      <c r="G2328" s="149"/>
    </row>
    <row r="2329" spans="7:7">
      <c r="G2329" s="149"/>
    </row>
    <row r="2330" spans="7:7">
      <c r="G2330" s="149"/>
    </row>
    <row r="2331" spans="7:7">
      <c r="G2331" s="149"/>
    </row>
    <row r="2332" spans="7:7">
      <c r="G2332" s="149"/>
    </row>
    <row r="2333" spans="7:7">
      <c r="G2333" s="149"/>
    </row>
    <row r="2334" spans="7:7">
      <c r="G2334" s="149"/>
    </row>
    <row r="2335" spans="7:7">
      <c r="G2335" s="149"/>
    </row>
    <row r="2336" spans="7:7">
      <c r="G2336" s="149"/>
    </row>
    <row r="2337" spans="7:7">
      <c r="G2337" s="149"/>
    </row>
    <row r="2338" spans="7:7">
      <c r="G2338" s="149"/>
    </row>
    <row r="2339" spans="7:7">
      <c r="G2339" s="149"/>
    </row>
    <row r="2340" spans="7:7">
      <c r="G2340" s="149"/>
    </row>
    <row r="2341" spans="7:7">
      <c r="G2341" s="149"/>
    </row>
    <row r="2342" spans="7:7">
      <c r="G2342" s="149"/>
    </row>
    <row r="2343" spans="7:7">
      <c r="G2343" s="149"/>
    </row>
    <row r="2344" spans="7:7">
      <c r="G2344" s="149"/>
    </row>
    <row r="2345" spans="7:7">
      <c r="G2345" s="149"/>
    </row>
    <row r="2346" spans="7:7">
      <c r="G2346" s="149"/>
    </row>
    <row r="2347" spans="7:7">
      <c r="G2347" s="149"/>
    </row>
    <row r="2348" spans="7:7">
      <c r="G2348" s="149"/>
    </row>
    <row r="2349" spans="7:7">
      <c r="G2349" s="149"/>
    </row>
    <row r="2350" spans="7:7">
      <c r="G2350" s="149"/>
    </row>
    <row r="2351" spans="7:7">
      <c r="G2351" s="149"/>
    </row>
    <row r="2352" spans="7:7">
      <c r="G2352" s="149"/>
    </row>
    <row r="2353" spans="7:7">
      <c r="G2353" s="149"/>
    </row>
    <row r="2354" spans="7:7">
      <c r="G2354" s="149"/>
    </row>
    <row r="2355" spans="7:7">
      <c r="G2355" s="149"/>
    </row>
    <row r="2356" spans="7:7">
      <c r="G2356" s="149"/>
    </row>
    <row r="2357" spans="7:7">
      <c r="G2357" s="149"/>
    </row>
    <row r="2358" spans="7:7">
      <c r="G2358" s="149"/>
    </row>
    <row r="2359" spans="7:7">
      <c r="G2359" s="149"/>
    </row>
    <row r="2360" spans="7:7">
      <c r="G2360" s="149"/>
    </row>
    <row r="2361" spans="7:7">
      <c r="G2361" s="149"/>
    </row>
    <row r="2362" spans="7:7">
      <c r="G2362" s="149"/>
    </row>
    <row r="2363" spans="7:7">
      <c r="G2363" s="149"/>
    </row>
    <row r="2364" spans="7:7">
      <c r="G2364" s="149"/>
    </row>
    <row r="2365" spans="7:7">
      <c r="G2365" s="149"/>
    </row>
    <row r="2366" spans="7:7">
      <c r="G2366" s="149"/>
    </row>
    <row r="2367" spans="7:7">
      <c r="G2367" s="149"/>
    </row>
    <row r="2368" spans="7:7">
      <c r="G2368" s="149"/>
    </row>
    <row r="2369" spans="7:7">
      <c r="G2369" s="149"/>
    </row>
    <row r="2370" spans="7:7">
      <c r="G2370" s="149"/>
    </row>
    <row r="2371" spans="7:7">
      <c r="G2371" s="149"/>
    </row>
    <row r="2372" spans="7:7">
      <c r="G2372" s="149"/>
    </row>
    <row r="2373" spans="7:7">
      <c r="G2373" s="149"/>
    </row>
    <row r="2374" spans="7:7">
      <c r="G2374" s="149"/>
    </row>
    <row r="2375" spans="7:7">
      <c r="G2375" s="149"/>
    </row>
    <row r="2376" spans="7:7">
      <c r="G2376" s="149"/>
    </row>
    <row r="2377" spans="7:7">
      <c r="G2377" s="149"/>
    </row>
    <row r="2378" spans="7:7">
      <c r="G2378" s="149"/>
    </row>
    <row r="2379" spans="7:7">
      <c r="G2379" s="149"/>
    </row>
    <row r="2380" spans="7:7">
      <c r="G2380" s="149"/>
    </row>
    <row r="2381" spans="7:7">
      <c r="G2381" s="149"/>
    </row>
    <row r="2382" spans="7:7">
      <c r="G2382" s="149"/>
    </row>
    <row r="2383" spans="7:7">
      <c r="G2383" s="149"/>
    </row>
    <row r="2384" spans="7:7">
      <c r="G2384" s="149"/>
    </row>
    <row r="2385" spans="7:7">
      <c r="G2385" s="149"/>
    </row>
    <row r="2386" spans="7:7">
      <c r="G2386" s="149"/>
    </row>
    <row r="2387" spans="7:7">
      <c r="G2387" s="149"/>
    </row>
    <row r="2388" spans="7:7">
      <c r="G2388" s="149"/>
    </row>
    <row r="2389" spans="7:7">
      <c r="G2389" s="149"/>
    </row>
    <row r="2390" spans="7:7">
      <c r="G2390" s="149"/>
    </row>
    <row r="2391" spans="7:7">
      <c r="G2391" s="149"/>
    </row>
    <row r="2392" spans="7:7">
      <c r="G2392" s="149"/>
    </row>
    <row r="2393" spans="7:7">
      <c r="G2393" s="149"/>
    </row>
    <row r="2394" spans="7:7">
      <c r="G2394" s="149"/>
    </row>
    <row r="2395" spans="7:7">
      <c r="G2395" s="149"/>
    </row>
    <row r="2396" spans="7:7">
      <c r="G2396" s="149"/>
    </row>
    <row r="2397" spans="7:7">
      <c r="G2397" s="149"/>
    </row>
    <row r="2398" spans="7:7">
      <c r="G2398" s="149"/>
    </row>
    <row r="2399" spans="7:7">
      <c r="G2399" s="149"/>
    </row>
    <row r="2400" spans="7:7">
      <c r="G2400" s="149"/>
    </row>
    <row r="2401" spans="7:7">
      <c r="G2401" s="149"/>
    </row>
    <row r="2402" spans="7:7">
      <c r="G2402" s="149"/>
    </row>
    <row r="2403" spans="7:7">
      <c r="G2403" s="149"/>
    </row>
    <row r="2404" spans="7:7">
      <c r="G2404" s="149"/>
    </row>
    <row r="2405" spans="7:7">
      <c r="G2405" s="149"/>
    </row>
    <row r="2406" spans="7:7">
      <c r="G2406" s="149"/>
    </row>
    <row r="2407" spans="7:7">
      <c r="G2407" s="149"/>
    </row>
    <row r="2408" spans="7:7">
      <c r="G2408" s="149"/>
    </row>
    <row r="2409" spans="7:7">
      <c r="G2409" s="149"/>
    </row>
    <row r="2410" spans="7:7">
      <c r="G2410" s="149"/>
    </row>
    <row r="2411" spans="7:7">
      <c r="G2411" s="149"/>
    </row>
    <row r="2412" spans="7:7">
      <c r="G2412" s="149"/>
    </row>
    <row r="2413" spans="7:7">
      <c r="G2413" s="149"/>
    </row>
    <row r="2414" spans="7:7">
      <c r="G2414" s="149"/>
    </row>
    <row r="2415" spans="7:7">
      <c r="G2415" s="149"/>
    </row>
    <row r="2416" spans="7:7">
      <c r="G2416" s="149"/>
    </row>
    <row r="2417" spans="7:7">
      <c r="G2417" s="149"/>
    </row>
    <row r="2418" spans="7:7">
      <c r="G2418" s="149"/>
    </row>
    <row r="2419" spans="7:7">
      <c r="G2419" s="149"/>
    </row>
    <row r="2420" spans="7:7">
      <c r="G2420" s="149"/>
    </row>
    <row r="2421" spans="7:7">
      <c r="G2421" s="149"/>
    </row>
    <row r="2422" spans="7:7">
      <c r="G2422" s="149"/>
    </row>
    <row r="2423" spans="7:7">
      <c r="G2423" s="149"/>
    </row>
    <row r="2424" spans="7:7">
      <c r="G2424" s="149"/>
    </row>
    <row r="2425" spans="7:7">
      <c r="G2425" s="149"/>
    </row>
    <row r="2426" spans="7:7">
      <c r="G2426" s="149"/>
    </row>
    <row r="2427" spans="7:7">
      <c r="G2427" s="149"/>
    </row>
    <row r="2428" spans="7:7">
      <c r="G2428" s="149"/>
    </row>
    <row r="2429" spans="7:7">
      <c r="G2429" s="149"/>
    </row>
    <row r="2430" spans="7:7">
      <c r="G2430" s="149"/>
    </row>
    <row r="2431" spans="7:7">
      <c r="G2431" s="149"/>
    </row>
    <row r="2432" spans="7:7">
      <c r="G2432" s="149"/>
    </row>
    <row r="2433" spans="7:7">
      <c r="G2433" s="149"/>
    </row>
    <row r="2434" spans="7:7">
      <c r="G2434" s="149"/>
    </row>
    <row r="2435" spans="7:7">
      <c r="G2435" s="149"/>
    </row>
    <row r="2436" spans="7:7">
      <c r="G2436" s="149"/>
    </row>
    <row r="2437" spans="7:7">
      <c r="G2437" s="149"/>
    </row>
    <row r="2438" spans="7:7">
      <c r="G2438" s="149"/>
    </row>
    <row r="2439" spans="7:7">
      <c r="G2439" s="149"/>
    </row>
    <row r="2440" spans="7:7">
      <c r="G2440" s="149"/>
    </row>
    <row r="2441" spans="7:7">
      <c r="G2441" s="149"/>
    </row>
    <row r="2442" spans="7:7">
      <c r="G2442" s="149"/>
    </row>
    <row r="2443" spans="7:7">
      <c r="G2443" s="149"/>
    </row>
    <row r="2444" spans="7:7">
      <c r="G2444" s="149"/>
    </row>
    <row r="2445" spans="7:7">
      <c r="G2445" s="149"/>
    </row>
    <row r="2446" spans="7:7">
      <c r="G2446" s="149"/>
    </row>
    <row r="2447" spans="7:7">
      <c r="G2447" s="149"/>
    </row>
    <row r="2448" spans="7:7">
      <c r="G2448" s="149"/>
    </row>
    <row r="2449" spans="7:7">
      <c r="G2449" s="149"/>
    </row>
    <row r="2450" spans="7:7">
      <c r="G2450" s="149"/>
    </row>
    <row r="2451" spans="7:7">
      <c r="G2451" s="149"/>
    </row>
    <row r="2452" spans="7:7">
      <c r="G2452" s="149"/>
    </row>
    <row r="2453" spans="7:7">
      <c r="G2453" s="149"/>
    </row>
    <row r="2454" spans="7:7">
      <c r="G2454" s="149"/>
    </row>
    <row r="2455" spans="7:7">
      <c r="G2455" s="149"/>
    </row>
    <row r="2456" spans="7:7">
      <c r="G2456" s="149"/>
    </row>
    <row r="2457" spans="7:7">
      <c r="G2457" s="149"/>
    </row>
    <row r="2458" spans="7:7">
      <c r="G2458" s="149"/>
    </row>
    <row r="2459" spans="7:7">
      <c r="G2459" s="149"/>
    </row>
    <row r="2460" spans="7:7">
      <c r="G2460" s="149"/>
    </row>
    <row r="2461" spans="7:7">
      <c r="G2461" s="149"/>
    </row>
    <row r="2462" spans="7:7">
      <c r="G2462" s="149"/>
    </row>
    <row r="2463" spans="7:7">
      <c r="G2463" s="149"/>
    </row>
    <row r="2464" spans="7:7">
      <c r="G2464" s="149"/>
    </row>
    <row r="2465" spans="7:7">
      <c r="G2465" s="149"/>
    </row>
    <row r="2466" spans="7:7">
      <c r="G2466" s="149"/>
    </row>
    <row r="2467" spans="7:7">
      <c r="G2467" s="149"/>
    </row>
    <row r="2468" spans="7:7">
      <c r="G2468" s="149"/>
    </row>
    <row r="2469" spans="7:7">
      <c r="G2469" s="149"/>
    </row>
    <row r="2470" spans="7:7">
      <c r="G2470" s="149"/>
    </row>
    <row r="2471" spans="7:7">
      <c r="G2471" s="149"/>
    </row>
    <row r="2472" spans="7:7">
      <c r="G2472" s="149"/>
    </row>
    <row r="2473" spans="7:7">
      <c r="G2473" s="149"/>
    </row>
    <row r="2474" spans="7:7">
      <c r="G2474" s="149"/>
    </row>
    <row r="2475" spans="7:7">
      <c r="G2475" s="149"/>
    </row>
    <row r="2476" spans="7:7">
      <c r="G2476" s="149"/>
    </row>
    <row r="2477" spans="7:7">
      <c r="G2477" s="149"/>
    </row>
    <row r="2478" spans="7:7">
      <c r="G2478" s="149"/>
    </row>
    <row r="2479" spans="7:7">
      <c r="G2479" s="149"/>
    </row>
    <row r="2480" spans="7:7">
      <c r="G2480" s="149"/>
    </row>
    <row r="2481" spans="7:7">
      <c r="G2481" s="149"/>
    </row>
    <row r="2482" spans="7:7">
      <c r="G2482" s="149"/>
    </row>
    <row r="2483" spans="7:7">
      <c r="G2483" s="149"/>
    </row>
    <row r="2484" spans="7:7">
      <c r="G2484" s="149"/>
    </row>
    <row r="2485" spans="7:7">
      <c r="G2485" s="149"/>
    </row>
    <row r="2486" spans="7:7">
      <c r="G2486" s="149"/>
    </row>
    <row r="2487" spans="7:7">
      <c r="G2487" s="149"/>
    </row>
    <row r="2488" spans="7:7">
      <c r="G2488" s="149"/>
    </row>
    <row r="2489" spans="7:7">
      <c r="G2489" s="149"/>
    </row>
    <row r="2490" spans="7:7">
      <c r="G2490" s="149"/>
    </row>
    <row r="2491" spans="7:7">
      <c r="G2491" s="149"/>
    </row>
    <row r="2492" spans="7:7">
      <c r="G2492" s="149"/>
    </row>
    <row r="2493" spans="7:7">
      <c r="G2493" s="149"/>
    </row>
    <row r="2494" spans="7:7">
      <c r="G2494" s="149"/>
    </row>
    <row r="2495" spans="7:7">
      <c r="G2495" s="149"/>
    </row>
    <row r="2496" spans="7:7">
      <c r="G2496" s="149"/>
    </row>
    <row r="2497" spans="7:7">
      <c r="G2497" s="149"/>
    </row>
    <row r="2498" spans="7:7">
      <c r="G2498" s="149"/>
    </row>
    <row r="2499" spans="7:7">
      <c r="G2499" s="149"/>
    </row>
    <row r="2500" spans="7:7">
      <c r="G2500" s="149"/>
    </row>
    <row r="2501" spans="7:7">
      <c r="G2501" s="149"/>
    </row>
    <row r="2502" spans="7:7">
      <c r="G2502" s="149"/>
    </row>
    <row r="2503" spans="7:7">
      <c r="G2503" s="149"/>
    </row>
    <row r="2504" spans="7:7">
      <c r="G2504" s="149"/>
    </row>
    <row r="2505" spans="7:7">
      <c r="G2505" s="149"/>
    </row>
    <row r="2506" spans="7:7">
      <c r="G2506" s="149"/>
    </row>
    <row r="2507" spans="7:7">
      <c r="G2507" s="149"/>
    </row>
    <row r="2508" spans="7:7">
      <c r="G2508" s="149"/>
    </row>
    <row r="2509" spans="7:7">
      <c r="G2509" s="149"/>
    </row>
    <row r="2510" spans="7:7">
      <c r="G2510" s="149"/>
    </row>
    <row r="2511" spans="7:7">
      <c r="G2511" s="149"/>
    </row>
    <row r="2512" spans="7:7">
      <c r="G2512" s="149"/>
    </row>
    <row r="2513" spans="7:7">
      <c r="G2513" s="149"/>
    </row>
    <row r="2514" spans="7:7">
      <c r="G2514" s="149"/>
    </row>
    <row r="2515" spans="7:7">
      <c r="G2515" s="149"/>
    </row>
    <row r="2516" spans="7:7">
      <c r="G2516" s="149"/>
    </row>
    <row r="2517" spans="7:7">
      <c r="G2517" s="149"/>
    </row>
    <row r="2518" spans="7:7">
      <c r="G2518" s="149"/>
    </row>
    <row r="2519" spans="7:7">
      <c r="G2519" s="149"/>
    </row>
    <row r="2520" spans="7:7">
      <c r="G2520" s="149"/>
    </row>
    <row r="2521" spans="7:7">
      <c r="G2521" s="149"/>
    </row>
    <row r="2522" spans="7:7">
      <c r="G2522" s="149"/>
    </row>
    <row r="2523" spans="7:7">
      <c r="G2523" s="149"/>
    </row>
    <row r="2524" spans="7:7">
      <c r="G2524" s="149"/>
    </row>
    <row r="2525" spans="7:7">
      <c r="G2525" s="149"/>
    </row>
    <row r="2526" spans="7:7">
      <c r="G2526" s="149"/>
    </row>
    <row r="2527" spans="7:7">
      <c r="G2527" s="149"/>
    </row>
    <row r="2528" spans="7:7">
      <c r="G2528" s="149"/>
    </row>
    <row r="2529" spans="7:7">
      <c r="G2529" s="149"/>
    </row>
    <row r="2530" spans="7:7">
      <c r="G2530" s="149"/>
    </row>
    <row r="2531" spans="7:7">
      <c r="G2531" s="149"/>
    </row>
    <row r="2532" spans="7:7">
      <c r="G2532" s="149"/>
    </row>
    <row r="2533" spans="7:7">
      <c r="G2533" s="149"/>
    </row>
    <row r="2534" spans="7:7">
      <c r="G2534" s="149"/>
    </row>
    <row r="2535" spans="7:7">
      <c r="G2535" s="149"/>
    </row>
    <row r="2536" spans="7:7">
      <c r="G2536" s="149"/>
    </row>
    <row r="2537" spans="7:7">
      <c r="G2537" s="149"/>
    </row>
    <row r="2538" spans="7:7">
      <c r="G2538" s="149"/>
    </row>
    <row r="2539" spans="7:7">
      <c r="G2539" s="149"/>
    </row>
    <row r="2540" spans="7:7">
      <c r="G2540" s="149"/>
    </row>
    <row r="2541" spans="7:7">
      <c r="G2541" s="149"/>
    </row>
    <row r="2542" spans="7:7">
      <c r="G2542" s="149"/>
    </row>
    <row r="2543" spans="7:7">
      <c r="G2543" s="149"/>
    </row>
    <row r="2544" spans="7:7">
      <c r="G2544" s="149"/>
    </row>
    <row r="2545" spans="7:7">
      <c r="G2545" s="149"/>
    </row>
    <row r="2546" spans="7:7">
      <c r="G2546" s="149"/>
    </row>
    <row r="2547" spans="7:7">
      <c r="G2547" s="149"/>
    </row>
    <row r="2548" spans="7:7">
      <c r="G2548" s="149"/>
    </row>
    <row r="2549" spans="7:7">
      <c r="G2549" s="149"/>
    </row>
    <row r="2550" spans="7:7">
      <c r="G2550" s="149"/>
    </row>
    <row r="2551" spans="7:7">
      <c r="G2551" s="149"/>
    </row>
    <row r="2552" spans="7:7">
      <c r="G2552" s="149"/>
    </row>
    <row r="2553" spans="7:7">
      <c r="G2553" s="149"/>
    </row>
    <row r="2554" spans="7:7">
      <c r="G2554" s="149"/>
    </row>
    <row r="2555" spans="7:7">
      <c r="G2555" s="149"/>
    </row>
    <row r="2556" spans="7:7">
      <c r="G2556" s="149"/>
    </row>
    <row r="2557" spans="7:7">
      <c r="G2557" s="149"/>
    </row>
    <row r="2558" spans="7:7">
      <c r="G2558" s="149"/>
    </row>
    <row r="2559" spans="7:7">
      <c r="G2559" s="149"/>
    </row>
    <row r="2560" spans="7:7">
      <c r="G2560" s="149"/>
    </row>
    <row r="2561" spans="7:7">
      <c r="G2561" s="149"/>
    </row>
    <row r="2562" spans="7:7">
      <c r="G2562" s="149"/>
    </row>
    <row r="2563" spans="7:7">
      <c r="G2563" s="149"/>
    </row>
    <row r="2564" spans="7:7">
      <c r="G2564" s="149"/>
    </row>
    <row r="2565" spans="7:7">
      <c r="G2565" s="149"/>
    </row>
    <row r="2566" spans="7:7">
      <c r="G2566" s="149"/>
    </row>
    <row r="2567" spans="7:7">
      <c r="G2567" s="149"/>
    </row>
    <row r="2568" spans="7:7">
      <c r="G2568" s="149"/>
    </row>
    <row r="2569" spans="7:7">
      <c r="G2569" s="149"/>
    </row>
    <row r="2570" spans="7:7">
      <c r="G2570" s="149"/>
    </row>
    <row r="2571" spans="7:7">
      <c r="G2571" s="149"/>
    </row>
    <row r="2572" spans="7:7">
      <c r="G2572" s="149"/>
    </row>
    <row r="2573" spans="7:7">
      <c r="G2573" s="149"/>
    </row>
    <row r="2574" spans="7:7">
      <c r="G2574" s="149"/>
    </row>
    <row r="2575" spans="7:7">
      <c r="G2575" s="149"/>
    </row>
    <row r="2576" spans="7:7">
      <c r="G2576" s="149"/>
    </row>
    <row r="2577" spans="7:7">
      <c r="G2577" s="149"/>
    </row>
    <row r="2578" spans="7:7">
      <c r="G2578" s="149"/>
    </row>
    <row r="2579" spans="7:7">
      <c r="G2579" s="149"/>
    </row>
    <row r="2580" spans="7:7">
      <c r="G2580" s="149"/>
    </row>
    <row r="2581" spans="7:7">
      <c r="G2581" s="149"/>
    </row>
    <row r="2582" spans="7:7">
      <c r="G2582" s="149"/>
    </row>
    <row r="2583" spans="7:7">
      <c r="G2583" s="149"/>
    </row>
    <row r="2584" spans="7:7">
      <c r="G2584" s="149"/>
    </row>
    <row r="2585" spans="7:7">
      <c r="G2585" s="149"/>
    </row>
    <row r="2586" spans="7:7">
      <c r="G2586" s="149"/>
    </row>
    <row r="2587" spans="7:7">
      <c r="G2587" s="149"/>
    </row>
    <row r="2588" spans="7:7">
      <c r="G2588" s="149"/>
    </row>
    <row r="2589" spans="7:7">
      <c r="G2589" s="149"/>
    </row>
    <row r="2590" spans="7:7">
      <c r="G2590" s="149"/>
    </row>
    <row r="2591" spans="7:7">
      <c r="G2591" s="149"/>
    </row>
    <row r="2592" spans="7:7">
      <c r="G2592" s="149"/>
    </row>
    <row r="2593" spans="7:7">
      <c r="G2593" s="149"/>
    </row>
    <row r="2594" spans="7:7">
      <c r="G2594" s="149"/>
    </row>
    <row r="2595" spans="7:7">
      <c r="G2595" s="149"/>
    </row>
    <row r="2596" spans="7:7">
      <c r="G2596" s="149"/>
    </row>
    <row r="2597" spans="7:7">
      <c r="G2597" s="149"/>
    </row>
    <row r="2598" spans="7:7">
      <c r="G2598" s="149"/>
    </row>
    <row r="2599" spans="7:7">
      <c r="G2599" s="149"/>
    </row>
    <row r="2600" spans="7:7">
      <c r="G2600" s="149"/>
    </row>
    <row r="2601" spans="7:7">
      <c r="G2601" s="149"/>
    </row>
    <row r="2602" spans="7:7">
      <c r="G2602" s="149"/>
    </row>
    <row r="2603" spans="7:7">
      <c r="G2603" s="149"/>
    </row>
    <row r="2604" spans="7:7">
      <c r="G2604" s="149"/>
    </row>
    <row r="2605" spans="7:7">
      <c r="G2605" s="149"/>
    </row>
    <row r="2606" spans="7:7">
      <c r="G2606" s="149"/>
    </row>
    <row r="2607" spans="7:7">
      <c r="G2607" s="149"/>
    </row>
    <row r="2608" spans="7:7">
      <c r="G2608" s="149"/>
    </row>
    <row r="2609" spans="7:7">
      <c r="G2609" s="149"/>
    </row>
    <row r="2610" spans="7:7">
      <c r="G2610" s="149"/>
    </row>
    <row r="2611" spans="7:7">
      <c r="G2611" s="149"/>
    </row>
    <row r="2612" spans="7:7">
      <c r="G2612" s="149"/>
    </row>
    <row r="2613" spans="7:7">
      <c r="G2613" s="149"/>
    </row>
    <row r="2614" spans="7:7">
      <c r="G2614" s="149"/>
    </row>
    <row r="2615" spans="7:7">
      <c r="G2615" s="149"/>
    </row>
    <row r="2616" spans="7:7">
      <c r="G2616" s="149"/>
    </row>
    <row r="2617" spans="7:7">
      <c r="G2617" s="149"/>
    </row>
    <row r="2618" spans="7:7">
      <c r="G2618" s="149"/>
    </row>
    <row r="2619" spans="7:7">
      <c r="G2619" s="149"/>
    </row>
    <row r="2620" spans="7:7">
      <c r="G2620" s="149"/>
    </row>
    <row r="2621" spans="7:7">
      <c r="G2621" s="149"/>
    </row>
    <row r="2622" spans="7:7">
      <c r="G2622" s="149"/>
    </row>
    <row r="2623" spans="7:7">
      <c r="G2623" s="149"/>
    </row>
    <row r="2624" spans="7:7">
      <c r="G2624" s="149"/>
    </row>
    <row r="2625" spans="7:7">
      <c r="G2625" s="149"/>
    </row>
    <row r="2626" spans="7:7">
      <c r="G2626" s="149"/>
    </row>
    <row r="2627" spans="7:7">
      <c r="G2627" s="149"/>
    </row>
    <row r="2628" spans="7:7">
      <c r="G2628" s="149"/>
    </row>
    <row r="2629" spans="7:7">
      <c r="G2629" s="149"/>
    </row>
    <row r="2630" spans="7:7">
      <c r="G2630" s="149"/>
    </row>
    <row r="2631" spans="7:7">
      <c r="G2631" s="149"/>
    </row>
    <row r="2632" spans="7:7">
      <c r="G2632" s="149"/>
    </row>
    <row r="2633" spans="7:7">
      <c r="G2633" s="149"/>
    </row>
    <row r="2634" spans="7:7">
      <c r="G2634" s="149"/>
    </row>
    <row r="2635" spans="7:7">
      <c r="G2635" s="149"/>
    </row>
    <row r="2636" spans="7:7">
      <c r="G2636" s="149"/>
    </row>
    <row r="2637" spans="7:7">
      <c r="G2637" s="149"/>
    </row>
    <row r="2638" spans="7:7">
      <c r="G2638" s="149"/>
    </row>
    <row r="2639" spans="7:7">
      <c r="G2639" s="149"/>
    </row>
    <row r="2640" spans="7:7">
      <c r="G2640" s="149"/>
    </row>
    <row r="2641" spans="7:7">
      <c r="G2641" s="149"/>
    </row>
    <row r="2642" spans="7:7">
      <c r="G2642" s="149"/>
    </row>
    <row r="2643" spans="7:7">
      <c r="G2643" s="149"/>
    </row>
    <row r="2644" spans="7:7">
      <c r="G2644" s="149"/>
    </row>
    <row r="2645" spans="7:7">
      <c r="G2645" s="149"/>
    </row>
    <row r="2646" spans="7:7">
      <c r="G2646" s="149"/>
    </row>
    <row r="2647" spans="7:7">
      <c r="G2647" s="149"/>
    </row>
    <row r="2648" spans="7:7">
      <c r="G2648" s="149"/>
    </row>
    <row r="2649" spans="7:7">
      <c r="G2649" s="149"/>
    </row>
    <row r="2650" spans="7:7">
      <c r="G2650" s="149"/>
    </row>
    <row r="2651" spans="7:7">
      <c r="G2651" s="149"/>
    </row>
    <row r="2652" spans="7:7">
      <c r="G2652" s="149"/>
    </row>
    <row r="2653" spans="7:7">
      <c r="G2653" s="149"/>
    </row>
    <row r="2654" spans="7:7">
      <c r="G2654" s="149"/>
    </row>
    <row r="2655" spans="7:7">
      <c r="G2655" s="149"/>
    </row>
    <row r="2656" spans="7:7">
      <c r="G2656" s="149"/>
    </row>
    <row r="2657" spans="7:7">
      <c r="G2657" s="149"/>
    </row>
    <row r="2658" spans="7:7">
      <c r="G2658" s="149"/>
    </row>
    <row r="2659" spans="7:7">
      <c r="G2659" s="149"/>
    </row>
    <row r="2660" spans="7:7">
      <c r="G2660" s="149"/>
    </row>
    <row r="2661" spans="7:7">
      <c r="G2661" s="149"/>
    </row>
    <row r="2662" spans="7:7">
      <c r="G2662" s="149"/>
    </row>
    <row r="2663" spans="7:7">
      <c r="G2663" s="149"/>
    </row>
    <row r="2664" spans="7:7">
      <c r="G2664" s="149"/>
    </row>
    <row r="2665" spans="7:7">
      <c r="G2665" s="149"/>
    </row>
    <row r="2666" spans="7:7">
      <c r="G2666" s="149"/>
    </row>
    <row r="2667" spans="7:7">
      <c r="G2667" s="149"/>
    </row>
    <row r="2668" spans="7:7">
      <c r="G2668" s="149"/>
    </row>
    <row r="2669" spans="7:7">
      <c r="G2669" s="149"/>
    </row>
    <row r="2670" spans="7:7">
      <c r="G2670" s="149"/>
    </row>
    <row r="2671" spans="7:7">
      <c r="G2671" s="149"/>
    </row>
    <row r="2672" spans="7:7">
      <c r="G2672" s="149"/>
    </row>
    <row r="2673" spans="7:7">
      <c r="G2673" s="149"/>
    </row>
    <row r="2674" spans="7:7">
      <c r="G2674" s="149"/>
    </row>
    <row r="2675" spans="7:7">
      <c r="G2675" s="149"/>
    </row>
    <row r="2676" spans="7:7">
      <c r="G2676" s="149"/>
    </row>
    <row r="2677" spans="7:7">
      <c r="G2677" s="149"/>
    </row>
    <row r="2678" spans="7:7">
      <c r="G2678" s="149"/>
    </row>
    <row r="2679" spans="7:7">
      <c r="G2679" s="149"/>
    </row>
    <row r="2680" spans="7:7">
      <c r="G2680" s="149"/>
    </row>
    <row r="2681" spans="7:7">
      <c r="G2681" s="149"/>
    </row>
    <row r="2682" spans="7:7">
      <c r="G2682" s="149"/>
    </row>
    <row r="2683" spans="7:7">
      <c r="G2683" s="149"/>
    </row>
    <row r="2684" spans="7:7">
      <c r="G2684" s="149"/>
    </row>
    <row r="2685" spans="7:7">
      <c r="G2685" s="149"/>
    </row>
    <row r="2686" spans="7:7">
      <c r="G2686" s="149"/>
    </row>
    <row r="2687" spans="7:7">
      <c r="G2687" s="149"/>
    </row>
    <row r="2688" spans="7:7">
      <c r="G2688" s="149"/>
    </row>
    <row r="2689" spans="7:7">
      <c r="G2689" s="149"/>
    </row>
    <row r="2690" spans="7:7">
      <c r="G2690" s="149"/>
    </row>
    <row r="2691" spans="7:7">
      <c r="G2691" s="149"/>
    </row>
    <row r="2692" spans="7:7">
      <c r="G2692" s="149"/>
    </row>
    <row r="2693" spans="7:7">
      <c r="G2693" s="149"/>
    </row>
    <row r="2694" spans="7:7">
      <c r="G2694" s="149"/>
    </row>
    <row r="2695" spans="7:7">
      <c r="G2695" s="149"/>
    </row>
    <row r="2696" spans="7:7">
      <c r="G2696" s="149"/>
    </row>
    <row r="2697" spans="7:7">
      <c r="G2697" s="149"/>
    </row>
    <row r="2698" spans="7:7">
      <c r="G2698" s="149"/>
    </row>
    <row r="2699" spans="7:7">
      <c r="G2699" s="149"/>
    </row>
    <row r="2700" spans="7:7">
      <c r="G2700" s="149"/>
    </row>
    <row r="2701" spans="7:7">
      <c r="G2701" s="149"/>
    </row>
    <row r="2702" spans="7:7">
      <c r="G2702" s="149"/>
    </row>
    <row r="2703" spans="7:7">
      <c r="G2703" s="149"/>
    </row>
    <row r="2704" spans="7:7">
      <c r="G2704" s="149"/>
    </row>
    <row r="2705" spans="7:7">
      <c r="G2705" s="149"/>
    </row>
    <row r="2706" spans="7:7">
      <c r="G2706" s="149"/>
    </row>
    <row r="2707" spans="7:7">
      <c r="G2707" s="149"/>
    </row>
    <row r="2708" spans="7:7">
      <c r="G2708" s="149"/>
    </row>
    <row r="2709" spans="7:7">
      <c r="G2709" s="149"/>
    </row>
    <row r="2710" spans="7:7">
      <c r="G2710" s="149"/>
    </row>
    <row r="2711" spans="7:7">
      <c r="G2711" s="149"/>
    </row>
    <row r="2712" spans="7:7">
      <c r="G2712" s="149"/>
    </row>
    <row r="2713" spans="7:7">
      <c r="G2713" s="149"/>
    </row>
    <row r="2714" spans="7:7">
      <c r="G2714" s="149"/>
    </row>
    <row r="2715" spans="7:7">
      <c r="G2715" s="149"/>
    </row>
    <row r="2716" spans="7:7">
      <c r="G2716" s="149"/>
    </row>
    <row r="2717" spans="7:7">
      <c r="G2717" s="149"/>
    </row>
    <row r="2718" spans="7:7">
      <c r="G2718" s="149"/>
    </row>
    <row r="2719" spans="7:7">
      <c r="G2719" s="149"/>
    </row>
    <row r="2720" spans="7:7">
      <c r="G2720" s="149"/>
    </row>
    <row r="2721" spans="7:7">
      <c r="G2721" s="149"/>
    </row>
    <row r="2722" spans="7:7">
      <c r="G2722" s="149"/>
    </row>
    <row r="2723" spans="7:7">
      <c r="G2723" s="149"/>
    </row>
    <row r="2724" spans="7:7">
      <c r="G2724" s="149"/>
    </row>
    <row r="2725" spans="7:7">
      <c r="G2725" s="149"/>
    </row>
    <row r="2726" spans="7:7">
      <c r="G2726" s="149"/>
    </row>
    <row r="2727" spans="7:7">
      <c r="G2727" s="149"/>
    </row>
    <row r="2728" spans="7:7">
      <c r="G2728" s="149"/>
    </row>
    <row r="2729" spans="7:7">
      <c r="G2729" s="149"/>
    </row>
    <row r="2730" spans="7:7">
      <c r="G2730" s="149"/>
    </row>
    <row r="2731" spans="7:7">
      <c r="G2731" s="149"/>
    </row>
    <row r="2732" spans="7:7">
      <c r="G2732" s="149"/>
    </row>
    <row r="2733" spans="7:7">
      <c r="G2733" s="149"/>
    </row>
    <row r="2734" spans="7:7">
      <c r="G2734" s="149"/>
    </row>
    <row r="2735" spans="7:7">
      <c r="G2735" s="149"/>
    </row>
    <row r="2736" spans="7:7">
      <c r="G2736" s="149"/>
    </row>
    <row r="2737" spans="7:7">
      <c r="G2737" s="149"/>
    </row>
    <row r="2738" spans="7:7">
      <c r="G2738" s="149"/>
    </row>
    <row r="2739" spans="7:7">
      <c r="G2739" s="149"/>
    </row>
    <row r="2740" spans="7:7">
      <c r="G2740" s="149"/>
    </row>
    <row r="2741" spans="7:7">
      <c r="G2741" s="149"/>
    </row>
    <row r="2742" spans="7:7">
      <c r="G2742" s="149"/>
    </row>
    <row r="2743" spans="7:7">
      <c r="G2743" s="149"/>
    </row>
    <row r="2744" spans="7:7">
      <c r="G2744" s="149"/>
    </row>
    <row r="2745" spans="7:7">
      <c r="G2745" s="149"/>
    </row>
    <row r="2746" spans="7:7">
      <c r="G2746" s="149"/>
    </row>
    <row r="2747" spans="7:7">
      <c r="G2747" s="149"/>
    </row>
    <row r="2748" spans="7:7">
      <c r="G2748" s="149"/>
    </row>
    <row r="2749" spans="7:7">
      <c r="G2749" s="149"/>
    </row>
    <row r="2750" spans="7:7">
      <c r="G2750" s="149"/>
    </row>
    <row r="2751" spans="7:7">
      <c r="G2751" s="149"/>
    </row>
    <row r="2752" spans="7:7">
      <c r="G2752" s="149"/>
    </row>
    <row r="2753" spans="7:7">
      <c r="G2753" s="149"/>
    </row>
    <row r="2754" spans="7:7">
      <c r="G2754" s="149"/>
    </row>
    <row r="2755" spans="7:7">
      <c r="G2755" s="149"/>
    </row>
    <row r="2756" spans="7:7">
      <c r="G2756" s="149"/>
    </row>
    <row r="2757" spans="7:7">
      <c r="G2757" s="149"/>
    </row>
    <row r="2758" spans="7:7">
      <c r="G2758" s="149"/>
    </row>
    <row r="2759" spans="7:7">
      <c r="G2759" s="149"/>
    </row>
    <row r="2760" spans="7:7">
      <c r="G2760" s="149"/>
    </row>
    <row r="2761" spans="7:7">
      <c r="G2761" s="149"/>
    </row>
    <row r="2762" spans="7:7">
      <c r="G2762" s="149"/>
    </row>
    <row r="2763" spans="7:7">
      <c r="G2763" s="149"/>
    </row>
    <row r="2764" spans="7:7">
      <c r="G2764" s="149"/>
    </row>
    <row r="2765" spans="7:7">
      <c r="G2765" s="149"/>
    </row>
    <row r="2766" spans="7:7">
      <c r="G2766" s="149"/>
    </row>
    <row r="2767" spans="7:7">
      <c r="G2767" s="149"/>
    </row>
    <row r="2768" spans="7:7">
      <c r="G2768" s="149"/>
    </row>
    <row r="2769" spans="7:7">
      <c r="G2769" s="149"/>
    </row>
    <row r="2770" spans="7:7">
      <c r="G2770" s="149"/>
    </row>
    <row r="2771" spans="7:7">
      <c r="G2771" s="149"/>
    </row>
    <row r="2772" spans="7:7">
      <c r="G2772" s="149"/>
    </row>
    <row r="2773" spans="7:7">
      <c r="G2773" s="149"/>
    </row>
    <row r="2774" spans="7:7">
      <c r="G2774" s="149"/>
    </row>
    <row r="2775" spans="7:7">
      <c r="G2775" s="149"/>
    </row>
    <row r="2776" spans="7:7">
      <c r="G2776" s="149"/>
    </row>
    <row r="2777" spans="7:7">
      <c r="G2777" s="149"/>
    </row>
    <row r="2778" spans="7:7">
      <c r="G2778" s="149"/>
    </row>
    <row r="2779" spans="7:7">
      <c r="G2779" s="149"/>
    </row>
    <row r="2780" spans="7:7">
      <c r="G2780" s="149"/>
    </row>
    <row r="2781" spans="7:7">
      <c r="G2781" s="149"/>
    </row>
    <row r="2782" spans="7:7">
      <c r="G2782" s="149"/>
    </row>
    <row r="2783" spans="7:7">
      <c r="G2783" s="149"/>
    </row>
    <row r="2784" spans="7:7">
      <c r="G2784" s="149"/>
    </row>
    <row r="2785" spans="7:7">
      <c r="G2785" s="149"/>
    </row>
    <row r="2786" spans="7:7">
      <c r="G2786" s="149"/>
    </row>
    <row r="2787" spans="7:7">
      <c r="G2787" s="149"/>
    </row>
    <row r="2788" spans="7:7">
      <c r="G2788" s="149"/>
    </row>
    <row r="2789" spans="7:7">
      <c r="G2789" s="149"/>
    </row>
    <row r="2790" spans="7:7">
      <c r="G2790" s="149"/>
    </row>
    <row r="2791" spans="7:7">
      <c r="G2791" s="149"/>
    </row>
    <row r="2792" spans="7:7">
      <c r="G2792" s="149"/>
    </row>
    <row r="2793" spans="7:7">
      <c r="G2793" s="149"/>
    </row>
    <row r="2794" spans="7:7">
      <c r="G2794" s="149"/>
    </row>
    <row r="2795" spans="7:7">
      <c r="G2795" s="149"/>
    </row>
    <row r="2796" spans="7:7">
      <c r="G2796" s="149"/>
    </row>
    <row r="2797" spans="7:7">
      <c r="G2797" s="149"/>
    </row>
    <row r="2798" spans="7:7">
      <c r="G2798" s="149"/>
    </row>
    <row r="2799" spans="7:7">
      <c r="G2799" s="149"/>
    </row>
    <row r="2800" spans="7:7">
      <c r="G2800" s="149"/>
    </row>
    <row r="2801" spans="7:7">
      <c r="G2801" s="149"/>
    </row>
    <row r="2802" spans="7:7">
      <c r="G2802" s="149"/>
    </row>
    <row r="2803" spans="7:7">
      <c r="G2803" s="149"/>
    </row>
    <row r="2804" spans="7:7">
      <c r="G2804" s="149"/>
    </row>
    <row r="2805" spans="7:7">
      <c r="G2805" s="149"/>
    </row>
    <row r="2806" spans="7:7">
      <c r="G2806" s="149"/>
    </row>
    <row r="2807" spans="7:7">
      <c r="G2807" s="149"/>
    </row>
    <row r="2808" spans="7:7">
      <c r="G2808" s="149"/>
    </row>
    <row r="2809" spans="7:7">
      <c r="G2809" s="149"/>
    </row>
    <row r="2810" spans="7:7">
      <c r="G2810" s="149"/>
    </row>
    <row r="2811" spans="7:7">
      <c r="G2811" s="149"/>
    </row>
    <row r="2812" spans="7:7">
      <c r="G2812" s="149"/>
    </row>
    <row r="2813" spans="7:7">
      <c r="G2813" s="149"/>
    </row>
    <row r="2814" spans="7:7">
      <c r="G2814" s="149"/>
    </row>
    <row r="2815" spans="7:7">
      <c r="G2815" s="149"/>
    </row>
    <row r="2816" spans="7:7">
      <c r="G2816" s="149"/>
    </row>
    <row r="2817" spans="7:7">
      <c r="G2817" s="149"/>
    </row>
    <row r="2818" spans="7:7">
      <c r="G2818" s="149"/>
    </row>
    <row r="2819" spans="7:7">
      <c r="G2819" s="149"/>
    </row>
    <row r="2820" spans="7:7">
      <c r="G2820" s="149"/>
    </row>
    <row r="2821" spans="7:7">
      <c r="G2821" s="149"/>
    </row>
    <row r="2822" spans="7:7">
      <c r="G2822" s="149"/>
    </row>
    <row r="2823" spans="7:7">
      <c r="G2823" s="149"/>
    </row>
    <row r="2824" spans="7:7">
      <c r="G2824" s="149"/>
    </row>
    <row r="2825" spans="7:7">
      <c r="G2825" s="149"/>
    </row>
    <row r="2826" spans="7:7">
      <c r="G2826" s="149"/>
    </row>
    <row r="2827" spans="7:7">
      <c r="G2827" s="149"/>
    </row>
    <row r="2828" spans="7:7">
      <c r="G2828" s="149"/>
    </row>
    <row r="2829" spans="7:7">
      <c r="G2829" s="149"/>
    </row>
    <row r="2830" spans="7:7">
      <c r="G2830" s="149"/>
    </row>
    <row r="2831" spans="7:7">
      <c r="G2831" s="149"/>
    </row>
    <row r="2832" spans="7:7">
      <c r="G2832" s="149"/>
    </row>
    <row r="2833" spans="7:7">
      <c r="G2833" s="149"/>
    </row>
    <row r="2834" spans="7:7">
      <c r="G2834" s="149"/>
    </row>
    <row r="2835" spans="7:7">
      <c r="G2835" s="149"/>
    </row>
    <row r="2836" spans="7:7">
      <c r="G2836" s="149"/>
    </row>
    <row r="2837" spans="7:7">
      <c r="G2837" s="149"/>
    </row>
    <row r="2838" spans="7:7">
      <c r="G2838" s="149"/>
    </row>
    <row r="2839" spans="7:7">
      <c r="G2839" s="149"/>
    </row>
    <row r="2840" spans="7:7">
      <c r="G2840" s="149"/>
    </row>
    <row r="2841" spans="7:7">
      <c r="G2841" s="149"/>
    </row>
    <row r="2842" spans="7:7">
      <c r="G2842" s="149"/>
    </row>
    <row r="2843" spans="7:7">
      <c r="G2843" s="149"/>
    </row>
    <row r="2844" spans="7:7">
      <c r="G2844" s="149"/>
    </row>
    <row r="2845" spans="7:7">
      <c r="G2845" s="149"/>
    </row>
    <row r="2846" spans="7:7">
      <c r="G2846" s="149"/>
    </row>
    <row r="2847" spans="7:7">
      <c r="G2847" s="149"/>
    </row>
    <row r="2848" spans="7:7">
      <c r="G2848" s="149"/>
    </row>
    <row r="2849" spans="7:7">
      <c r="G2849" s="149"/>
    </row>
    <row r="2850" spans="7:7">
      <c r="G2850" s="149"/>
    </row>
    <row r="2851" spans="7:7">
      <c r="G2851" s="149"/>
    </row>
    <row r="2852" spans="7:7">
      <c r="G2852" s="149"/>
    </row>
    <row r="2853" spans="7:7">
      <c r="G2853" s="149"/>
    </row>
    <row r="2854" spans="7:7">
      <c r="G2854" s="149"/>
    </row>
    <row r="2855" spans="7:7">
      <c r="G2855" s="149"/>
    </row>
    <row r="2856" spans="7:7">
      <c r="G2856" s="149"/>
    </row>
    <row r="2857" spans="7:7">
      <c r="G2857" s="149"/>
    </row>
    <row r="2858" spans="7:7">
      <c r="G2858" s="149"/>
    </row>
    <row r="2859" spans="7:7">
      <c r="G2859" s="149"/>
    </row>
    <row r="2860" spans="7:7">
      <c r="G2860" s="149"/>
    </row>
    <row r="2861" spans="7:7">
      <c r="G2861" s="149"/>
    </row>
    <row r="2862" spans="7:7">
      <c r="G2862" s="149"/>
    </row>
    <row r="2863" spans="7:7">
      <c r="G2863" s="149"/>
    </row>
    <row r="2864" spans="7:7">
      <c r="G2864" s="149"/>
    </row>
    <row r="2865" spans="7:7">
      <c r="G2865" s="149"/>
    </row>
    <row r="2866" spans="7:7">
      <c r="G2866" s="149"/>
    </row>
    <row r="2867" spans="7:7">
      <c r="G2867" s="149"/>
    </row>
    <row r="2868" spans="7:7">
      <c r="G2868" s="149"/>
    </row>
    <row r="2869" spans="7:7">
      <c r="G2869" s="149"/>
    </row>
    <row r="2870" spans="7:7">
      <c r="G2870" s="149"/>
    </row>
    <row r="2871" spans="7:7">
      <c r="G2871" s="149"/>
    </row>
    <row r="2872" spans="7:7">
      <c r="G2872" s="149"/>
    </row>
    <row r="2873" spans="7:7">
      <c r="G2873" s="149"/>
    </row>
    <row r="2874" spans="7:7">
      <c r="G2874" s="149"/>
    </row>
    <row r="2875" spans="7:7">
      <c r="G2875" s="149"/>
    </row>
    <row r="2876" spans="7:7">
      <c r="G2876" s="149"/>
    </row>
    <row r="2877" spans="7:7">
      <c r="G2877" s="149"/>
    </row>
    <row r="2878" spans="7:7">
      <c r="G2878" s="149"/>
    </row>
    <row r="2879" spans="7:7">
      <c r="G2879" s="149"/>
    </row>
    <row r="2880" spans="7:7">
      <c r="G2880" s="149"/>
    </row>
    <row r="2881" spans="7:7">
      <c r="G2881" s="149"/>
    </row>
    <row r="2882" spans="7:7">
      <c r="G2882" s="149"/>
    </row>
    <row r="2883" spans="7:7">
      <c r="G2883" s="149"/>
    </row>
    <row r="2884" spans="7:7">
      <c r="G2884" s="149"/>
    </row>
    <row r="2885" spans="7:7">
      <c r="G2885" s="149"/>
    </row>
    <row r="2886" spans="7:7">
      <c r="G2886" s="149"/>
    </row>
    <row r="2887" spans="7:7">
      <c r="G2887" s="149"/>
    </row>
    <row r="2888" spans="7:7">
      <c r="G2888" s="149"/>
    </row>
    <row r="2889" spans="7:7">
      <c r="G2889" s="149"/>
    </row>
    <row r="2890" spans="7:7">
      <c r="G2890" s="149"/>
    </row>
    <row r="2891" spans="7:7">
      <c r="G2891" s="149"/>
    </row>
    <row r="2892" spans="7:7">
      <c r="G2892" s="149"/>
    </row>
    <row r="2893" spans="7:7">
      <c r="G2893" s="149"/>
    </row>
    <row r="2894" spans="7:7">
      <c r="G2894" s="149"/>
    </row>
    <row r="2895" spans="7:7">
      <c r="G2895" s="149"/>
    </row>
    <row r="2896" spans="7:7">
      <c r="G2896" s="149"/>
    </row>
    <row r="2897" spans="7:7">
      <c r="G2897" s="149"/>
    </row>
    <row r="2898" spans="7:7">
      <c r="G2898" s="149"/>
    </row>
    <row r="2899" spans="7:7">
      <c r="G2899" s="149"/>
    </row>
    <row r="2900" spans="7:7">
      <c r="G2900" s="149"/>
    </row>
    <row r="2901" spans="7:7">
      <c r="G2901" s="149"/>
    </row>
    <row r="2902" spans="7:7">
      <c r="G2902" s="149"/>
    </row>
    <row r="2903" spans="7:7">
      <c r="G2903" s="149"/>
    </row>
    <row r="2904" spans="7:7">
      <c r="G2904" s="149"/>
    </row>
    <row r="2905" spans="7:7">
      <c r="G2905" s="149"/>
    </row>
    <row r="2906" spans="7:7">
      <c r="G2906" s="149"/>
    </row>
    <row r="2907" spans="7:7">
      <c r="G2907" s="149"/>
    </row>
    <row r="2908" spans="7:7">
      <c r="G2908" s="149"/>
    </row>
    <row r="2909" spans="7:7">
      <c r="G2909" s="149"/>
    </row>
    <row r="2910" spans="7:7">
      <c r="G2910" s="149"/>
    </row>
    <row r="2911" spans="7:7">
      <c r="G2911" s="149"/>
    </row>
    <row r="2912" spans="7:7">
      <c r="G2912" s="149"/>
    </row>
    <row r="2913" spans="7:7">
      <c r="G2913" s="149"/>
    </row>
    <row r="2914" spans="7:7">
      <c r="G2914" s="149"/>
    </row>
    <row r="2915" spans="7:7">
      <c r="G2915" s="149"/>
    </row>
    <row r="2916" spans="7:7">
      <c r="G2916" s="149"/>
    </row>
    <row r="2917" spans="7:7">
      <c r="G2917" s="149"/>
    </row>
    <row r="2918" spans="7:7">
      <c r="G2918" s="149"/>
    </row>
    <row r="2919" spans="7:7">
      <c r="G2919" s="149"/>
    </row>
    <row r="2920" spans="7:7">
      <c r="G2920" s="149"/>
    </row>
    <row r="2921" spans="7:7">
      <c r="G2921" s="149"/>
    </row>
    <row r="2922" spans="7:7">
      <c r="G2922" s="149"/>
    </row>
    <row r="2923" spans="7:7">
      <c r="G2923" s="149"/>
    </row>
    <row r="2924" spans="7:7">
      <c r="G2924" s="149"/>
    </row>
    <row r="2925" spans="7:7">
      <c r="G2925" s="149"/>
    </row>
    <row r="2926" spans="7:7">
      <c r="G2926" s="149"/>
    </row>
    <row r="2927" spans="7:7">
      <c r="G2927" s="149"/>
    </row>
    <row r="2928" spans="7:7">
      <c r="G2928" s="149"/>
    </row>
    <row r="2929" spans="7:7">
      <c r="G2929" s="149"/>
    </row>
    <row r="2930" spans="7:7">
      <c r="G2930" s="149"/>
    </row>
    <row r="2931" spans="7:7">
      <c r="G2931" s="149"/>
    </row>
    <row r="2932" spans="7:7">
      <c r="G2932" s="149"/>
    </row>
    <row r="2933" spans="7:7">
      <c r="G2933" s="149"/>
    </row>
    <row r="2934" spans="7:7">
      <c r="G2934" s="149"/>
    </row>
    <row r="2935" spans="7:7">
      <c r="G2935" s="149"/>
    </row>
    <row r="2936" spans="7:7">
      <c r="G2936" s="149"/>
    </row>
    <row r="2937" spans="7:7">
      <c r="G2937" s="149"/>
    </row>
    <row r="2938" spans="7:7">
      <c r="G2938" s="149"/>
    </row>
    <row r="2939" spans="7:7">
      <c r="G2939" s="149"/>
    </row>
    <row r="2940" spans="7:7">
      <c r="G2940" s="149"/>
    </row>
    <row r="2941" spans="7:7">
      <c r="G2941" s="149"/>
    </row>
    <row r="2942" spans="7:7">
      <c r="G2942" s="149"/>
    </row>
    <row r="2943" spans="7:7">
      <c r="G2943" s="149"/>
    </row>
    <row r="2944" spans="7:7">
      <c r="G2944" s="149"/>
    </row>
    <row r="2945" spans="7:7">
      <c r="G2945" s="149"/>
    </row>
    <row r="2946" spans="7:7">
      <c r="G2946" s="149"/>
    </row>
    <row r="2947" spans="7:7">
      <c r="G2947" s="149"/>
    </row>
    <row r="2948" spans="7:7">
      <c r="G2948" s="149"/>
    </row>
    <row r="2949" spans="7:7">
      <c r="G2949" s="149"/>
    </row>
    <row r="2950" spans="7:7">
      <c r="G2950" s="149"/>
    </row>
    <row r="2951" spans="7:7">
      <c r="G2951" s="149"/>
    </row>
    <row r="2952" spans="7:7">
      <c r="G2952" s="149"/>
    </row>
    <row r="2953" spans="7:7">
      <c r="G2953" s="149"/>
    </row>
    <row r="2954" spans="7:7">
      <c r="G2954" s="149"/>
    </row>
    <row r="2955" spans="7:7">
      <c r="G2955" s="149"/>
    </row>
    <row r="2956" spans="7:7">
      <c r="G2956" s="149"/>
    </row>
    <row r="2957" spans="7:7">
      <c r="G2957" s="149"/>
    </row>
    <row r="2958" spans="7:7">
      <c r="G2958" s="149"/>
    </row>
    <row r="2959" spans="7:7">
      <c r="G2959" s="149"/>
    </row>
    <row r="2960" spans="7:7">
      <c r="G2960" s="149"/>
    </row>
    <row r="2961" spans="7:7">
      <c r="G2961" s="149"/>
    </row>
    <row r="2962" spans="7:7">
      <c r="G2962" s="149"/>
    </row>
    <row r="2963" spans="7:7">
      <c r="G2963" s="149"/>
    </row>
    <row r="2964" spans="7:7">
      <c r="G2964" s="149"/>
    </row>
    <row r="2965" spans="7:7">
      <c r="G2965" s="149"/>
    </row>
    <row r="2966" spans="7:7">
      <c r="G2966" s="149"/>
    </row>
    <row r="2967" spans="7:7">
      <c r="G2967" s="149"/>
    </row>
    <row r="2968" spans="7:7">
      <c r="G2968" s="149"/>
    </row>
    <row r="2969" spans="7:7">
      <c r="G2969" s="149"/>
    </row>
    <row r="2970" spans="7:7">
      <c r="G2970" s="149"/>
    </row>
    <row r="2971" spans="7:7">
      <c r="G2971" s="149"/>
    </row>
    <row r="2972" spans="7:7">
      <c r="G2972" s="149"/>
    </row>
    <row r="2973" spans="7:7">
      <c r="G2973" s="149"/>
    </row>
    <row r="2974" spans="7:7">
      <c r="G2974" s="149"/>
    </row>
    <row r="2975" spans="7:7">
      <c r="G2975" s="149"/>
    </row>
    <row r="2976" spans="7:7">
      <c r="G2976" s="149"/>
    </row>
    <row r="2977" spans="7:7">
      <c r="G2977" s="149"/>
    </row>
    <row r="2978" spans="7:7">
      <c r="G2978" s="149"/>
    </row>
    <row r="2979" spans="7:7">
      <c r="G2979" s="149"/>
    </row>
    <row r="2980" spans="7:7">
      <c r="G2980" s="149"/>
    </row>
    <row r="2981" spans="7:7">
      <c r="G2981" s="149"/>
    </row>
    <row r="2982" spans="7:7">
      <c r="G2982" s="149"/>
    </row>
    <row r="2983" spans="7:7">
      <c r="G2983" s="149"/>
    </row>
    <row r="2984" spans="7:7">
      <c r="G2984" s="149"/>
    </row>
    <row r="2985" spans="7:7">
      <c r="G2985" s="149"/>
    </row>
    <row r="2986" spans="7:7">
      <c r="G2986" s="149"/>
    </row>
    <row r="2987" spans="7:7">
      <c r="G2987" s="149"/>
    </row>
    <row r="2988" spans="7:7">
      <c r="G2988" s="149"/>
    </row>
    <row r="2989" spans="7:7">
      <c r="G2989" s="149"/>
    </row>
    <row r="2990" spans="7:7">
      <c r="G2990" s="149"/>
    </row>
    <row r="2991" spans="7:7">
      <c r="G2991" s="149"/>
    </row>
    <row r="2992" spans="7:7">
      <c r="G2992" s="149"/>
    </row>
    <row r="2993" spans="7:7">
      <c r="G2993" s="149"/>
    </row>
    <row r="2994" spans="7:7">
      <c r="G2994" s="149"/>
    </row>
    <row r="2995" spans="7:7">
      <c r="G2995" s="149"/>
    </row>
    <row r="2996" spans="7:7">
      <c r="G2996" s="149"/>
    </row>
    <row r="2997" spans="7:7">
      <c r="G2997" s="149"/>
    </row>
    <row r="2998" spans="7:7">
      <c r="G2998" s="149"/>
    </row>
    <row r="2999" spans="7:7">
      <c r="G2999" s="149"/>
    </row>
    <row r="3000" spans="7:7">
      <c r="G3000" s="149"/>
    </row>
    <row r="3001" spans="7:7">
      <c r="G3001" s="149"/>
    </row>
    <row r="3002" spans="7:7">
      <c r="G3002" s="149"/>
    </row>
    <row r="3003" spans="7:7">
      <c r="G3003" s="149"/>
    </row>
    <row r="3004" spans="7:7">
      <c r="G3004" s="149"/>
    </row>
    <row r="3005" spans="7:7">
      <c r="G3005" s="149"/>
    </row>
    <row r="3006" spans="7:7">
      <c r="G3006" s="149"/>
    </row>
    <row r="3007" spans="7:7">
      <c r="G3007" s="149"/>
    </row>
    <row r="3008" spans="7:7">
      <c r="G3008" s="149"/>
    </row>
    <row r="3009" spans="7:7">
      <c r="G3009" s="149"/>
    </row>
    <row r="3010" spans="7:7">
      <c r="G3010" s="149"/>
    </row>
    <row r="3011" spans="7:7">
      <c r="G3011" s="149"/>
    </row>
    <row r="3012" spans="7:7">
      <c r="G3012" s="149"/>
    </row>
    <row r="3013" spans="7:7">
      <c r="G3013" s="149"/>
    </row>
    <row r="3014" spans="7:7">
      <c r="G3014" s="149"/>
    </row>
    <row r="3015" spans="7:7">
      <c r="G3015" s="149"/>
    </row>
    <row r="3016" spans="7:7">
      <c r="G3016" s="149"/>
    </row>
    <row r="3017" spans="7:7">
      <c r="G3017" s="149"/>
    </row>
    <row r="3018" spans="7:7">
      <c r="G3018" s="149"/>
    </row>
    <row r="3019" spans="7:7">
      <c r="G3019" s="149"/>
    </row>
    <row r="3020" spans="7:7">
      <c r="G3020" s="149"/>
    </row>
    <row r="3021" spans="7:7">
      <c r="G3021" s="149"/>
    </row>
    <row r="3022" spans="7:7">
      <c r="G3022" s="149"/>
    </row>
    <row r="3023" spans="7:7">
      <c r="G3023" s="149"/>
    </row>
    <row r="3024" spans="7:7">
      <c r="G3024" s="149"/>
    </row>
    <row r="3025" spans="7:7">
      <c r="G3025" s="149"/>
    </row>
    <row r="3026" spans="7:7">
      <c r="G3026" s="149"/>
    </row>
    <row r="3027" spans="7:7">
      <c r="G3027" s="149"/>
    </row>
    <row r="3028" spans="7:7">
      <c r="G3028" s="149"/>
    </row>
    <row r="3029" spans="7:7">
      <c r="G3029" s="149"/>
    </row>
    <row r="3030" spans="7:7">
      <c r="G3030" s="149"/>
    </row>
    <row r="3031" spans="7:7">
      <c r="G3031" s="149"/>
    </row>
    <row r="3032" spans="7:7">
      <c r="G3032" s="149"/>
    </row>
    <row r="3033" spans="7:7">
      <c r="G3033" s="149"/>
    </row>
    <row r="3034" spans="7:7">
      <c r="G3034" s="149"/>
    </row>
    <row r="3035" spans="7:7">
      <c r="G3035" s="149"/>
    </row>
    <row r="3036" spans="7:7">
      <c r="G3036" s="149"/>
    </row>
    <row r="3037" spans="7:7">
      <c r="G3037" s="149"/>
    </row>
    <row r="3038" spans="7:7">
      <c r="G3038" s="149"/>
    </row>
    <row r="3039" spans="7:7">
      <c r="G3039" s="149"/>
    </row>
    <row r="3040" spans="7:7">
      <c r="G3040" s="149"/>
    </row>
    <row r="3041" spans="7:7">
      <c r="G3041" s="149"/>
    </row>
    <row r="3042" spans="7:7">
      <c r="G3042" s="149"/>
    </row>
    <row r="3043" spans="7:7">
      <c r="G3043" s="149"/>
    </row>
    <row r="3044" spans="7:7">
      <c r="G3044" s="149"/>
    </row>
    <row r="3045" spans="7:7">
      <c r="G3045" s="149"/>
    </row>
    <row r="3046" spans="7:7">
      <c r="G3046" s="149"/>
    </row>
    <row r="3047" spans="7:7">
      <c r="G3047" s="149"/>
    </row>
    <row r="3048" spans="7:7">
      <c r="G3048" s="149"/>
    </row>
    <row r="3049" spans="7:7">
      <c r="G3049" s="149"/>
    </row>
    <row r="3050" spans="7:7">
      <c r="G3050" s="149"/>
    </row>
    <row r="3051" spans="7:7">
      <c r="G3051" s="149"/>
    </row>
    <row r="3052" spans="7:7">
      <c r="G3052" s="149"/>
    </row>
    <row r="3053" spans="7:7">
      <c r="G3053" s="149"/>
    </row>
    <row r="3054" spans="7:7">
      <c r="G3054" s="149"/>
    </row>
    <row r="3055" spans="7:7">
      <c r="G3055" s="149"/>
    </row>
    <row r="3056" spans="7:7">
      <c r="G3056" s="149"/>
    </row>
    <row r="3057" spans="7:7">
      <c r="G3057" s="149"/>
    </row>
    <row r="3058" spans="7:7">
      <c r="G3058" s="149"/>
    </row>
    <row r="3059" spans="7:7">
      <c r="G3059" s="149"/>
    </row>
    <row r="3060" spans="7:7">
      <c r="G3060" s="149"/>
    </row>
    <row r="3061" spans="7:7">
      <c r="G3061" s="149"/>
    </row>
    <row r="3062" spans="7:7">
      <c r="G3062" s="149"/>
    </row>
    <row r="3063" spans="7:7">
      <c r="G3063" s="149"/>
    </row>
    <row r="3064" spans="7:7">
      <c r="G3064" s="149"/>
    </row>
    <row r="3065" spans="7:7">
      <c r="G3065" s="149"/>
    </row>
    <row r="3066" spans="7:7">
      <c r="G3066" s="149"/>
    </row>
    <row r="3067" spans="7:7">
      <c r="G3067" s="149"/>
    </row>
    <row r="3068" spans="7:7">
      <c r="G3068" s="149"/>
    </row>
    <row r="3069" spans="7:7">
      <c r="G3069" s="149"/>
    </row>
    <row r="3070" spans="7:7">
      <c r="G3070" s="149"/>
    </row>
    <row r="3071" spans="7:7">
      <c r="G3071" s="149"/>
    </row>
    <row r="3072" spans="7:7">
      <c r="G3072" s="149"/>
    </row>
    <row r="3073" spans="7:7">
      <c r="G3073" s="149"/>
    </row>
    <row r="3074" spans="7:7">
      <c r="G3074" s="149"/>
    </row>
    <row r="3075" spans="7:7">
      <c r="G3075" s="149"/>
    </row>
    <row r="3076" spans="7:7">
      <c r="G3076" s="149"/>
    </row>
    <row r="3077" spans="7:7">
      <c r="G3077" s="149"/>
    </row>
    <row r="3078" spans="7:7">
      <c r="G3078" s="149"/>
    </row>
    <row r="3079" spans="7:7">
      <c r="G3079" s="149"/>
    </row>
    <row r="3080" spans="7:7">
      <c r="G3080" s="149"/>
    </row>
    <row r="3081" spans="7:7">
      <c r="G3081" s="149"/>
    </row>
    <row r="3082" spans="7:7">
      <c r="G3082" s="149"/>
    </row>
    <row r="3083" spans="7:7">
      <c r="G3083" s="149"/>
    </row>
    <row r="3084" spans="7:7">
      <c r="G3084" s="149"/>
    </row>
    <row r="3085" spans="7:7">
      <c r="G3085" s="149"/>
    </row>
    <row r="3086" spans="7:7">
      <c r="G3086" s="149"/>
    </row>
    <row r="3087" spans="7:7">
      <c r="G3087" s="149"/>
    </row>
    <row r="3088" spans="7:7">
      <c r="G3088" s="149"/>
    </row>
    <row r="3089" spans="7:7">
      <c r="G3089" s="149"/>
    </row>
    <row r="3090" spans="7:7">
      <c r="G3090" s="149"/>
    </row>
    <row r="3091" spans="7:7">
      <c r="G3091" s="149"/>
    </row>
    <row r="3092" spans="7:7">
      <c r="G3092" s="149"/>
    </row>
    <row r="3093" spans="7:7">
      <c r="G3093" s="149"/>
    </row>
    <row r="3094" spans="7:7">
      <c r="G3094" s="149"/>
    </row>
    <row r="3095" spans="7:7">
      <c r="G3095" s="149"/>
    </row>
    <row r="3096" spans="7:7">
      <c r="G3096" s="149"/>
    </row>
    <row r="3097" spans="7:7">
      <c r="G3097" s="149"/>
    </row>
    <row r="3098" spans="7:7">
      <c r="G3098" s="149"/>
    </row>
    <row r="3099" spans="7:7">
      <c r="G3099" s="149"/>
    </row>
    <row r="3100" spans="7:7">
      <c r="G3100" s="149"/>
    </row>
    <row r="3101" spans="7:7">
      <c r="G3101" s="149"/>
    </row>
    <row r="3102" spans="7:7">
      <c r="G3102" s="149"/>
    </row>
    <row r="3103" spans="7:7">
      <c r="G3103" s="149"/>
    </row>
    <row r="3104" spans="7:7">
      <c r="G3104" s="149"/>
    </row>
    <row r="3105" spans="7:7">
      <c r="G3105" s="149"/>
    </row>
    <row r="3106" spans="7:7">
      <c r="G3106" s="149"/>
    </row>
    <row r="3107" spans="7:7">
      <c r="G3107" s="149"/>
    </row>
    <row r="3108" spans="7:7">
      <c r="G3108" s="149"/>
    </row>
    <row r="3109" spans="7:7">
      <c r="G3109" s="149"/>
    </row>
    <row r="3110" spans="7:7">
      <c r="G3110" s="149"/>
    </row>
    <row r="3111" spans="7:7">
      <c r="G3111" s="149"/>
    </row>
    <row r="3112" spans="7:7">
      <c r="G3112" s="149"/>
    </row>
    <row r="3113" spans="7:7">
      <c r="G3113" s="149"/>
    </row>
    <row r="3114" spans="7:7">
      <c r="G3114" s="149"/>
    </row>
    <row r="3115" spans="7:7">
      <c r="G3115" s="149"/>
    </row>
    <row r="3116" spans="7:7">
      <c r="G3116" s="149"/>
    </row>
    <row r="3117" spans="7:7">
      <c r="G3117" s="149"/>
    </row>
    <row r="3118" spans="7:7">
      <c r="G3118" s="149"/>
    </row>
    <row r="3119" spans="7:7">
      <c r="G3119" s="149"/>
    </row>
    <row r="3120" spans="7:7">
      <c r="G3120" s="149"/>
    </row>
    <row r="3121" spans="7:7">
      <c r="G3121" s="149"/>
    </row>
    <row r="3122" spans="7:7">
      <c r="G3122" s="149"/>
    </row>
    <row r="3123" spans="7:7">
      <c r="G3123" s="149"/>
    </row>
    <row r="3124" spans="7:7">
      <c r="G3124" s="149"/>
    </row>
    <row r="3125" spans="7:7">
      <c r="G3125" s="149"/>
    </row>
    <row r="3126" spans="7:7">
      <c r="G3126" s="149"/>
    </row>
    <row r="3127" spans="7:7">
      <c r="G3127" s="149"/>
    </row>
    <row r="3128" spans="7:7">
      <c r="G3128" s="149"/>
    </row>
    <row r="3129" spans="7:7">
      <c r="G3129" s="149"/>
    </row>
    <row r="3130" spans="7:7">
      <c r="G3130" s="149"/>
    </row>
    <row r="3131" spans="7:7">
      <c r="G3131" s="149"/>
    </row>
    <row r="3132" spans="7:7">
      <c r="G3132" s="149"/>
    </row>
    <row r="3133" spans="7:7">
      <c r="G3133" s="149"/>
    </row>
    <row r="3134" spans="7:7">
      <c r="G3134" s="149"/>
    </row>
    <row r="3135" spans="7:7">
      <c r="G3135" s="149"/>
    </row>
    <row r="3136" spans="7:7">
      <c r="G3136" s="149"/>
    </row>
    <row r="3137" spans="7:7">
      <c r="G3137" s="149"/>
    </row>
    <row r="3138" spans="7:7">
      <c r="G3138" s="149"/>
    </row>
    <row r="3139" spans="7:7">
      <c r="G3139" s="149"/>
    </row>
    <row r="3140" spans="7:7">
      <c r="G3140" s="149"/>
    </row>
    <row r="3141" spans="7:7">
      <c r="G3141" s="149"/>
    </row>
    <row r="3142" spans="7:7">
      <c r="G3142" s="149"/>
    </row>
    <row r="3143" spans="7:7">
      <c r="G3143" s="149"/>
    </row>
    <row r="3144" spans="7:7">
      <c r="G3144" s="149"/>
    </row>
    <row r="3145" spans="7:7">
      <c r="G3145" s="149"/>
    </row>
    <row r="3146" spans="7:7">
      <c r="G3146" s="149"/>
    </row>
    <row r="3147" spans="7:7">
      <c r="G3147" s="149"/>
    </row>
    <row r="3148" spans="7:7">
      <c r="G3148" s="149"/>
    </row>
    <row r="3149" spans="7:7">
      <c r="G3149" s="149"/>
    </row>
    <row r="3150" spans="7:7">
      <c r="G3150" s="149"/>
    </row>
    <row r="3151" spans="7:7">
      <c r="G3151" s="149"/>
    </row>
    <row r="3152" spans="7:7">
      <c r="G3152" s="149"/>
    </row>
    <row r="3153" spans="7:7">
      <c r="G3153" s="149"/>
    </row>
    <row r="3154" spans="7:7">
      <c r="G3154" s="149"/>
    </row>
    <row r="3155" spans="7:7">
      <c r="G3155" s="149"/>
    </row>
    <row r="3156" spans="7:7">
      <c r="G3156" s="149"/>
    </row>
    <row r="3157" spans="7:7">
      <c r="G3157" s="149"/>
    </row>
    <row r="3158" spans="7:7">
      <c r="G3158" s="149"/>
    </row>
    <row r="3159" spans="7:7">
      <c r="G3159" s="149"/>
    </row>
    <row r="3160" spans="7:7">
      <c r="G3160" s="149"/>
    </row>
    <row r="3161" spans="7:7">
      <c r="G3161" s="149"/>
    </row>
    <row r="3162" spans="7:7">
      <c r="G3162" s="149"/>
    </row>
    <row r="3163" spans="7:7">
      <c r="G3163" s="149"/>
    </row>
    <row r="3164" spans="7:7">
      <c r="G3164" s="149"/>
    </row>
    <row r="3165" spans="7:7">
      <c r="G3165" s="149"/>
    </row>
    <row r="3166" spans="7:7">
      <c r="G3166" s="149"/>
    </row>
    <row r="3167" spans="7:7">
      <c r="G3167" s="149"/>
    </row>
    <row r="3168" spans="7:7">
      <c r="G3168" s="149"/>
    </row>
    <row r="3169" spans="7:7">
      <c r="G3169" s="149"/>
    </row>
    <row r="3170" spans="7:7">
      <c r="G3170" s="149"/>
    </row>
    <row r="3171" spans="7:7">
      <c r="G3171" s="149"/>
    </row>
    <row r="3172" spans="7:7">
      <c r="G3172" s="149"/>
    </row>
    <row r="3173" spans="7:7">
      <c r="G3173" s="149"/>
    </row>
    <row r="3174" spans="7:7">
      <c r="G3174" s="149"/>
    </row>
    <row r="3175" spans="7:7">
      <c r="G3175" s="149"/>
    </row>
    <row r="3176" spans="7:7">
      <c r="G3176" s="149"/>
    </row>
    <row r="3177" spans="7:7">
      <c r="G3177" s="149"/>
    </row>
    <row r="3178" spans="7:7">
      <c r="G3178" s="149"/>
    </row>
    <row r="3179" spans="7:7">
      <c r="G3179" s="149"/>
    </row>
    <row r="3180" spans="7:7">
      <c r="G3180" s="149"/>
    </row>
    <row r="3181" spans="7:7">
      <c r="G3181" s="149"/>
    </row>
    <row r="3182" spans="7:7">
      <c r="G3182" s="149"/>
    </row>
    <row r="3183" spans="7:7">
      <c r="G3183" s="149"/>
    </row>
    <row r="3184" spans="7:7">
      <c r="G3184" s="149"/>
    </row>
    <row r="3185" spans="7:7">
      <c r="G3185" s="149"/>
    </row>
    <row r="3186" spans="7:7">
      <c r="G3186" s="149"/>
    </row>
    <row r="3187" spans="7:7">
      <c r="G3187" s="149"/>
    </row>
    <row r="3188" spans="7:7">
      <c r="G3188" s="149"/>
    </row>
    <row r="3189" spans="7:7">
      <c r="G3189" s="149"/>
    </row>
    <row r="3190" spans="7:7">
      <c r="G3190" s="149"/>
    </row>
    <row r="3191" spans="7:7">
      <c r="G3191" s="149"/>
    </row>
    <row r="3192" spans="7:7">
      <c r="G3192" s="149"/>
    </row>
    <row r="3193" spans="7:7">
      <c r="G3193" s="149"/>
    </row>
    <row r="3194" spans="7:7">
      <c r="G3194" s="149"/>
    </row>
    <row r="3195" spans="7:7">
      <c r="G3195" s="149"/>
    </row>
    <row r="3196" spans="7:7">
      <c r="G3196" s="149"/>
    </row>
    <row r="3197" spans="7:7">
      <c r="G3197" s="149"/>
    </row>
    <row r="3198" spans="7:7">
      <c r="G3198" s="149"/>
    </row>
    <row r="3199" spans="7:7">
      <c r="G3199" s="149"/>
    </row>
    <row r="3200" spans="7:7">
      <c r="G3200" s="149"/>
    </row>
    <row r="3201" spans="7:7">
      <c r="G3201" s="149"/>
    </row>
    <row r="3202" spans="7:7">
      <c r="G3202" s="149"/>
    </row>
    <row r="3203" spans="7:7">
      <c r="G3203" s="149"/>
    </row>
    <row r="3204" spans="7:7">
      <c r="G3204" s="149"/>
    </row>
    <row r="3205" spans="7:7">
      <c r="G3205" s="149"/>
    </row>
    <row r="3206" spans="7:7">
      <c r="G3206" s="149"/>
    </row>
    <row r="3207" spans="7:7">
      <c r="G3207" s="149"/>
    </row>
    <row r="3208" spans="7:7">
      <c r="G3208" s="149"/>
    </row>
    <row r="3209" spans="7:7">
      <c r="G3209" s="149"/>
    </row>
    <row r="3210" spans="7:7">
      <c r="G3210" s="149"/>
    </row>
    <row r="3211" spans="7:7">
      <c r="G3211" s="149"/>
    </row>
    <row r="3212" spans="7:7">
      <c r="G3212" s="149"/>
    </row>
    <row r="3213" spans="7:7">
      <c r="G3213" s="149"/>
    </row>
    <row r="3214" spans="7:7">
      <c r="G3214" s="149"/>
    </row>
    <row r="3215" spans="7:7">
      <c r="G3215" s="149"/>
    </row>
    <row r="3216" spans="7:7">
      <c r="G3216" s="149"/>
    </row>
    <row r="3217" spans="7:7">
      <c r="G3217" s="149"/>
    </row>
    <row r="3218" spans="7:7">
      <c r="G3218" s="149"/>
    </row>
    <row r="3219" spans="7:7">
      <c r="G3219" s="149"/>
    </row>
    <row r="3220" spans="7:7">
      <c r="G3220" s="149"/>
    </row>
    <row r="3221" spans="7:7">
      <c r="G3221" s="149"/>
    </row>
    <row r="3222" spans="7:7">
      <c r="G3222" s="149"/>
    </row>
    <row r="3223" spans="7:7">
      <c r="G3223" s="149"/>
    </row>
    <row r="3224" spans="7:7">
      <c r="G3224" s="149"/>
    </row>
    <row r="3225" spans="7:7">
      <c r="G3225" s="149"/>
    </row>
    <row r="3226" spans="7:7">
      <c r="G3226" s="149"/>
    </row>
    <row r="3227" spans="7:7">
      <c r="G3227" s="149"/>
    </row>
    <row r="3228" spans="7:7">
      <c r="G3228" s="149"/>
    </row>
    <row r="3229" spans="7:7">
      <c r="G3229" s="149"/>
    </row>
    <row r="3230" spans="7:7">
      <c r="G3230" s="149"/>
    </row>
    <row r="3231" spans="7:7">
      <c r="G3231" s="149"/>
    </row>
    <row r="3232" spans="7:7">
      <c r="G3232" s="149"/>
    </row>
    <row r="3233" spans="7:7">
      <c r="G3233" s="149"/>
    </row>
    <row r="3234" spans="7:7">
      <c r="G3234" s="149"/>
    </row>
    <row r="3235" spans="7:7">
      <c r="G3235" s="149"/>
    </row>
    <row r="3236" spans="7:7">
      <c r="G3236" s="149"/>
    </row>
    <row r="3237" spans="7:7">
      <c r="G3237" s="149"/>
    </row>
    <row r="3238" spans="7:7">
      <c r="G3238" s="149"/>
    </row>
    <row r="3239" spans="7:7">
      <c r="G3239" s="149"/>
    </row>
    <row r="3240" spans="7:7">
      <c r="G3240" s="149"/>
    </row>
    <row r="3241" spans="7:7">
      <c r="G3241" s="149"/>
    </row>
    <row r="3242" spans="7:7">
      <c r="G3242" s="149"/>
    </row>
    <row r="3243" spans="7:7">
      <c r="G3243" s="149"/>
    </row>
    <row r="3244" spans="7:7">
      <c r="G3244" s="149"/>
    </row>
    <row r="3245" spans="7:7">
      <c r="G3245" s="149"/>
    </row>
    <row r="3246" spans="7:7">
      <c r="G3246" s="149"/>
    </row>
    <row r="3247" spans="7:7">
      <c r="G3247" s="149"/>
    </row>
    <row r="3248" spans="7:7">
      <c r="G3248" s="149"/>
    </row>
    <row r="3249" spans="7:7">
      <c r="G3249" s="149"/>
    </row>
    <row r="3250" spans="7:7">
      <c r="G3250" s="149"/>
    </row>
    <row r="3251" spans="7:7">
      <c r="G3251" s="149"/>
    </row>
    <row r="3252" spans="7:7">
      <c r="G3252" s="149"/>
    </row>
    <row r="3253" spans="7:7">
      <c r="G3253" s="149"/>
    </row>
    <row r="3254" spans="7:7">
      <c r="G3254" s="149"/>
    </row>
    <row r="3255" spans="7:7">
      <c r="G3255" s="149"/>
    </row>
    <row r="3256" spans="7:7">
      <c r="G3256" s="149"/>
    </row>
    <row r="3257" spans="7:7">
      <c r="G3257" s="149"/>
    </row>
    <row r="3258" spans="7:7">
      <c r="G3258" s="149"/>
    </row>
    <row r="3259" spans="7:7">
      <c r="G3259" s="149"/>
    </row>
    <row r="3260" spans="7:7">
      <c r="G3260" s="149"/>
    </row>
    <row r="3261" spans="7:7">
      <c r="G3261" s="149"/>
    </row>
    <row r="3262" spans="7:7">
      <c r="G3262" s="149"/>
    </row>
    <row r="3263" spans="7:7">
      <c r="G3263" s="149"/>
    </row>
    <row r="3264" spans="7:7">
      <c r="G3264" s="149"/>
    </row>
    <row r="3265" spans="7:7">
      <c r="G3265" s="149"/>
    </row>
    <row r="3266" spans="7:7">
      <c r="G3266" s="149"/>
    </row>
    <row r="3267" spans="7:7">
      <c r="G3267" s="149"/>
    </row>
    <row r="3268" spans="7:7">
      <c r="G3268" s="149"/>
    </row>
    <row r="3269" spans="7:7">
      <c r="G3269" s="149"/>
    </row>
    <row r="3270" spans="7:7">
      <c r="G3270" s="149"/>
    </row>
    <row r="3271" spans="7:7">
      <c r="G3271" s="149"/>
    </row>
    <row r="3272" spans="7:7">
      <c r="G3272" s="149"/>
    </row>
    <row r="3273" spans="7:7">
      <c r="G3273" s="149"/>
    </row>
    <row r="3274" spans="7:7">
      <c r="G3274" s="149"/>
    </row>
    <row r="3275" spans="7:7">
      <c r="G3275" s="149"/>
    </row>
    <row r="3276" spans="7:7">
      <c r="G3276" s="149"/>
    </row>
    <row r="3277" spans="7:7">
      <c r="G3277" s="149"/>
    </row>
    <row r="3278" spans="7:7">
      <c r="G3278" s="149"/>
    </row>
    <row r="3279" spans="7:7">
      <c r="G3279" s="149"/>
    </row>
    <row r="3280" spans="7:7">
      <c r="G3280" s="149"/>
    </row>
    <row r="3281" spans="7:7">
      <c r="G3281" s="149"/>
    </row>
    <row r="3282" spans="7:7">
      <c r="G3282" s="149"/>
    </row>
    <row r="3283" spans="7:7">
      <c r="G3283" s="149"/>
    </row>
    <row r="3284" spans="7:7">
      <c r="G3284" s="149"/>
    </row>
    <row r="3285" spans="7:7">
      <c r="G3285" s="149"/>
    </row>
    <row r="3286" spans="7:7">
      <c r="G3286" s="149"/>
    </row>
    <row r="3287" spans="7:7">
      <c r="G3287" s="149"/>
    </row>
    <row r="3288" spans="7:7">
      <c r="G3288" s="149"/>
    </row>
    <row r="3289" spans="7:7">
      <c r="G3289" s="149"/>
    </row>
    <row r="3290" spans="7:7">
      <c r="G3290" s="149"/>
    </row>
    <row r="3291" spans="7:7">
      <c r="G3291" s="149"/>
    </row>
    <row r="3292" spans="7:7">
      <c r="G3292" s="149"/>
    </row>
    <row r="3293" spans="7:7">
      <c r="G3293" s="149"/>
    </row>
    <row r="3294" spans="7:7">
      <c r="G3294" s="149"/>
    </row>
    <row r="3295" spans="7:7">
      <c r="G3295" s="149"/>
    </row>
    <row r="3296" spans="7:7">
      <c r="G3296" s="149"/>
    </row>
    <row r="3297" spans="7:7">
      <c r="G3297" s="149"/>
    </row>
    <row r="3298" spans="7:7">
      <c r="G3298" s="149"/>
    </row>
    <row r="3299" spans="7:7">
      <c r="G3299" s="149"/>
    </row>
    <row r="3300" spans="7:7">
      <c r="G3300" s="149"/>
    </row>
    <row r="3301" spans="7:7">
      <c r="G3301" s="149"/>
    </row>
    <row r="3302" spans="7:7">
      <c r="G3302" s="149"/>
    </row>
    <row r="3303" spans="7:7">
      <c r="G3303" s="149"/>
    </row>
    <row r="3304" spans="7:7">
      <c r="G3304" s="149"/>
    </row>
    <row r="3305" spans="7:7">
      <c r="G3305" s="149"/>
    </row>
    <row r="3306" spans="7:7">
      <c r="G3306" s="149"/>
    </row>
    <row r="3307" spans="7:7">
      <c r="G3307" s="149"/>
    </row>
    <row r="3308" spans="7:7">
      <c r="G3308" s="149"/>
    </row>
    <row r="3309" spans="7:7">
      <c r="G3309" s="149"/>
    </row>
    <row r="3310" spans="7:7">
      <c r="G3310" s="149"/>
    </row>
    <row r="3311" spans="7:7">
      <c r="G3311" s="149"/>
    </row>
    <row r="3312" spans="7:7">
      <c r="G3312" s="149"/>
    </row>
    <row r="3313" spans="7:7">
      <c r="G3313" s="149"/>
    </row>
    <row r="3314" spans="7:7">
      <c r="G3314" s="149"/>
    </row>
    <row r="3315" spans="7:7">
      <c r="G3315" s="149"/>
    </row>
    <row r="3316" spans="7:7">
      <c r="G3316" s="149"/>
    </row>
    <row r="3317" spans="7:7">
      <c r="G3317" s="149"/>
    </row>
    <row r="3318" spans="7:7">
      <c r="G3318" s="149"/>
    </row>
    <row r="3319" spans="7:7">
      <c r="G3319" s="149"/>
    </row>
    <row r="3320" spans="7:7">
      <c r="G3320" s="149"/>
    </row>
    <row r="3321" spans="7:7">
      <c r="G3321" s="149"/>
    </row>
    <row r="3322" spans="7:7">
      <c r="G3322" s="149"/>
    </row>
    <row r="3323" spans="7:7">
      <c r="G3323" s="149"/>
    </row>
    <row r="3324" spans="7:7">
      <c r="G3324" s="149"/>
    </row>
    <row r="3325" spans="7:7">
      <c r="G3325" s="149"/>
    </row>
    <row r="3326" spans="7:7">
      <c r="G3326" s="149"/>
    </row>
    <row r="3327" spans="7:7">
      <c r="G3327" s="149"/>
    </row>
    <row r="3328" spans="7:7">
      <c r="G3328" s="149"/>
    </row>
    <row r="3329" spans="7:7">
      <c r="G3329" s="149"/>
    </row>
    <row r="3330" spans="7:7">
      <c r="G3330" s="149"/>
    </row>
    <row r="3331" spans="7:7">
      <c r="G3331" s="149"/>
    </row>
    <row r="3332" spans="7:7">
      <c r="G3332" s="149"/>
    </row>
    <row r="3333" spans="7:7">
      <c r="G3333" s="149"/>
    </row>
    <row r="3334" spans="7:7">
      <c r="G3334" s="149"/>
    </row>
    <row r="3335" spans="7:7">
      <c r="G3335" s="149"/>
    </row>
    <row r="3336" spans="7:7">
      <c r="G3336" s="149"/>
    </row>
    <row r="3337" spans="7:7">
      <c r="G3337" s="149"/>
    </row>
    <row r="3338" spans="7:7">
      <c r="G3338" s="149"/>
    </row>
    <row r="3339" spans="7:7">
      <c r="G3339" s="149"/>
    </row>
    <row r="3340" spans="7:7">
      <c r="G3340" s="149"/>
    </row>
    <row r="3341" spans="7:7">
      <c r="G3341" s="149"/>
    </row>
    <row r="3342" spans="7:7">
      <c r="G3342" s="149"/>
    </row>
    <row r="3343" spans="7:7">
      <c r="G3343" s="149"/>
    </row>
    <row r="3344" spans="7:7">
      <c r="G3344" s="149"/>
    </row>
    <row r="3345" spans="7:7">
      <c r="G3345" s="149"/>
    </row>
    <row r="3346" spans="7:7">
      <c r="G3346" s="149"/>
    </row>
    <row r="3347" spans="7:7">
      <c r="G3347" s="149"/>
    </row>
    <row r="3348" spans="7:7">
      <c r="G3348" s="149"/>
    </row>
    <row r="3349" spans="7:7">
      <c r="G3349" s="149"/>
    </row>
    <row r="3350" spans="7:7">
      <c r="G3350" s="149"/>
    </row>
    <row r="3351" spans="7:7">
      <c r="G3351" s="149"/>
    </row>
    <row r="3352" spans="7:7">
      <c r="G3352" s="149"/>
    </row>
    <row r="3353" spans="7:7">
      <c r="G3353" s="149"/>
    </row>
    <row r="3354" spans="7:7">
      <c r="G3354" s="149"/>
    </row>
    <row r="3355" spans="7:7">
      <c r="G3355" s="149"/>
    </row>
    <row r="3356" spans="7:7">
      <c r="G3356" s="149"/>
    </row>
    <row r="3357" spans="7:7">
      <c r="G3357" s="149"/>
    </row>
    <row r="3358" spans="7:7">
      <c r="G3358" s="149"/>
    </row>
    <row r="3359" spans="7:7">
      <c r="G3359" s="149"/>
    </row>
    <row r="3360" spans="7:7">
      <c r="G3360" s="149"/>
    </row>
    <row r="3361" spans="7:7">
      <c r="G3361" s="149"/>
    </row>
    <row r="3362" spans="7:7">
      <c r="G3362" s="149"/>
    </row>
    <row r="3363" spans="7:7">
      <c r="G3363" s="149"/>
    </row>
    <row r="3364" spans="7:7">
      <c r="G3364" s="149"/>
    </row>
    <row r="3365" spans="7:7">
      <c r="G3365" s="149"/>
    </row>
    <row r="3366" spans="7:7">
      <c r="G3366" s="149"/>
    </row>
    <row r="3367" spans="7:7">
      <c r="G3367" s="149"/>
    </row>
    <row r="3368" spans="7:7">
      <c r="G3368" s="149"/>
    </row>
    <row r="3369" spans="7:7">
      <c r="G3369" s="149"/>
    </row>
    <row r="3370" spans="7:7">
      <c r="G3370" s="149"/>
    </row>
    <row r="3371" spans="7:7">
      <c r="G3371" s="149"/>
    </row>
    <row r="3372" spans="7:7">
      <c r="G3372" s="149"/>
    </row>
    <row r="3373" spans="7:7">
      <c r="G3373" s="149"/>
    </row>
    <row r="3374" spans="7:7">
      <c r="G3374" s="149"/>
    </row>
    <row r="3375" spans="7:7">
      <c r="G3375" s="149"/>
    </row>
    <row r="3376" spans="7:7">
      <c r="G3376" s="149"/>
    </row>
    <row r="3377" spans="7:7">
      <c r="G3377" s="149"/>
    </row>
    <row r="3378" spans="7:7">
      <c r="G3378" s="149"/>
    </row>
    <row r="3379" spans="7:7">
      <c r="G3379" s="149"/>
    </row>
    <row r="3380" spans="7:7">
      <c r="G3380" s="149"/>
    </row>
    <row r="3381" spans="7:7">
      <c r="G3381" s="149"/>
    </row>
    <row r="3382" spans="7:7">
      <c r="G3382" s="149"/>
    </row>
    <row r="3383" spans="7:7">
      <c r="G3383" s="149"/>
    </row>
    <row r="3384" spans="7:7">
      <c r="G3384" s="149"/>
    </row>
    <row r="3385" spans="7:7">
      <c r="G3385" s="149"/>
    </row>
    <row r="3386" spans="7:7">
      <c r="G3386" s="149"/>
    </row>
    <row r="3387" spans="7:7">
      <c r="G3387" s="149"/>
    </row>
    <row r="3388" spans="7:7">
      <c r="G3388" s="149"/>
    </row>
    <row r="3389" spans="7:7">
      <c r="G3389" s="149"/>
    </row>
    <row r="3390" spans="7:7">
      <c r="G3390" s="149"/>
    </row>
    <row r="3391" spans="7:7">
      <c r="G3391" s="149"/>
    </row>
    <row r="3392" spans="7:7">
      <c r="G3392" s="149"/>
    </row>
    <row r="3393" spans="7:7">
      <c r="G3393" s="149"/>
    </row>
    <row r="3394" spans="7:7">
      <c r="G3394" s="149"/>
    </row>
    <row r="3395" spans="7:7">
      <c r="G3395" s="149"/>
    </row>
    <row r="3396" spans="7:7">
      <c r="G3396" s="149"/>
    </row>
    <row r="3397" spans="7:7">
      <c r="G3397" s="149"/>
    </row>
    <row r="3398" spans="7:7">
      <c r="G3398" s="149"/>
    </row>
    <row r="3399" spans="7:7">
      <c r="G3399" s="149"/>
    </row>
    <row r="3400" spans="7:7">
      <c r="G3400" s="149"/>
    </row>
    <row r="3401" spans="7:7">
      <c r="G3401" s="149"/>
    </row>
    <row r="3402" spans="7:7">
      <c r="G3402" s="149"/>
    </row>
    <row r="3403" spans="7:7">
      <c r="G3403" s="149"/>
    </row>
    <row r="3404" spans="7:7">
      <c r="G3404" s="149"/>
    </row>
    <row r="3405" spans="7:7">
      <c r="G3405" s="149"/>
    </row>
    <row r="3406" spans="7:7">
      <c r="G3406" s="149"/>
    </row>
    <row r="3407" spans="7:7">
      <c r="G3407" s="149"/>
    </row>
    <row r="3408" spans="7:7">
      <c r="G3408" s="149"/>
    </row>
    <row r="3409" spans="7:7">
      <c r="G3409" s="149"/>
    </row>
    <row r="3410" spans="7:7">
      <c r="G3410" s="149"/>
    </row>
    <row r="3411" spans="7:7">
      <c r="G3411" s="149"/>
    </row>
    <row r="3412" spans="7:7">
      <c r="G3412" s="149"/>
    </row>
    <row r="3413" spans="7:7">
      <c r="G3413" s="149"/>
    </row>
    <row r="3414" spans="7:7">
      <c r="G3414" s="149"/>
    </row>
    <row r="3415" spans="7:7">
      <c r="G3415" s="149"/>
    </row>
    <row r="3416" spans="7:7">
      <c r="G3416" s="149"/>
    </row>
    <row r="3417" spans="7:7">
      <c r="G3417" s="149"/>
    </row>
    <row r="3418" spans="7:7">
      <c r="G3418" s="149"/>
    </row>
    <row r="3419" spans="7:7">
      <c r="G3419" s="149"/>
    </row>
    <row r="3420" spans="7:7">
      <c r="G3420" s="149"/>
    </row>
    <row r="3421" spans="7:7">
      <c r="G3421" s="149"/>
    </row>
    <row r="3422" spans="7:7">
      <c r="G3422" s="149"/>
    </row>
    <row r="3423" spans="7:7">
      <c r="G3423" s="149"/>
    </row>
    <row r="3424" spans="7:7">
      <c r="G3424" s="149"/>
    </row>
    <row r="3425" spans="7:7">
      <c r="G3425" s="149"/>
    </row>
    <row r="3426" spans="7:7">
      <c r="G3426" s="149"/>
    </row>
    <row r="3427" spans="7:7">
      <c r="G3427" s="149"/>
    </row>
    <row r="3428" spans="7:7">
      <c r="G3428" s="149"/>
    </row>
    <row r="3429" spans="7:7">
      <c r="G3429" s="149"/>
    </row>
    <row r="3430" spans="7:7">
      <c r="G3430" s="149"/>
    </row>
    <row r="3431" spans="7:7">
      <c r="G3431" s="149"/>
    </row>
    <row r="3432" spans="7:7">
      <c r="G3432" s="149"/>
    </row>
    <row r="3433" spans="7:7">
      <c r="G3433" s="149"/>
    </row>
    <row r="3434" spans="7:7">
      <c r="G3434" s="149"/>
    </row>
    <row r="3435" spans="7:7">
      <c r="G3435" s="149"/>
    </row>
    <row r="3436" spans="7:7">
      <c r="G3436" s="149"/>
    </row>
    <row r="3437" spans="7:7">
      <c r="G3437" s="149"/>
    </row>
    <row r="3438" spans="7:7">
      <c r="G3438" s="149"/>
    </row>
    <row r="3439" spans="7:7">
      <c r="G3439" s="149"/>
    </row>
    <row r="3440" spans="7:7">
      <c r="G3440" s="149"/>
    </row>
    <row r="3441" spans="7:7">
      <c r="G3441" s="149"/>
    </row>
    <row r="3442" spans="7:7">
      <c r="G3442" s="149"/>
    </row>
    <row r="3443" spans="7:7">
      <c r="G3443" s="149"/>
    </row>
    <row r="3444" spans="7:7">
      <c r="G3444" s="149"/>
    </row>
    <row r="3445" spans="7:7">
      <c r="G3445" s="149"/>
    </row>
    <row r="3446" spans="7:7">
      <c r="G3446" s="149"/>
    </row>
    <row r="3447" spans="7:7">
      <c r="G3447" s="149"/>
    </row>
    <row r="3448" spans="7:7">
      <c r="G3448" s="149"/>
    </row>
    <row r="3449" spans="7:7">
      <c r="G3449" s="149"/>
    </row>
    <row r="3450" spans="7:7">
      <c r="G3450" s="149"/>
    </row>
    <row r="3451" spans="7:7">
      <c r="G3451" s="149"/>
    </row>
    <row r="3452" spans="7:7">
      <c r="G3452" s="149"/>
    </row>
    <row r="3453" spans="7:7">
      <c r="G3453" s="149"/>
    </row>
    <row r="3454" spans="7:7">
      <c r="G3454" s="149"/>
    </row>
    <row r="3455" spans="7:7">
      <c r="G3455" s="149"/>
    </row>
    <row r="3456" spans="7:7">
      <c r="G3456" s="149"/>
    </row>
    <row r="3457" spans="7:7">
      <c r="G3457" s="149"/>
    </row>
    <row r="3458" spans="7:7">
      <c r="G3458" s="149"/>
    </row>
    <row r="3459" spans="7:7">
      <c r="G3459" s="149"/>
    </row>
    <row r="3460" spans="7:7">
      <c r="G3460" s="149"/>
    </row>
    <row r="3461" spans="7:7">
      <c r="G3461" s="149"/>
    </row>
    <row r="3462" spans="7:7">
      <c r="G3462" s="149"/>
    </row>
    <row r="3463" spans="7:7">
      <c r="G3463" s="149"/>
    </row>
    <row r="3464" spans="7:7">
      <c r="G3464" s="149"/>
    </row>
    <row r="3465" spans="7:7">
      <c r="G3465" s="149"/>
    </row>
    <row r="3466" spans="7:7">
      <c r="G3466" s="149"/>
    </row>
    <row r="3467" spans="7:7">
      <c r="G3467" s="149"/>
    </row>
    <row r="3468" spans="7:7">
      <c r="G3468" s="149"/>
    </row>
    <row r="3469" spans="7:7">
      <c r="G3469" s="149"/>
    </row>
    <row r="3470" spans="7:7">
      <c r="G3470" s="149"/>
    </row>
    <row r="3471" spans="7:7">
      <c r="G3471" s="149"/>
    </row>
    <row r="3472" spans="7:7">
      <c r="G3472" s="149"/>
    </row>
    <row r="3473" spans="7:7">
      <c r="G3473" s="149"/>
    </row>
    <row r="3474" spans="7:7">
      <c r="G3474" s="149"/>
    </row>
    <row r="3475" spans="7:7">
      <c r="G3475" s="149"/>
    </row>
    <row r="3476" spans="7:7">
      <c r="G3476" s="149"/>
    </row>
    <row r="3477" spans="7:7">
      <c r="G3477" s="149"/>
    </row>
    <row r="3478" spans="7:7">
      <c r="G3478" s="149"/>
    </row>
    <row r="3479" spans="7:7">
      <c r="G3479" s="149"/>
    </row>
    <row r="3480" spans="7:7">
      <c r="G3480" s="149"/>
    </row>
    <row r="3481" spans="7:7">
      <c r="G3481" s="149"/>
    </row>
    <row r="3482" spans="7:7">
      <c r="G3482" s="149"/>
    </row>
    <row r="3483" spans="7:7">
      <c r="G3483" s="149"/>
    </row>
    <row r="3484" spans="7:7">
      <c r="G3484" s="149"/>
    </row>
    <row r="3485" spans="7:7">
      <c r="G3485" s="149"/>
    </row>
    <row r="3486" spans="7:7">
      <c r="G3486" s="149"/>
    </row>
    <row r="3487" spans="7:7">
      <c r="G3487" s="149"/>
    </row>
    <row r="3488" spans="7:7">
      <c r="G3488" s="149"/>
    </row>
    <row r="3489" spans="7:7">
      <c r="G3489" s="149"/>
    </row>
    <row r="3490" spans="7:7">
      <c r="G3490" s="149"/>
    </row>
    <row r="3491" spans="7:7">
      <c r="G3491" s="149"/>
    </row>
    <row r="3492" spans="7:7">
      <c r="G3492" s="149"/>
    </row>
    <row r="3493" spans="7:7">
      <c r="G3493" s="149"/>
    </row>
    <row r="3494" spans="7:7">
      <c r="G3494" s="149"/>
    </row>
    <row r="3495" spans="7:7">
      <c r="G3495" s="149"/>
    </row>
    <row r="3496" spans="7:7">
      <c r="G3496" s="149"/>
    </row>
    <row r="3497" spans="7:7">
      <c r="G3497" s="149"/>
    </row>
    <row r="3498" spans="7:7">
      <c r="G3498" s="149"/>
    </row>
    <row r="3499" spans="7:7">
      <c r="G3499" s="149"/>
    </row>
    <row r="3500" spans="7:7">
      <c r="G3500" s="149"/>
    </row>
    <row r="3501" spans="7:7">
      <c r="G3501" s="149"/>
    </row>
    <row r="3502" spans="7:7">
      <c r="G3502" s="149"/>
    </row>
    <row r="3503" spans="7:7">
      <c r="G3503" s="149"/>
    </row>
    <row r="3504" spans="7:7">
      <c r="G3504" s="149"/>
    </row>
    <row r="3505" spans="7:7">
      <c r="G3505" s="149"/>
    </row>
    <row r="3506" spans="7:7">
      <c r="G3506" s="149"/>
    </row>
    <row r="3507" spans="7:7">
      <c r="G3507" s="149"/>
    </row>
    <row r="3508" spans="7:7">
      <c r="G3508" s="149"/>
    </row>
    <row r="3509" spans="7:7">
      <c r="G3509" s="149"/>
    </row>
    <row r="3510" spans="7:7">
      <c r="G3510" s="149"/>
    </row>
    <row r="3511" spans="7:7">
      <c r="G3511" s="149"/>
    </row>
    <row r="3512" spans="7:7">
      <c r="G3512" s="149"/>
    </row>
    <row r="3513" spans="7:7">
      <c r="G3513" s="149"/>
    </row>
    <row r="3514" spans="7:7">
      <c r="G3514" s="149"/>
    </row>
    <row r="3515" spans="7:7">
      <c r="G3515" s="149"/>
    </row>
    <row r="3516" spans="7:7">
      <c r="G3516" s="149"/>
    </row>
    <row r="3517" spans="7:7">
      <c r="G3517" s="149"/>
    </row>
    <row r="3518" spans="7:7">
      <c r="G3518" s="149"/>
    </row>
    <row r="3519" spans="7:7">
      <c r="G3519" s="149"/>
    </row>
    <row r="3520" spans="7:7">
      <c r="G3520" s="149"/>
    </row>
    <row r="3521" spans="7:7">
      <c r="G3521" s="149"/>
    </row>
    <row r="3522" spans="7:7">
      <c r="G3522" s="149"/>
    </row>
    <row r="3523" spans="7:7">
      <c r="G3523" s="149"/>
    </row>
    <row r="3524" spans="7:7">
      <c r="G3524" s="149"/>
    </row>
    <row r="3525" spans="7:7">
      <c r="G3525" s="149"/>
    </row>
    <row r="3526" spans="7:7">
      <c r="G3526" s="149"/>
    </row>
    <row r="3527" spans="7:7">
      <c r="G3527" s="149"/>
    </row>
    <row r="3528" spans="7:7">
      <c r="G3528" s="149"/>
    </row>
    <row r="3529" spans="7:7">
      <c r="G3529" s="149"/>
    </row>
    <row r="3530" spans="7:7">
      <c r="G3530" s="149"/>
    </row>
    <row r="3531" spans="7:7">
      <c r="G3531" s="149"/>
    </row>
    <row r="3532" spans="7:7">
      <c r="G3532" s="149"/>
    </row>
    <row r="3533" spans="7:7">
      <c r="G3533" s="149"/>
    </row>
    <row r="3534" spans="7:7">
      <c r="G3534" s="149"/>
    </row>
    <row r="3535" spans="7:7">
      <c r="G3535" s="149"/>
    </row>
    <row r="3536" spans="7:7">
      <c r="G3536" s="149"/>
    </row>
    <row r="3537" spans="7:7">
      <c r="G3537" s="149"/>
    </row>
    <row r="3538" spans="7:7">
      <c r="G3538" s="149"/>
    </row>
    <row r="3539" spans="7:7">
      <c r="G3539" s="149"/>
    </row>
    <row r="3540" spans="7:7">
      <c r="G3540" s="149"/>
    </row>
    <row r="3541" spans="7:7">
      <c r="G3541" s="149"/>
    </row>
    <row r="3542" spans="7:7">
      <c r="G3542" s="149"/>
    </row>
    <row r="3543" spans="7:7">
      <c r="G3543" s="149"/>
    </row>
    <row r="3544" spans="7:7">
      <c r="G3544" s="149"/>
    </row>
    <row r="3545" spans="7:7">
      <c r="G3545" s="149"/>
    </row>
    <row r="3546" spans="7:7">
      <c r="G3546" s="149"/>
    </row>
    <row r="3547" spans="7:7">
      <c r="G3547" s="149"/>
    </row>
    <row r="3548" spans="7:7">
      <c r="G3548" s="149"/>
    </row>
    <row r="3549" spans="7:7">
      <c r="G3549" s="149"/>
    </row>
    <row r="3550" spans="7:7">
      <c r="G3550" s="149"/>
    </row>
    <row r="3551" spans="7:7">
      <c r="G3551" s="149"/>
    </row>
    <row r="3552" spans="7:7">
      <c r="G3552" s="149"/>
    </row>
    <row r="3553" spans="7:7">
      <c r="G3553" s="149"/>
    </row>
    <row r="3554" spans="7:7">
      <c r="G3554" s="149"/>
    </row>
    <row r="3555" spans="7:7">
      <c r="G3555" s="149"/>
    </row>
    <row r="3556" spans="7:7">
      <c r="G3556" s="149"/>
    </row>
    <row r="3557" spans="7:7">
      <c r="G3557" s="149"/>
    </row>
    <row r="3558" spans="7:7">
      <c r="G3558" s="149"/>
    </row>
    <row r="3559" spans="7:7">
      <c r="G3559" s="149"/>
    </row>
    <row r="3560" spans="7:7">
      <c r="G3560" s="149"/>
    </row>
    <row r="3561" spans="7:7">
      <c r="G3561" s="149"/>
    </row>
    <row r="3562" spans="7:7">
      <c r="G3562" s="149"/>
    </row>
    <row r="3563" spans="7:7">
      <c r="G3563" s="149"/>
    </row>
    <row r="3564" spans="7:7">
      <c r="G3564" s="149"/>
    </row>
    <row r="3565" spans="7:7">
      <c r="G3565" s="149"/>
    </row>
    <row r="3566" spans="7:7">
      <c r="G3566" s="149"/>
    </row>
    <row r="3567" spans="7:7">
      <c r="G3567" s="149"/>
    </row>
    <row r="3568" spans="7:7">
      <c r="G3568" s="149"/>
    </row>
    <row r="3569" spans="7:7">
      <c r="G3569" s="149"/>
    </row>
    <row r="3570" spans="7:7">
      <c r="G3570" s="149"/>
    </row>
    <row r="3571" spans="7:7">
      <c r="G3571" s="149"/>
    </row>
    <row r="3572" spans="7:7">
      <c r="G3572" s="149"/>
    </row>
    <row r="3573" spans="7:7">
      <c r="G3573" s="149"/>
    </row>
    <row r="3574" spans="7:7">
      <c r="G3574" s="149"/>
    </row>
    <row r="3575" spans="7:7">
      <c r="G3575" s="149"/>
    </row>
    <row r="3576" spans="7:7">
      <c r="G3576" s="149"/>
    </row>
    <row r="3577" spans="7:7">
      <c r="G3577" s="149"/>
    </row>
    <row r="3578" spans="7:7">
      <c r="G3578" s="149"/>
    </row>
    <row r="3579" spans="7:7">
      <c r="G3579" s="149"/>
    </row>
    <row r="3580" spans="7:7">
      <c r="G3580" s="149"/>
    </row>
    <row r="3581" spans="7:7">
      <c r="G3581" s="149"/>
    </row>
    <row r="3582" spans="7:7">
      <c r="G3582" s="149"/>
    </row>
    <row r="3583" spans="7:7">
      <c r="G3583" s="149"/>
    </row>
    <row r="3584" spans="7:7">
      <c r="G3584" s="149"/>
    </row>
    <row r="3585" spans="7:7">
      <c r="G3585" s="149"/>
    </row>
    <row r="3586" spans="7:7">
      <c r="G3586" s="149"/>
    </row>
    <row r="3587" spans="7:7">
      <c r="G3587" s="149"/>
    </row>
    <row r="3588" spans="7:7">
      <c r="G3588" s="149"/>
    </row>
    <row r="3589" spans="7:7">
      <c r="G3589" s="149"/>
    </row>
    <row r="3590" spans="7:7">
      <c r="G3590" s="149"/>
    </row>
    <row r="3591" spans="7:7">
      <c r="G3591" s="149"/>
    </row>
    <row r="3592" spans="7:7">
      <c r="G3592" s="149"/>
    </row>
    <row r="3593" spans="7:7">
      <c r="G3593" s="149"/>
    </row>
    <row r="3594" spans="7:7">
      <c r="G3594" s="149"/>
    </row>
    <row r="3595" spans="7:7">
      <c r="G3595" s="149"/>
    </row>
    <row r="3596" spans="7:7">
      <c r="G3596" s="149"/>
    </row>
    <row r="3597" spans="7:7">
      <c r="G3597" s="149"/>
    </row>
    <row r="3598" spans="7:7">
      <c r="G3598" s="149"/>
    </row>
    <row r="3599" spans="7:7">
      <c r="G3599" s="149"/>
    </row>
    <row r="3600" spans="7:7">
      <c r="G3600" s="149"/>
    </row>
    <row r="3601" spans="7:7">
      <c r="G3601" s="149"/>
    </row>
    <row r="3602" spans="7:7">
      <c r="G3602" s="149"/>
    </row>
    <row r="3603" spans="7:7">
      <c r="G3603" s="149"/>
    </row>
    <row r="3604" spans="7:7">
      <c r="G3604" s="149"/>
    </row>
    <row r="3605" spans="7:7">
      <c r="G3605" s="149"/>
    </row>
    <row r="3606" spans="7:7">
      <c r="G3606" s="149"/>
    </row>
    <row r="3607" spans="7:7">
      <c r="G3607" s="149"/>
    </row>
    <row r="3608" spans="7:7">
      <c r="G3608" s="149"/>
    </row>
    <row r="3609" spans="7:7">
      <c r="G3609" s="149"/>
    </row>
    <row r="3610" spans="7:7">
      <c r="G3610" s="149"/>
    </row>
    <row r="3611" spans="7:7">
      <c r="G3611" s="149"/>
    </row>
    <row r="3612" spans="7:7">
      <c r="G3612" s="149"/>
    </row>
    <row r="3613" spans="7:7">
      <c r="G3613" s="149"/>
    </row>
    <row r="3614" spans="7:7">
      <c r="G3614" s="149"/>
    </row>
    <row r="3615" spans="7:7">
      <c r="G3615" s="149"/>
    </row>
    <row r="3616" spans="7:7">
      <c r="G3616" s="149"/>
    </row>
    <row r="3617" spans="7:7">
      <c r="G3617" s="149"/>
    </row>
    <row r="3618" spans="7:7">
      <c r="G3618" s="149"/>
    </row>
    <row r="3619" spans="7:7">
      <c r="G3619" s="149"/>
    </row>
    <row r="3620" spans="7:7">
      <c r="G3620" s="149"/>
    </row>
    <row r="3621" spans="7:7">
      <c r="G3621" s="149"/>
    </row>
    <row r="3622" spans="7:7">
      <c r="G3622" s="149"/>
    </row>
    <row r="3623" spans="7:7">
      <c r="G3623" s="149"/>
    </row>
    <row r="3624" spans="7:7">
      <c r="G3624" s="149"/>
    </row>
    <row r="3625" spans="7:7">
      <c r="G3625" s="149"/>
    </row>
    <row r="3626" spans="7:7">
      <c r="G3626" s="149"/>
    </row>
    <row r="3627" spans="7:7">
      <c r="G3627" s="149"/>
    </row>
    <row r="3628" spans="7:7">
      <c r="G3628" s="149"/>
    </row>
    <row r="3629" spans="7:7">
      <c r="G3629" s="149"/>
    </row>
    <row r="3630" spans="7:7">
      <c r="G3630" s="149"/>
    </row>
    <row r="3631" spans="7:7">
      <c r="G3631" s="149"/>
    </row>
    <row r="3632" spans="7:7">
      <c r="G3632" s="149"/>
    </row>
    <row r="3633" spans="7:7">
      <c r="G3633" s="149"/>
    </row>
    <row r="3634" spans="7:7">
      <c r="G3634" s="149"/>
    </row>
    <row r="3635" spans="7:7">
      <c r="G3635" s="149"/>
    </row>
    <row r="3636" spans="7:7">
      <c r="G3636" s="149"/>
    </row>
    <row r="3637" spans="7:7">
      <c r="G3637" s="149"/>
    </row>
    <row r="3638" spans="7:7">
      <c r="G3638" s="149"/>
    </row>
    <row r="3639" spans="7:7">
      <c r="G3639" s="149"/>
    </row>
    <row r="3640" spans="7:7">
      <c r="G3640" s="149"/>
    </row>
    <row r="3641" spans="7:7">
      <c r="G3641" s="149"/>
    </row>
    <row r="3642" spans="7:7">
      <c r="G3642" s="149"/>
    </row>
    <row r="3643" spans="7:7">
      <c r="G3643" s="149"/>
    </row>
    <row r="3644" spans="7:7">
      <c r="G3644" s="149"/>
    </row>
    <row r="3645" spans="7:7">
      <c r="G3645" s="149"/>
    </row>
    <row r="3646" spans="7:7">
      <c r="G3646" s="149"/>
    </row>
    <row r="3647" spans="7:7">
      <c r="G3647" s="149"/>
    </row>
    <row r="3648" spans="7:7">
      <c r="G3648" s="149"/>
    </row>
    <row r="3649" spans="7:7">
      <c r="G3649" s="149"/>
    </row>
    <row r="3650" spans="7:7">
      <c r="G3650" s="149"/>
    </row>
    <row r="3651" spans="7:7">
      <c r="G3651" s="149"/>
    </row>
    <row r="3652" spans="7:7">
      <c r="G3652" s="149"/>
    </row>
    <row r="3653" spans="7:7">
      <c r="G3653" s="149"/>
    </row>
    <row r="3654" spans="7:7">
      <c r="G3654" s="149"/>
    </row>
    <row r="3655" spans="7:7">
      <c r="G3655" s="149"/>
    </row>
    <row r="3656" spans="7:7">
      <c r="G3656" s="149"/>
    </row>
    <row r="3657" spans="7:7">
      <c r="G3657" s="149"/>
    </row>
    <row r="3658" spans="7:7">
      <c r="G3658" s="149"/>
    </row>
    <row r="3659" spans="7:7">
      <c r="G3659" s="149"/>
    </row>
    <row r="3660" spans="7:7">
      <c r="G3660" s="149"/>
    </row>
    <row r="3661" spans="7:7">
      <c r="G3661" s="149"/>
    </row>
    <row r="3662" spans="7:7">
      <c r="G3662" s="149"/>
    </row>
    <row r="3663" spans="7:7">
      <c r="G3663" s="149"/>
    </row>
    <row r="3664" spans="7:7">
      <c r="G3664" s="149"/>
    </row>
    <row r="3665" spans="7:7">
      <c r="G3665" s="149"/>
    </row>
    <row r="3666" spans="7:7">
      <c r="G3666" s="149"/>
    </row>
    <row r="3667" spans="7:7">
      <c r="G3667" s="149"/>
    </row>
    <row r="3668" spans="7:7">
      <c r="G3668" s="149"/>
    </row>
    <row r="3669" spans="7:7">
      <c r="G3669" s="149"/>
    </row>
    <row r="3670" spans="7:7">
      <c r="G3670" s="149"/>
    </row>
    <row r="3671" spans="7:7">
      <c r="G3671" s="149"/>
    </row>
    <row r="3672" spans="7:7">
      <c r="G3672" s="149"/>
    </row>
    <row r="3673" spans="7:7">
      <c r="G3673" s="149"/>
    </row>
    <row r="3674" spans="7:7">
      <c r="G3674" s="149"/>
    </row>
    <row r="3675" spans="7:7">
      <c r="G3675" s="149"/>
    </row>
    <row r="3676" spans="7:7">
      <c r="G3676" s="149"/>
    </row>
    <row r="3677" spans="7:7">
      <c r="G3677" s="149"/>
    </row>
    <row r="3678" spans="7:7">
      <c r="G3678" s="149"/>
    </row>
    <row r="3679" spans="7:7">
      <c r="G3679" s="149"/>
    </row>
    <row r="3680" spans="7:7">
      <c r="G3680" s="149"/>
    </row>
    <row r="3681" spans="7:7">
      <c r="G3681" s="149"/>
    </row>
    <row r="3682" spans="7:7">
      <c r="G3682" s="149"/>
    </row>
    <row r="3683" spans="7:7">
      <c r="G3683" s="149"/>
    </row>
    <row r="3684" spans="7:7">
      <c r="G3684" s="149"/>
    </row>
    <row r="3685" spans="7:7">
      <c r="G3685" s="149"/>
    </row>
    <row r="3686" spans="7:7">
      <c r="G3686" s="149"/>
    </row>
    <row r="3687" spans="7:7">
      <c r="G3687" s="149"/>
    </row>
    <row r="3688" spans="7:7">
      <c r="G3688" s="149"/>
    </row>
    <row r="3689" spans="7:7">
      <c r="G3689" s="149"/>
    </row>
    <row r="3690" spans="7:7">
      <c r="G3690" s="149"/>
    </row>
    <row r="3691" spans="7:7">
      <c r="G3691" s="149"/>
    </row>
    <row r="3692" spans="7:7">
      <c r="G3692" s="149"/>
    </row>
    <row r="3693" spans="7:7">
      <c r="G3693" s="149"/>
    </row>
    <row r="3694" spans="7:7">
      <c r="G3694" s="149"/>
    </row>
    <row r="3695" spans="7:7">
      <c r="G3695" s="149"/>
    </row>
    <row r="3696" spans="7:7">
      <c r="G3696" s="149"/>
    </row>
    <row r="3697" spans="7:7">
      <c r="G3697" s="149"/>
    </row>
    <row r="3698" spans="7:7">
      <c r="G3698" s="149"/>
    </row>
    <row r="3699" spans="7:7">
      <c r="G3699" s="149"/>
    </row>
    <row r="3700" spans="7:7">
      <c r="G3700" s="149"/>
    </row>
    <row r="3701" spans="7:7">
      <c r="G3701" s="149"/>
    </row>
    <row r="3702" spans="7:7">
      <c r="G3702" s="149"/>
    </row>
    <row r="3703" spans="7:7">
      <c r="G3703" s="149"/>
    </row>
    <row r="3704" spans="7:7">
      <c r="G3704" s="149"/>
    </row>
    <row r="3705" spans="7:7">
      <c r="G3705" s="149"/>
    </row>
    <row r="3706" spans="7:7">
      <c r="G3706" s="149"/>
    </row>
    <row r="3707" spans="7:7">
      <c r="G3707" s="149"/>
    </row>
    <row r="3708" spans="7:7">
      <c r="G3708" s="149"/>
    </row>
    <row r="3709" spans="7:7">
      <c r="G3709" s="149"/>
    </row>
    <row r="3710" spans="7:7">
      <c r="G3710" s="149"/>
    </row>
    <row r="3711" spans="7:7">
      <c r="G3711" s="149"/>
    </row>
    <row r="3712" spans="7:7">
      <c r="G3712" s="149"/>
    </row>
    <row r="3713" spans="7:7">
      <c r="G3713" s="149"/>
    </row>
    <row r="3714" spans="7:7">
      <c r="G3714" s="149"/>
    </row>
    <row r="3715" spans="7:7">
      <c r="G3715" s="149"/>
    </row>
    <row r="3716" spans="7:7">
      <c r="G3716" s="149"/>
    </row>
    <row r="3717" spans="7:7">
      <c r="G3717" s="149"/>
    </row>
    <row r="3718" spans="7:7">
      <c r="G3718" s="149"/>
    </row>
    <row r="3719" spans="7:7">
      <c r="G3719" s="149"/>
    </row>
    <row r="3720" spans="7:7">
      <c r="G3720" s="149"/>
    </row>
    <row r="3721" spans="7:7">
      <c r="G3721" s="149"/>
    </row>
    <row r="3722" spans="7:7">
      <c r="G3722" s="149"/>
    </row>
    <row r="3723" spans="7:7">
      <c r="G3723" s="149"/>
    </row>
    <row r="3724" spans="7:7">
      <c r="G3724" s="149"/>
    </row>
    <row r="3725" spans="7:7">
      <c r="G3725" s="149"/>
    </row>
    <row r="3726" spans="7:7">
      <c r="G3726" s="149"/>
    </row>
    <row r="3727" spans="7:7">
      <c r="G3727" s="149"/>
    </row>
    <row r="3728" spans="7:7">
      <c r="G3728" s="149"/>
    </row>
    <row r="3729" spans="7:7">
      <c r="G3729" s="149"/>
    </row>
    <row r="3730" spans="7:7">
      <c r="G3730" s="149"/>
    </row>
    <row r="3731" spans="7:7">
      <c r="G3731" s="149"/>
    </row>
    <row r="3732" spans="7:7">
      <c r="G3732" s="149"/>
    </row>
    <row r="3733" spans="7:7">
      <c r="G3733" s="149"/>
    </row>
    <row r="3734" spans="7:7">
      <c r="G3734" s="149"/>
    </row>
    <row r="3735" spans="7:7">
      <c r="G3735" s="149"/>
    </row>
    <row r="3736" spans="7:7">
      <c r="G3736" s="149"/>
    </row>
    <row r="3737" spans="7:7">
      <c r="G3737" s="149"/>
    </row>
    <row r="3738" spans="7:7">
      <c r="G3738" s="149"/>
    </row>
    <row r="3739" spans="7:7">
      <c r="G3739" s="149"/>
    </row>
    <row r="3740" spans="7:7">
      <c r="G3740" s="149"/>
    </row>
    <row r="3741" spans="7:7">
      <c r="G3741" s="149"/>
    </row>
    <row r="3742" spans="7:7">
      <c r="G3742" s="149"/>
    </row>
    <row r="3743" spans="7:7">
      <c r="G3743" s="149"/>
    </row>
    <row r="3744" spans="7:7">
      <c r="G3744" s="149"/>
    </row>
    <row r="3745" spans="7:7">
      <c r="G3745" s="149"/>
    </row>
    <row r="3746" spans="7:7">
      <c r="G3746" s="149"/>
    </row>
    <row r="3747" spans="7:7">
      <c r="G3747" s="149"/>
    </row>
    <row r="3748" spans="7:7">
      <c r="G3748" s="149"/>
    </row>
    <row r="3749" spans="7:7">
      <c r="G3749" s="149"/>
    </row>
    <row r="3750" spans="7:7">
      <c r="G3750" s="149"/>
    </row>
    <row r="3751" spans="7:7">
      <c r="G3751" s="149"/>
    </row>
    <row r="3752" spans="7:7">
      <c r="G3752" s="149"/>
    </row>
    <row r="3753" spans="7:7">
      <c r="G3753" s="149"/>
    </row>
    <row r="3754" spans="7:7">
      <c r="G3754" s="149"/>
    </row>
    <row r="3755" spans="7:7">
      <c r="G3755" s="149"/>
    </row>
    <row r="3756" spans="7:7">
      <c r="G3756" s="149"/>
    </row>
    <row r="3757" spans="7:7">
      <c r="G3757" s="149"/>
    </row>
    <row r="3758" spans="7:7">
      <c r="G3758" s="149"/>
    </row>
    <row r="3759" spans="7:7">
      <c r="G3759" s="149"/>
    </row>
    <row r="3760" spans="7:7">
      <c r="G3760" s="149"/>
    </row>
    <row r="3761" spans="7:7">
      <c r="G3761" s="149"/>
    </row>
    <row r="3762" spans="7:7">
      <c r="G3762" s="149"/>
    </row>
    <row r="3763" spans="7:7">
      <c r="G3763" s="149"/>
    </row>
    <row r="3764" spans="7:7">
      <c r="G3764" s="149"/>
    </row>
    <row r="3765" spans="7:7">
      <c r="G3765" s="149"/>
    </row>
    <row r="3766" spans="7:7">
      <c r="G3766" s="149"/>
    </row>
    <row r="3767" spans="7:7">
      <c r="G3767" s="149"/>
    </row>
    <row r="3768" spans="7:7">
      <c r="G3768" s="149"/>
    </row>
    <row r="3769" spans="7:7">
      <c r="G3769" s="149"/>
    </row>
    <row r="3770" spans="7:7">
      <c r="G3770" s="149"/>
    </row>
    <row r="3771" spans="7:7">
      <c r="G3771" s="149"/>
    </row>
    <row r="3772" spans="7:7">
      <c r="G3772" s="149"/>
    </row>
    <row r="3773" spans="7:7">
      <c r="G3773" s="149"/>
    </row>
    <row r="3774" spans="7:7">
      <c r="G3774" s="149"/>
    </row>
    <row r="3775" spans="7:7">
      <c r="G3775" s="149"/>
    </row>
    <row r="3776" spans="7:7">
      <c r="G3776" s="149"/>
    </row>
    <row r="3777" spans="7:7">
      <c r="G3777" s="149"/>
    </row>
    <row r="3778" spans="7:7">
      <c r="G3778" s="149"/>
    </row>
    <row r="3779" spans="7:7">
      <c r="G3779" s="149"/>
    </row>
    <row r="3780" spans="7:7">
      <c r="G3780" s="149"/>
    </row>
    <row r="3781" spans="7:7">
      <c r="G3781" s="149"/>
    </row>
    <row r="3782" spans="7:7">
      <c r="G3782" s="149"/>
    </row>
    <row r="3783" spans="7:7">
      <c r="G3783" s="149"/>
    </row>
    <row r="3784" spans="7:7">
      <c r="G3784" s="149"/>
    </row>
    <row r="3785" spans="7:7">
      <c r="G3785" s="149"/>
    </row>
    <row r="3786" spans="7:7">
      <c r="G3786" s="149"/>
    </row>
    <row r="3787" spans="7:7">
      <c r="G3787" s="149"/>
    </row>
    <row r="3788" spans="7:7">
      <c r="G3788" s="149"/>
    </row>
    <row r="3789" spans="7:7">
      <c r="G3789" s="149"/>
    </row>
    <row r="3790" spans="7:7">
      <c r="G3790" s="149"/>
    </row>
    <row r="3791" spans="7:7">
      <c r="G3791" s="149"/>
    </row>
    <row r="3792" spans="7:7">
      <c r="G3792" s="149"/>
    </row>
    <row r="3793" spans="7:7">
      <c r="G3793" s="149"/>
    </row>
    <row r="3794" spans="7:7">
      <c r="G3794" s="149"/>
    </row>
    <row r="3795" spans="7:7">
      <c r="G3795" s="149"/>
    </row>
    <row r="3796" spans="7:7">
      <c r="G3796" s="149"/>
    </row>
    <row r="3797" spans="7:7">
      <c r="G3797" s="149"/>
    </row>
    <row r="3798" spans="7:7">
      <c r="G3798" s="149"/>
    </row>
    <row r="3799" spans="7:7">
      <c r="G3799" s="149"/>
    </row>
    <row r="3800" spans="7:7">
      <c r="G3800" s="149"/>
    </row>
    <row r="3801" spans="7:7">
      <c r="G3801" s="149"/>
    </row>
    <row r="3802" spans="7:7">
      <c r="G3802" s="149"/>
    </row>
    <row r="3803" spans="7:7">
      <c r="G3803" s="149"/>
    </row>
    <row r="3804" spans="7:7">
      <c r="G3804" s="149"/>
    </row>
    <row r="3805" spans="7:7">
      <c r="G3805" s="149"/>
    </row>
    <row r="3806" spans="7:7">
      <c r="G3806" s="149"/>
    </row>
    <row r="3807" spans="7:7">
      <c r="G3807" s="149"/>
    </row>
    <row r="3808" spans="7:7">
      <c r="G3808" s="149"/>
    </row>
    <row r="3809" spans="7:7">
      <c r="G3809" s="149"/>
    </row>
    <row r="3810" spans="7:7">
      <c r="G3810" s="149"/>
    </row>
    <row r="3811" spans="7:7">
      <c r="G3811" s="149"/>
    </row>
    <row r="3812" spans="7:7">
      <c r="G3812" s="149"/>
    </row>
    <row r="3813" spans="7:7">
      <c r="G3813" s="149"/>
    </row>
    <row r="3814" spans="7:7">
      <c r="G3814" s="149"/>
    </row>
    <row r="3815" spans="7:7">
      <c r="G3815" s="149"/>
    </row>
    <row r="3816" spans="7:7">
      <c r="G3816" s="149"/>
    </row>
    <row r="3817" spans="7:7">
      <c r="G3817" s="149"/>
    </row>
    <row r="3818" spans="7:7">
      <c r="G3818" s="149"/>
    </row>
    <row r="3819" spans="7:7">
      <c r="G3819" s="149"/>
    </row>
    <row r="3820" spans="7:7">
      <c r="G3820" s="149"/>
    </row>
    <row r="3821" spans="7:7">
      <c r="G3821" s="149"/>
    </row>
    <row r="3822" spans="7:7">
      <c r="G3822" s="149"/>
    </row>
    <row r="3823" spans="7:7">
      <c r="G3823" s="149"/>
    </row>
    <row r="3824" spans="7:7">
      <c r="G3824" s="149"/>
    </row>
    <row r="3825" spans="7:7">
      <c r="G3825" s="149"/>
    </row>
    <row r="3826" spans="7:7">
      <c r="G3826" s="149"/>
    </row>
    <row r="3827" spans="7:7">
      <c r="G3827" s="149"/>
    </row>
    <row r="3828" spans="7:7">
      <c r="G3828" s="149"/>
    </row>
    <row r="3829" spans="7:7">
      <c r="G3829" s="149"/>
    </row>
    <row r="3830" spans="7:7">
      <c r="G3830" s="149"/>
    </row>
    <row r="3831" spans="7:7">
      <c r="G3831" s="149"/>
    </row>
    <row r="3832" spans="7:7">
      <c r="G3832" s="149"/>
    </row>
    <row r="3833" spans="7:7">
      <c r="G3833" s="149"/>
    </row>
    <row r="3834" spans="7:7">
      <c r="G3834" s="149"/>
    </row>
    <row r="3835" spans="7:7">
      <c r="G3835" s="149"/>
    </row>
    <row r="3836" spans="7:7">
      <c r="G3836" s="149"/>
    </row>
    <row r="3837" spans="7:7">
      <c r="G3837" s="149"/>
    </row>
    <row r="3838" spans="7:7">
      <c r="G3838" s="149"/>
    </row>
    <row r="3839" spans="7:7">
      <c r="G3839" s="149"/>
    </row>
    <row r="3840" spans="7:7">
      <c r="G3840" s="149"/>
    </row>
    <row r="3841" spans="7:7">
      <c r="G3841" s="149"/>
    </row>
    <row r="3842" spans="7:7">
      <c r="G3842" s="149"/>
    </row>
    <row r="3843" spans="7:7">
      <c r="G3843" s="149"/>
    </row>
    <row r="3844" spans="7:7">
      <c r="G3844" s="149"/>
    </row>
    <row r="3845" spans="7:7">
      <c r="G3845" s="149"/>
    </row>
    <row r="3846" spans="7:7">
      <c r="G3846" s="149"/>
    </row>
    <row r="3847" spans="7:7">
      <c r="G3847" s="149"/>
    </row>
    <row r="3848" spans="7:7">
      <c r="G3848" s="149"/>
    </row>
    <row r="3849" spans="7:7">
      <c r="G3849" s="149"/>
    </row>
    <row r="3850" spans="7:7">
      <c r="G3850" s="149"/>
    </row>
    <row r="3851" spans="7:7">
      <c r="G3851" s="149"/>
    </row>
    <row r="3852" spans="7:7">
      <c r="G3852" s="149"/>
    </row>
    <row r="3853" spans="7:7">
      <c r="G3853" s="149"/>
    </row>
    <row r="3854" spans="7:7">
      <c r="G3854" s="149"/>
    </row>
    <row r="3855" spans="7:7">
      <c r="G3855" s="149"/>
    </row>
    <row r="3856" spans="7:7">
      <c r="G3856" s="149"/>
    </row>
    <row r="3857" spans="7:7">
      <c r="G3857" s="149"/>
    </row>
    <row r="3858" spans="7:7">
      <c r="G3858" s="149"/>
    </row>
    <row r="3859" spans="7:7">
      <c r="G3859" s="149"/>
    </row>
    <row r="3860" spans="7:7">
      <c r="G3860" s="149"/>
    </row>
    <row r="3861" spans="7:7">
      <c r="G3861" s="149"/>
    </row>
    <row r="3862" spans="7:7">
      <c r="G3862" s="149"/>
    </row>
    <row r="3863" spans="7:7">
      <c r="G3863" s="149"/>
    </row>
    <row r="3864" spans="7:7">
      <c r="G3864" s="149"/>
    </row>
    <row r="3865" spans="7:7">
      <c r="G3865" s="149"/>
    </row>
    <row r="3866" spans="7:7">
      <c r="G3866" s="149"/>
    </row>
    <row r="3867" spans="7:7">
      <c r="G3867" s="149"/>
    </row>
    <row r="3868" spans="7:7">
      <c r="G3868" s="149"/>
    </row>
    <row r="3869" spans="7:7">
      <c r="G3869" s="149"/>
    </row>
    <row r="3870" spans="7:7">
      <c r="G3870" s="149"/>
    </row>
    <row r="3871" spans="7:7">
      <c r="G3871" s="149"/>
    </row>
    <row r="3872" spans="7:7">
      <c r="G3872" s="149"/>
    </row>
    <row r="3873" spans="7:7">
      <c r="G3873" s="149"/>
    </row>
    <row r="3874" spans="7:7">
      <c r="G3874" s="149"/>
    </row>
    <row r="3875" spans="7:7">
      <c r="G3875" s="149"/>
    </row>
    <row r="3876" spans="7:7">
      <c r="G3876" s="149"/>
    </row>
    <row r="3877" spans="7:7">
      <c r="G3877" s="149"/>
    </row>
    <row r="3878" spans="7:7">
      <c r="G3878" s="149"/>
    </row>
    <row r="3879" spans="7:7">
      <c r="G3879" s="149"/>
    </row>
    <row r="3880" spans="7:7">
      <c r="G3880" s="149"/>
    </row>
    <row r="3881" spans="7:7">
      <c r="G3881" s="149"/>
    </row>
    <row r="3882" spans="7:7">
      <c r="G3882" s="149"/>
    </row>
    <row r="3883" spans="7:7">
      <c r="G3883" s="149"/>
    </row>
    <row r="3884" spans="7:7">
      <c r="G3884" s="149"/>
    </row>
    <row r="3885" spans="7:7">
      <c r="G3885" s="149"/>
    </row>
    <row r="3886" spans="7:7">
      <c r="G3886" s="149"/>
    </row>
    <row r="3887" spans="7:7">
      <c r="G3887" s="149"/>
    </row>
    <row r="3888" spans="7:7">
      <c r="G3888" s="149"/>
    </row>
    <row r="3889" spans="7:7">
      <c r="G3889" s="149"/>
    </row>
    <row r="3890" spans="7:7">
      <c r="G3890" s="149"/>
    </row>
    <row r="3891" spans="7:7">
      <c r="G3891" s="149"/>
    </row>
    <row r="3892" spans="7:7">
      <c r="G3892" s="149"/>
    </row>
    <row r="3893" spans="7:7">
      <c r="G3893" s="149"/>
    </row>
    <row r="3894" spans="7:7">
      <c r="G3894" s="149"/>
    </row>
    <row r="3895" spans="7:7">
      <c r="G3895" s="149"/>
    </row>
    <row r="3896" spans="7:7">
      <c r="G3896" s="149"/>
    </row>
    <row r="3897" spans="7:7">
      <c r="G3897" s="149"/>
    </row>
    <row r="3898" spans="7:7">
      <c r="G3898" s="149"/>
    </row>
    <row r="3899" spans="7:7">
      <c r="G3899" s="149"/>
    </row>
    <row r="3900" spans="7:7">
      <c r="G3900" s="149"/>
    </row>
    <row r="3901" spans="7:7">
      <c r="G3901" s="149"/>
    </row>
    <row r="3902" spans="7:7">
      <c r="G3902" s="149"/>
    </row>
    <row r="3903" spans="7:7">
      <c r="G3903" s="149"/>
    </row>
    <row r="3904" spans="7:7">
      <c r="G3904" s="149"/>
    </row>
    <row r="3905" spans="7:7">
      <c r="G3905" s="149"/>
    </row>
    <row r="3906" spans="7:7">
      <c r="G3906" s="149"/>
    </row>
    <row r="3907" spans="7:7">
      <c r="G3907" s="149"/>
    </row>
    <row r="3908" spans="7:7">
      <c r="G3908" s="149"/>
    </row>
    <row r="3909" spans="7:7">
      <c r="G3909" s="149"/>
    </row>
    <row r="3910" spans="7:7">
      <c r="G3910" s="149"/>
    </row>
    <row r="3911" spans="7:7">
      <c r="G3911" s="149"/>
    </row>
    <row r="3912" spans="7:7">
      <c r="G3912" s="149"/>
    </row>
    <row r="3913" spans="7:7">
      <c r="G3913" s="149"/>
    </row>
    <row r="3914" spans="7:7">
      <c r="G3914" s="149"/>
    </row>
    <row r="3915" spans="7:7">
      <c r="G3915" s="149"/>
    </row>
    <row r="3916" spans="7:7">
      <c r="G3916" s="149"/>
    </row>
    <row r="3917" spans="7:7">
      <c r="G3917" s="149"/>
    </row>
    <row r="3918" spans="7:7">
      <c r="G3918" s="149"/>
    </row>
    <row r="3919" spans="7:7">
      <c r="G3919" s="149"/>
    </row>
    <row r="3920" spans="7:7">
      <c r="G3920" s="149"/>
    </row>
    <row r="3921" spans="7:7">
      <c r="G3921" s="149"/>
    </row>
    <row r="3922" spans="7:7">
      <c r="G3922" s="149"/>
    </row>
    <row r="3923" spans="7:7">
      <c r="G3923" s="149"/>
    </row>
    <row r="3924" spans="7:7">
      <c r="G3924" s="149"/>
    </row>
    <row r="3925" spans="7:7">
      <c r="G3925" s="149"/>
    </row>
    <row r="3926" spans="7:7">
      <c r="G3926" s="149"/>
    </row>
    <row r="3927" spans="7:7">
      <c r="G3927" s="149"/>
    </row>
    <row r="3928" spans="7:7">
      <c r="G3928" s="149"/>
    </row>
    <row r="3929" spans="7:7">
      <c r="G3929" s="149"/>
    </row>
    <row r="3930" spans="7:7">
      <c r="G3930" s="149"/>
    </row>
    <row r="3931" spans="7:7">
      <c r="G3931" s="149"/>
    </row>
    <row r="3932" spans="7:7">
      <c r="G3932" s="149"/>
    </row>
    <row r="3933" spans="7:7">
      <c r="G3933" s="149"/>
    </row>
    <row r="3934" spans="7:7">
      <c r="G3934" s="149"/>
    </row>
    <row r="3935" spans="7:7">
      <c r="G3935" s="149"/>
    </row>
    <row r="3936" spans="7:7">
      <c r="G3936" s="149"/>
    </row>
    <row r="3937" spans="7:7">
      <c r="G3937" s="149"/>
    </row>
    <row r="3938" spans="7:7">
      <c r="G3938" s="149"/>
    </row>
    <row r="3939" spans="7:7">
      <c r="G3939" s="149"/>
    </row>
    <row r="3940" spans="7:7">
      <c r="G3940" s="149"/>
    </row>
    <row r="3941" spans="7:7">
      <c r="G3941" s="149"/>
    </row>
    <row r="3942" spans="7:7">
      <c r="G3942" s="149"/>
    </row>
    <row r="3943" spans="7:7">
      <c r="G3943" s="149"/>
    </row>
    <row r="3944" spans="7:7">
      <c r="G3944" s="149"/>
    </row>
    <row r="3945" spans="7:7">
      <c r="G3945" s="149"/>
    </row>
    <row r="3946" spans="7:7">
      <c r="G3946" s="149"/>
    </row>
    <row r="3947" spans="7:7">
      <c r="G3947" s="149"/>
    </row>
    <row r="3948" spans="7:7">
      <c r="G3948" s="149"/>
    </row>
    <row r="3949" spans="7:7">
      <c r="G3949" s="149"/>
    </row>
    <row r="3950" spans="7:7">
      <c r="G3950" s="149"/>
    </row>
    <row r="3951" spans="7:7">
      <c r="G3951" s="149"/>
    </row>
    <row r="3952" spans="7:7">
      <c r="G3952" s="149"/>
    </row>
    <row r="3953" spans="7:7">
      <c r="G3953" s="149"/>
    </row>
    <row r="3954" spans="7:7">
      <c r="G3954" s="149"/>
    </row>
    <row r="3955" spans="7:7">
      <c r="G3955" s="149"/>
    </row>
    <row r="3956" spans="7:7">
      <c r="G3956" s="149"/>
    </row>
    <row r="3957" spans="7:7">
      <c r="G3957" s="149"/>
    </row>
    <row r="3958" spans="7:7">
      <c r="G3958" s="149"/>
    </row>
    <row r="3959" spans="7:7">
      <c r="G3959" s="149"/>
    </row>
    <row r="3960" spans="7:7">
      <c r="G3960" s="149"/>
    </row>
    <row r="3961" spans="7:7">
      <c r="G3961" s="149"/>
    </row>
    <row r="3962" spans="7:7">
      <c r="G3962" s="149"/>
    </row>
    <row r="3963" spans="7:7">
      <c r="G3963" s="149"/>
    </row>
    <row r="3964" spans="7:7">
      <c r="G3964" s="149"/>
    </row>
    <row r="3965" spans="7:7">
      <c r="G3965" s="149"/>
    </row>
    <row r="3966" spans="7:7">
      <c r="G3966" s="149"/>
    </row>
    <row r="3967" spans="7:7">
      <c r="G3967" s="149"/>
    </row>
    <row r="3968" spans="7:7">
      <c r="G3968" s="149"/>
    </row>
    <row r="3969" spans="7:7">
      <c r="G3969" s="149"/>
    </row>
    <row r="3970" spans="7:7">
      <c r="G3970" s="149"/>
    </row>
    <row r="3971" spans="7:7">
      <c r="G3971" s="149"/>
    </row>
    <row r="3972" spans="7:7">
      <c r="G3972" s="149"/>
    </row>
    <row r="3973" spans="7:7">
      <c r="G3973" s="149"/>
    </row>
    <row r="3974" spans="7:7">
      <c r="G3974" s="149"/>
    </row>
    <row r="3975" spans="7:7">
      <c r="G3975" s="149"/>
    </row>
    <row r="3976" spans="7:7">
      <c r="G3976" s="149"/>
    </row>
    <row r="3977" spans="7:7">
      <c r="G3977" s="149"/>
    </row>
    <row r="3978" spans="7:7">
      <c r="G3978" s="149"/>
    </row>
    <row r="3979" spans="7:7">
      <c r="G3979" s="149"/>
    </row>
    <row r="3980" spans="7:7">
      <c r="G3980" s="149"/>
    </row>
    <row r="3981" spans="7:7">
      <c r="G3981" s="149"/>
    </row>
    <row r="3982" spans="7:7">
      <c r="G3982" s="149"/>
    </row>
    <row r="3983" spans="7:7">
      <c r="G3983" s="149"/>
    </row>
    <row r="3984" spans="7:7">
      <c r="G3984" s="149"/>
    </row>
    <row r="3985" spans="7:7">
      <c r="G3985" s="149"/>
    </row>
    <row r="3986" spans="7:7">
      <c r="G3986" s="149"/>
    </row>
    <row r="3987" spans="7:7">
      <c r="G3987" s="149"/>
    </row>
    <row r="3988" spans="7:7">
      <c r="G3988" s="149"/>
    </row>
    <row r="3989" spans="7:7">
      <c r="G3989" s="149"/>
    </row>
    <row r="3990" spans="7:7">
      <c r="G3990" s="149"/>
    </row>
    <row r="3991" spans="7:7">
      <c r="G3991" s="149"/>
    </row>
    <row r="3992" spans="7:7">
      <c r="G3992" s="149"/>
    </row>
    <row r="3993" spans="7:7">
      <c r="G3993" s="149"/>
    </row>
    <row r="3994" spans="7:7">
      <c r="G3994" s="149"/>
    </row>
    <row r="3995" spans="7:7">
      <c r="G3995" s="149"/>
    </row>
    <row r="3996" spans="7:7">
      <c r="G3996" s="149"/>
    </row>
    <row r="3997" spans="7:7">
      <c r="G3997" s="149"/>
    </row>
    <row r="3998" spans="7:7">
      <c r="G3998" s="149"/>
    </row>
    <row r="3999" spans="7:7">
      <c r="G3999" s="149"/>
    </row>
    <row r="4000" spans="7:7">
      <c r="G4000" s="149"/>
    </row>
    <row r="4001" spans="7:7">
      <c r="G4001" s="149"/>
    </row>
    <row r="4002" spans="7:7">
      <c r="G4002" s="149"/>
    </row>
    <row r="4003" spans="7:7">
      <c r="G4003" s="149"/>
    </row>
    <row r="4004" spans="7:7">
      <c r="G4004" s="149"/>
    </row>
    <row r="4005" spans="7:7">
      <c r="G4005" s="149"/>
    </row>
    <row r="4006" spans="7:7">
      <c r="G4006" s="149"/>
    </row>
    <row r="4007" spans="7:7">
      <c r="G4007" s="149"/>
    </row>
    <row r="4008" spans="7:7">
      <c r="G4008" s="149"/>
    </row>
    <row r="4009" spans="7:7">
      <c r="G4009" s="149"/>
    </row>
    <row r="4010" spans="7:7">
      <c r="G4010" s="149"/>
    </row>
    <row r="4011" spans="7:7">
      <c r="G4011" s="149"/>
    </row>
    <row r="4012" spans="7:7">
      <c r="G4012" s="149"/>
    </row>
    <row r="4013" spans="7:7">
      <c r="G4013" s="149"/>
    </row>
    <row r="4014" spans="7:7">
      <c r="G4014" s="149"/>
    </row>
    <row r="4015" spans="7:7">
      <c r="G4015" s="149"/>
    </row>
    <row r="4016" spans="7:7">
      <c r="G4016" s="149"/>
    </row>
    <row r="4017" spans="7:7">
      <c r="G4017" s="149"/>
    </row>
    <row r="4018" spans="7:7">
      <c r="G4018" s="149"/>
    </row>
    <row r="4019" spans="7:7">
      <c r="G4019" s="149"/>
    </row>
    <row r="4020" spans="7:7">
      <c r="G4020" s="149"/>
    </row>
    <row r="4021" spans="7:7">
      <c r="G4021" s="149"/>
    </row>
    <row r="4022" spans="7:7">
      <c r="G4022" s="149"/>
    </row>
    <row r="4023" spans="7:7">
      <c r="G4023" s="149"/>
    </row>
    <row r="4024" spans="7:7">
      <c r="G4024" s="149"/>
    </row>
    <row r="4025" spans="7:7">
      <c r="G4025" s="149"/>
    </row>
    <row r="4026" spans="7:7">
      <c r="G4026" s="149"/>
    </row>
    <row r="4027" spans="7:7">
      <c r="G4027" s="149"/>
    </row>
    <row r="4028" spans="7:7">
      <c r="G4028" s="149"/>
    </row>
    <row r="4029" spans="7:7">
      <c r="G4029" s="149"/>
    </row>
    <row r="4030" spans="7:7">
      <c r="G4030" s="149"/>
    </row>
    <row r="4031" spans="7:7">
      <c r="G4031" s="149"/>
    </row>
    <row r="4032" spans="7:7">
      <c r="G4032" s="149"/>
    </row>
    <row r="4033" spans="7:7">
      <c r="G4033" s="149"/>
    </row>
    <row r="4034" spans="7:7">
      <c r="G4034" s="149"/>
    </row>
    <row r="4035" spans="7:7">
      <c r="G4035" s="149"/>
    </row>
    <row r="4036" spans="7:7">
      <c r="G4036" s="149"/>
    </row>
    <row r="4037" spans="7:7">
      <c r="G4037" s="149"/>
    </row>
    <row r="4038" spans="7:7">
      <c r="G4038" s="149"/>
    </row>
    <row r="4039" spans="7:7">
      <c r="G4039" s="149"/>
    </row>
    <row r="4040" spans="7:7">
      <c r="G4040" s="149"/>
    </row>
    <row r="4041" spans="7:7">
      <c r="G4041" s="149"/>
    </row>
    <row r="4042" spans="7:7">
      <c r="G4042" s="149"/>
    </row>
    <row r="4043" spans="7:7">
      <c r="G4043" s="149"/>
    </row>
    <row r="4044" spans="7:7">
      <c r="G4044" s="149"/>
    </row>
    <row r="4045" spans="7:7">
      <c r="G4045" s="149"/>
    </row>
    <row r="4046" spans="7:7">
      <c r="G4046" s="149"/>
    </row>
    <row r="4047" spans="7:7">
      <c r="G4047" s="149"/>
    </row>
    <row r="4048" spans="7:7">
      <c r="G4048" s="149"/>
    </row>
    <row r="4049" spans="7:7">
      <c r="G4049" s="149"/>
    </row>
    <row r="4050" spans="7:7">
      <c r="G4050" s="149"/>
    </row>
    <row r="4051" spans="7:7">
      <c r="G4051" s="149"/>
    </row>
    <row r="4052" spans="7:7">
      <c r="G4052" s="149"/>
    </row>
    <row r="4053" spans="7:7">
      <c r="G4053" s="149"/>
    </row>
    <row r="4054" spans="7:7">
      <c r="G4054" s="149"/>
    </row>
    <row r="4055" spans="7:7">
      <c r="G4055" s="149"/>
    </row>
    <row r="4056" spans="7:7">
      <c r="G4056" s="149"/>
    </row>
    <row r="4057" spans="7:7">
      <c r="G4057" s="149"/>
    </row>
    <row r="4058" spans="7:7">
      <c r="G4058" s="149"/>
    </row>
    <row r="4059" spans="7:7">
      <c r="G4059" s="149"/>
    </row>
    <row r="4060" spans="7:7">
      <c r="G4060" s="149"/>
    </row>
    <row r="4061" spans="7:7">
      <c r="G4061" s="149"/>
    </row>
    <row r="4062" spans="7:7">
      <c r="G4062" s="149"/>
    </row>
    <row r="4063" spans="7:7">
      <c r="G4063" s="149"/>
    </row>
    <row r="4064" spans="7:7">
      <c r="G4064" s="149"/>
    </row>
    <row r="4065" spans="7:7">
      <c r="G4065" s="149"/>
    </row>
    <row r="4066" spans="7:7">
      <c r="G4066" s="149"/>
    </row>
    <row r="4067" spans="7:7">
      <c r="G4067" s="149"/>
    </row>
    <row r="4068" spans="7:7">
      <c r="G4068" s="149"/>
    </row>
    <row r="4069" spans="7:7">
      <c r="G4069" s="149"/>
    </row>
    <row r="4070" spans="7:7">
      <c r="G4070" s="149"/>
    </row>
    <row r="4071" spans="7:7">
      <c r="G4071" s="149"/>
    </row>
    <row r="4072" spans="7:7">
      <c r="G4072" s="149"/>
    </row>
    <row r="4073" spans="7:7">
      <c r="G4073" s="149"/>
    </row>
    <row r="4074" spans="7:7">
      <c r="G4074" s="149"/>
    </row>
    <row r="4075" spans="7:7">
      <c r="G4075" s="149"/>
    </row>
    <row r="4076" spans="7:7">
      <c r="G4076" s="149"/>
    </row>
    <row r="4077" spans="7:7">
      <c r="G4077" s="149"/>
    </row>
    <row r="4078" spans="7:7">
      <c r="G4078" s="149"/>
    </row>
    <row r="4079" spans="7:7">
      <c r="G4079" s="149"/>
    </row>
    <row r="4080" spans="7:7">
      <c r="G4080" s="149"/>
    </row>
    <row r="4081" spans="7:7">
      <c r="G4081" s="149"/>
    </row>
    <row r="4082" spans="7:7">
      <c r="G4082" s="149"/>
    </row>
    <row r="4083" spans="7:7">
      <c r="G4083" s="149"/>
    </row>
    <row r="4084" spans="7:7">
      <c r="G4084" s="149"/>
    </row>
    <row r="4085" spans="7:7">
      <c r="G4085" s="149"/>
    </row>
    <row r="4086" spans="7:7">
      <c r="G4086" s="149"/>
    </row>
    <row r="4087" spans="7:7">
      <c r="G4087" s="149"/>
    </row>
    <row r="4088" spans="7:7">
      <c r="G4088" s="149"/>
    </row>
    <row r="4089" spans="7:7">
      <c r="G4089" s="149"/>
    </row>
    <row r="4090" spans="7:7">
      <c r="G4090" s="149"/>
    </row>
    <row r="4091" spans="7:7">
      <c r="G4091" s="149"/>
    </row>
    <row r="4092" spans="7:7">
      <c r="G4092" s="149"/>
    </row>
    <row r="4093" spans="7:7">
      <c r="G4093" s="149"/>
    </row>
    <row r="4094" spans="7:7">
      <c r="G4094" s="149"/>
    </row>
    <row r="4095" spans="7:7">
      <c r="G4095" s="149"/>
    </row>
    <row r="4096" spans="7:7">
      <c r="G4096" s="149"/>
    </row>
    <row r="4097" spans="7:7">
      <c r="G4097" s="149"/>
    </row>
    <row r="4098" spans="7:7">
      <c r="G4098" s="149"/>
    </row>
    <row r="4099" spans="7:7">
      <c r="G4099" s="149"/>
    </row>
    <row r="4100" spans="7:7">
      <c r="G4100" s="149"/>
    </row>
    <row r="4101" spans="7:7">
      <c r="G4101" s="149"/>
    </row>
    <row r="4102" spans="7:7">
      <c r="G4102" s="149"/>
    </row>
    <row r="4103" spans="7:7">
      <c r="G4103" s="149"/>
    </row>
    <row r="4104" spans="7:7">
      <c r="G4104" s="149"/>
    </row>
    <row r="4105" spans="7:7">
      <c r="G4105" s="149"/>
    </row>
    <row r="4106" spans="7:7">
      <c r="G4106" s="149"/>
    </row>
    <row r="4107" spans="7:7">
      <c r="G4107" s="149"/>
    </row>
    <row r="4108" spans="7:7">
      <c r="G4108" s="149"/>
    </row>
    <row r="4109" spans="7:7">
      <c r="G4109" s="149"/>
    </row>
    <row r="4110" spans="7:7">
      <c r="G4110" s="149"/>
    </row>
    <row r="4111" spans="7:7">
      <c r="G4111" s="149"/>
    </row>
    <row r="4112" spans="7:7">
      <c r="G4112" s="149"/>
    </row>
    <row r="4113" spans="7:7">
      <c r="G4113" s="149"/>
    </row>
    <row r="4114" spans="7:7">
      <c r="G4114" s="149"/>
    </row>
    <row r="4115" spans="7:7">
      <c r="G4115" s="149"/>
    </row>
    <row r="4116" spans="7:7">
      <c r="G4116" s="149"/>
    </row>
    <row r="4117" spans="7:7">
      <c r="G4117" s="149"/>
    </row>
    <row r="4118" spans="7:7">
      <c r="G4118" s="149"/>
    </row>
    <row r="4119" spans="7:7">
      <c r="G4119" s="149"/>
    </row>
    <row r="4120" spans="7:7">
      <c r="G4120" s="149"/>
    </row>
    <row r="4121" spans="7:7">
      <c r="G4121" s="149"/>
    </row>
    <row r="4122" spans="7:7">
      <c r="G4122" s="149"/>
    </row>
    <row r="4123" spans="7:7">
      <c r="G4123" s="149"/>
    </row>
    <row r="4124" spans="7:7">
      <c r="G4124" s="149"/>
    </row>
    <row r="4125" spans="7:7">
      <c r="G4125" s="149"/>
    </row>
    <row r="4126" spans="7:7">
      <c r="G4126" s="149"/>
    </row>
    <row r="4127" spans="7:7">
      <c r="G4127" s="149"/>
    </row>
    <row r="4128" spans="7:7">
      <c r="G4128" s="149"/>
    </row>
    <row r="4129" spans="7:7">
      <c r="G4129" s="149"/>
    </row>
    <row r="4130" spans="7:7">
      <c r="G4130" s="149"/>
    </row>
    <row r="4131" spans="7:7">
      <c r="G4131" s="149"/>
    </row>
    <row r="4132" spans="7:7">
      <c r="G4132" s="149"/>
    </row>
    <row r="4133" spans="7:7">
      <c r="G4133" s="149"/>
    </row>
    <row r="4134" spans="7:7">
      <c r="G4134" s="149"/>
    </row>
    <row r="4135" spans="7:7">
      <c r="G4135" s="149"/>
    </row>
    <row r="4136" spans="7:7">
      <c r="G4136" s="149"/>
    </row>
    <row r="4137" spans="7:7">
      <c r="G4137" s="149"/>
    </row>
    <row r="4138" spans="7:7">
      <c r="G4138" s="149"/>
    </row>
    <row r="4139" spans="7:7">
      <c r="G4139" s="149"/>
    </row>
    <row r="4140" spans="7:7">
      <c r="G4140" s="149"/>
    </row>
    <row r="4141" spans="7:7">
      <c r="G4141" s="149"/>
    </row>
    <row r="4142" spans="7:7">
      <c r="G4142" s="149"/>
    </row>
    <row r="4143" spans="7:7">
      <c r="G4143" s="149"/>
    </row>
    <row r="4144" spans="7:7">
      <c r="G4144" s="149"/>
    </row>
    <row r="4145" spans="7:7">
      <c r="G4145" s="149"/>
    </row>
    <row r="4146" spans="7:7">
      <c r="G4146" s="149"/>
    </row>
    <row r="4147" spans="7:7">
      <c r="G4147" s="149"/>
    </row>
    <row r="4148" spans="7:7">
      <c r="G4148" s="149"/>
    </row>
    <row r="4149" spans="7:7">
      <c r="G4149" s="149"/>
    </row>
    <row r="4150" spans="7:7">
      <c r="G4150" s="149"/>
    </row>
    <row r="4151" spans="7:7">
      <c r="G4151" s="149"/>
    </row>
    <row r="4152" spans="7:7">
      <c r="G4152" s="149"/>
    </row>
    <row r="4153" spans="7:7">
      <c r="G4153" s="149"/>
    </row>
    <row r="4154" spans="7:7">
      <c r="G4154" s="149"/>
    </row>
    <row r="4155" spans="7:7">
      <c r="G4155" s="149"/>
    </row>
    <row r="4156" spans="7:7">
      <c r="G4156" s="149"/>
    </row>
    <row r="4157" spans="7:7">
      <c r="G4157" s="149"/>
    </row>
    <row r="4158" spans="7:7">
      <c r="G4158" s="149"/>
    </row>
    <row r="4159" spans="7:7">
      <c r="G4159" s="149"/>
    </row>
    <row r="4160" spans="7:7">
      <c r="G4160" s="149"/>
    </row>
    <row r="4161" spans="7:7">
      <c r="G4161" s="149"/>
    </row>
    <row r="4162" spans="7:7">
      <c r="G4162" s="149"/>
    </row>
    <row r="4163" spans="7:7">
      <c r="G4163" s="149"/>
    </row>
    <row r="4164" spans="7:7">
      <c r="G4164" s="149"/>
    </row>
    <row r="4165" spans="7:7">
      <c r="G4165" s="149"/>
    </row>
    <row r="4166" spans="7:7">
      <c r="G4166" s="149"/>
    </row>
    <row r="4167" spans="7:7">
      <c r="G4167" s="149"/>
    </row>
    <row r="4168" spans="7:7">
      <c r="G4168" s="149"/>
    </row>
    <row r="4169" spans="7:7">
      <c r="G4169" s="149"/>
    </row>
    <row r="4170" spans="7:7">
      <c r="G4170" s="149"/>
    </row>
    <row r="4171" spans="7:7">
      <c r="G4171" s="149"/>
    </row>
    <row r="4172" spans="7:7">
      <c r="G4172" s="149"/>
    </row>
    <row r="4173" spans="7:7">
      <c r="G4173" s="149"/>
    </row>
    <row r="4174" spans="7:7">
      <c r="G4174" s="149"/>
    </row>
    <row r="4175" spans="7:7">
      <c r="G4175" s="149"/>
    </row>
    <row r="4176" spans="7:7">
      <c r="G4176" s="149"/>
    </row>
    <row r="4177" spans="7:7">
      <c r="G4177" s="149"/>
    </row>
    <row r="4178" spans="7:7">
      <c r="G4178" s="149"/>
    </row>
    <row r="4179" spans="7:7">
      <c r="G4179" s="149"/>
    </row>
    <row r="4180" spans="7:7">
      <c r="G4180" s="149"/>
    </row>
    <row r="4181" spans="7:7">
      <c r="G4181" s="149"/>
    </row>
    <row r="4182" spans="7:7">
      <c r="G4182" s="149"/>
    </row>
    <row r="4183" spans="7:7">
      <c r="G4183" s="149"/>
    </row>
    <row r="4184" spans="7:7">
      <c r="G4184" s="149"/>
    </row>
    <row r="4185" spans="7:7">
      <c r="G4185" s="149"/>
    </row>
    <row r="4186" spans="7:7">
      <c r="G4186" s="149"/>
    </row>
    <row r="4187" spans="7:7">
      <c r="G4187" s="149"/>
    </row>
    <row r="4188" spans="7:7">
      <c r="G4188" s="149"/>
    </row>
    <row r="4189" spans="7:7">
      <c r="G4189" s="149"/>
    </row>
    <row r="4190" spans="7:7">
      <c r="G4190" s="149"/>
    </row>
    <row r="4191" spans="7:7">
      <c r="G4191" s="149"/>
    </row>
    <row r="4192" spans="7:7">
      <c r="G4192" s="149"/>
    </row>
    <row r="4193" spans="7:7">
      <c r="G4193" s="149"/>
    </row>
    <row r="4194" spans="7:7">
      <c r="G4194" s="149"/>
    </row>
    <row r="4195" spans="7:7">
      <c r="G4195" s="149"/>
    </row>
    <row r="4196" spans="7:7">
      <c r="G4196" s="149"/>
    </row>
    <row r="4197" spans="7:7">
      <c r="G4197" s="149"/>
    </row>
    <row r="4198" spans="7:7">
      <c r="G4198" s="149"/>
    </row>
    <row r="4199" spans="7:7">
      <c r="G4199" s="149"/>
    </row>
    <row r="4200" spans="7:7">
      <c r="G4200" s="149"/>
    </row>
    <row r="4201" spans="7:7">
      <c r="G4201" s="149"/>
    </row>
    <row r="4202" spans="7:7">
      <c r="G4202" s="149"/>
    </row>
    <row r="4203" spans="7:7">
      <c r="G4203" s="149"/>
    </row>
    <row r="4204" spans="7:7">
      <c r="G4204" s="149"/>
    </row>
    <row r="4205" spans="7:7">
      <c r="G4205" s="149"/>
    </row>
    <row r="4206" spans="7:7">
      <c r="G4206" s="149"/>
    </row>
    <row r="4207" spans="7:7">
      <c r="G4207" s="149"/>
    </row>
    <row r="4208" spans="7:7">
      <c r="G4208" s="149"/>
    </row>
    <row r="4209" spans="7:7">
      <c r="G4209" s="149"/>
    </row>
    <row r="4210" spans="7:7">
      <c r="G4210" s="149"/>
    </row>
    <row r="4211" spans="7:7">
      <c r="G4211" s="149"/>
    </row>
    <row r="4212" spans="7:7">
      <c r="G4212" s="149"/>
    </row>
    <row r="4213" spans="7:7">
      <c r="G4213" s="149"/>
    </row>
    <row r="4214" spans="7:7">
      <c r="G4214" s="149"/>
    </row>
    <row r="4215" spans="7:7">
      <c r="G4215" s="149"/>
    </row>
    <row r="4216" spans="7:7">
      <c r="G4216" s="149"/>
    </row>
    <row r="4217" spans="7:7">
      <c r="G4217" s="149"/>
    </row>
    <row r="4218" spans="7:7">
      <c r="G4218" s="149"/>
    </row>
    <row r="4219" spans="7:7">
      <c r="G4219" s="149"/>
    </row>
    <row r="4220" spans="7:7">
      <c r="G4220" s="149"/>
    </row>
    <row r="4221" spans="7:7">
      <c r="G4221" s="149"/>
    </row>
    <row r="4222" spans="7:7">
      <c r="G4222" s="149"/>
    </row>
    <row r="4223" spans="7:7">
      <c r="G4223" s="149"/>
    </row>
    <row r="4224" spans="7:7">
      <c r="G4224" s="149"/>
    </row>
    <row r="4225" spans="7:7">
      <c r="G4225" s="149"/>
    </row>
    <row r="4226" spans="7:7">
      <c r="G4226" s="149"/>
    </row>
    <row r="4227" spans="7:7">
      <c r="G4227" s="149"/>
    </row>
    <row r="4228" spans="7:7">
      <c r="G4228" s="149"/>
    </row>
    <row r="4229" spans="7:7">
      <c r="G4229" s="149"/>
    </row>
    <row r="4230" spans="7:7">
      <c r="G4230" s="149"/>
    </row>
    <row r="4231" spans="7:7">
      <c r="G4231" s="149"/>
    </row>
    <row r="4232" spans="7:7">
      <c r="G4232" s="149"/>
    </row>
    <row r="4233" spans="7:7">
      <c r="G4233" s="149"/>
    </row>
    <row r="4234" spans="7:7">
      <c r="G4234" s="149"/>
    </row>
    <row r="4235" spans="7:7">
      <c r="G4235" s="149"/>
    </row>
    <row r="4236" spans="7:7">
      <c r="G4236" s="149"/>
    </row>
    <row r="4237" spans="7:7">
      <c r="G4237" s="149"/>
    </row>
    <row r="4238" spans="7:7">
      <c r="G4238" s="149"/>
    </row>
    <row r="4239" spans="7:7">
      <c r="G4239" s="149"/>
    </row>
    <row r="4240" spans="7:7">
      <c r="G4240" s="149"/>
    </row>
    <row r="4241" spans="7:7">
      <c r="G4241" s="149"/>
    </row>
    <row r="4242" spans="7:7">
      <c r="G4242" s="149"/>
    </row>
    <row r="4243" spans="7:7">
      <c r="G4243" s="149"/>
    </row>
    <row r="4244" spans="7:7">
      <c r="G4244" s="149"/>
    </row>
    <row r="4245" spans="7:7">
      <c r="G4245" s="149"/>
    </row>
    <row r="4246" spans="7:7">
      <c r="G4246" s="149"/>
    </row>
    <row r="4247" spans="7:7">
      <c r="G4247" s="149"/>
    </row>
    <row r="4248" spans="7:7">
      <c r="G4248" s="149"/>
    </row>
    <row r="4249" spans="7:7">
      <c r="G4249" s="149"/>
    </row>
    <row r="4250" spans="7:7">
      <c r="G4250" s="149"/>
    </row>
    <row r="4251" spans="7:7">
      <c r="G4251" s="149"/>
    </row>
    <row r="4252" spans="7:7">
      <c r="G4252" s="149"/>
    </row>
    <row r="4253" spans="7:7">
      <c r="G4253" s="149"/>
    </row>
    <row r="4254" spans="7:7">
      <c r="G4254" s="149"/>
    </row>
    <row r="4255" spans="7:7">
      <c r="G4255" s="149"/>
    </row>
    <row r="4256" spans="7:7">
      <c r="G4256" s="149"/>
    </row>
    <row r="4257" spans="7:7">
      <c r="G4257" s="149"/>
    </row>
    <row r="4258" spans="7:7">
      <c r="G4258" s="149"/>
    </row>
    <row r="4259" spans="7:7">
      <c r="G4259" s="149"/>
    </row>
    <row r="4260" spans="7:7">
      <c r="G4260" s="149"/>
    </row>
    <row r="4261" spans="7:7">
      <c r="G4261" s="149"/>
    </row>
    <row r="4262" spans="7:7">
      <c r="G4262" s="149"/>
    </row>
    <row r="4263" spans="7:7">
      <c r="G4263" s="149"/>
    </row>
    <row r="4264" spans="7:7">
      <c r="G4264" s="149"/>
    </row>
    <row r="4265" spans="7:7">
      <c r="G4265" s="149"/>
    </row>
    <row r="4266" spans="7:7">
      <c r="G4266" s="149"/>
    </row>
    <row r="4267" spans="7:7">
      <c r="G4267" s="149"/>
    </row>
    <row r="4268" spans="7:7">
      <c r="G4268" s="149"/>
    </row>
    <row r="4269" spans="7:7">
      <c r="G4269" s="149"/>
    </row>
    <row r="4270" spans="7:7">
      <c r="G4270" s="149"/>
    </row>
    <row r="4271" spans="7:7">
      <c r="G4271" s="149"/>
    </row>
    <row r="4272" spans="7:7">
      <c r="G4272" s="149"/>
    </row>
    <row r="4273" spans="7:7">
      <c r="G4273" s="149"/>
    </row>
    <row r="4274" spans="7:7">
      <c r="G4274" s="149"/>
    </row>
    <row r="4275" spans="7:7">
      <c r="G4275" s="149"/>
    </row>
    <row r="4276" spans="7:7">
      <c r="G4276" s="149"/>
    </row>
    <row r="4277" spans="7:7">
      <c r="G4277" s="149"/>
    </row>
    <row r="4278" spans="7:7">
      <c r="G4278" s="149"/>
    </row>
    <row r="4279" spans="7:7">
      <c r="G4279" s="149"/>
    </row>
    <row r="4280" spans="7:7">
      <c r="G4280" s="149"/>
    </row>
    <row r="4281" spans="7:7">
      <c r="G4281" s="149"/>
    </row>
    <row r="4282" spans="7:7">
      <c r="G4282" s="149"/>
    </row>
    <row r="4283" spans="7:7">
      <c r="G4283" s="149"/>
    </row>
    <row r="4284" spans="7:7">
      <c r="G4284" s="149"/>
    </row>
    <row r="4285" spans="7:7">
      <c r="G4285" s="149"/>
    </row>
    <row r="4286" spans="7:7">
      <c r="G4286" s="149"/>
    </row>
    <row r="4287" spans="7:7">
      <c r="G4287" s="149"/>
    </row>
    <row r="4288" spans="7:7">
      <c r="G4288" s="149"/>
    </row>
    <row r="4289" spans="7:7">
      <c r="G4289" s="149"/>
    </row>
    <row r="4290" spans="7:7">
      <c r="G4290" s="149"/>
    </row>
    <row r="4291" spans="7:7">
      <c r="G4291" s="149"/>
    </row>
    <row r="4292" spans="7:7">
      <c r="G4292" s="149"/>
    </row>
    <row r="4293" spans="7:7">
      <c r="G4293" s="149"/>
    </row>
    <row r="4294" spans="7:7">
      <c r="G4294" s="149"/>
    </row>
    <row r="4295" spans="7:7">
      <c r="G4295" s="149"/>
    </row>
    <row r="4296" spans="7:7">
      <c r="G4296" s="149"/>
    </row>
    <row r="4297" spans="7:7">
      <c r="G4297" s="149"/>
    </row>
    <row r="4298" spans="7:7">
      <c r="G4298" s="149"/>
    </row>
    <row r="4299" spans="7:7">
      <c r="G4299" s="149"/>
    </row>
    <row r="4300" spans="7:7">
      <c r="G4300" s="149"/>
    </row>
    <row r="4301" spans="7:7">
      <c r="G4301" s="149"/>
    </row>
    <row r="4302" spans="7:7">
      <c r="G4302" s="149"/>
    </row>
    <row r="4303" spans="7:7">
      <c r="G4303" s="149"/>
    </row>
    <row r="4304" spans="7:7">
      <c r="G4304" s="149"/>
    </row>
    <row r="4305" spans="7:7">
      <c r="G4305" s="149"/>
    </row>
    <row r="4306" spans="7:7">
      <c r="G4306" s="149"/>
    </row>
    <row r="4307" spans="7:7">
      <c r="G4307" s="149"/>
    </row>
    <row r="4308" spans="7:7">
      <c r="G4308" s="149"/>
    </row>
    <row r="4309" spans="7:7">
      <c r="G4309" s="149"/>
    </row>
    <row r="4310" spans="7:7">
      <c r="G4310" s="149"/>
    </row>
    <row r="4311" spans="7:7">
      <c r="G4311" s="149"/>
    </row>
    <row r="4312" spans="7:7">
      <c r="G4312" s="149"/>
    </row>
    <row r="4313" spans="7:7">
      <c r="G4313" s="149"/>
    </row>
    <row r="4314" spans="7:7">
      <c r="G4314" s="149"/>
    </row>
    <row r="4315" spans="7:7">
      <c r="G4315" s="149"/>
    </row>
    <row r="4316" spans="7:7">
      <c r="G4316" s="149"/>
    </row>
    <row r="4317" spans="7:7">
      <c r="G4317" s="149"/>
    </row>
    <row r="4318" spans="7:7">
      <c r="G4318" s="149"/>
    </row>
    <row r="4319" spans="7:7">
      <c r="G4319" s="149"/>
    </row>
    <row r="4320" spans="7:7">
      <c r="G4320" s="149"/>
    </row>
    <row r="4321" spans="7:7">
      <c r="G4321" s="149"/>
    </row>
    <row r="4322" spans="7:7">
      <c r="G4322" s="149"/>
    </row>
    <row r="4323" spans="7:7">
      <c r="G4323" s="149"/>
    </row>
    <row r="4324" spans="7:7">
      <c r="G4324" s="149"/>
    </row>
    <row r="4325" spans="7:7">
      <c r="G4325" s="149"/>
    </row>
    <row r="4326" spans="7:7">
      <c r="G4326" s="149"/>
    </row>
    <row r="4327" spans="7:7">
      <c r="G4327" s="149"/>
    </row>
    <row r="4328" spans="7:7">
      <c r="G4328" s="149"/>
    </row>
    <row r="4329" spans="7:7">
      <c r="G4329" s="149"/>
    </row>
    <row r="4330" spans="7:7">
      <c r="G4330" s="149"/>
    </row>
    <row r="4331" spans="7:7">
      <c r="G4331" s="149"/>
    </row>
    <row r="4332" spans="7:7">
      <c r="G4332" s="149"/>
    </row>
    <row r="4333" spans="7:7">
      <c r="G4333" s="149"/>
    </row>
    <row r="4334" spans="7:7">
      <c r="G4334" s="149"/>
    </row>
    <row r="4335" spans="7:7">
      <c r="G4335" s="149"/>
    </row>
    <row r="4336" spans="7:7">
      <c r="G4336" s="149"/>
    </row>
    <row r="4337" spans="7:7">
      <c r="G4337" s="149"/>
    </row>
    <row r="4338" spans="7:7">
      <c r="G4338" s="149"/>
    </row>
    <row r="4339" spans="7:7">
      <c r="G4339" s="149"/>
    </row>
    <row r="4340" spans="7:7">
      <c r="G4340" s="149"/>
    </row>
    <row r="4341" spans="7:7">
      <c r="G4341" s="149"/>
    </row>
    <row r="4342" spans="7:7">
      <c r="G4342" s="149"/>
    </row>
    <row r="4343" spans="7:7">
      <c r="G4343" s="149"/>
    </row>
    <row r="4344" spans="7:7">
      <c r="G4344" s="149"/>
    </row>
    <row r="4345" spans="7:7">
      <c r="G4345" s="149"/>
    </row>
    <row r="4346" spans="7:7">
      <c r="G4346" s="149"/>
    </row>
    <row r="4347" spans="7:7">
      <c r="G4347" s="149"/>
    </row>
    <row r="4348" spans="7:7">
      <c r="G4348" s="149"/>
    </row>
    <row r="4349" spans="7:7">
      <c r="G4349" s="149"/>
    </row>
    <row r="4350" spans="7:7">
      <c r="G4350" s="149"/>
    </row>
    <row r="4351" spans="7:7">
      <c r="G4351" s="149"/>
    </row>
    <row r="4352" spans="7:7">
      <c r="G4352" s="149"/>
    </row>
    <row r="4353" spans="7:7">
      <c r="G4353" s="149"/>
    </row>
    <row r="4354" spans="7:7">
      <c r="G4354" s="149"/>
    </row>
    <row r="4355" spans="7:7">
      <c r="G4355" s="149"/>
    </row>
    <row r="4356" spans="7:7">
      <c r="G4356" s="149"/>
    </row>
    <row r="4357" spans="7:7">
      <c r="G4357" s="149"/>
    </row>
    <row r="4358" spans="7:7">
      <c r="G4358" s="149"/>
    </row>
    <row r="4359" spans="7:7">
      <c r="G4359" s="149"/>
    </row>
    <row r="4360" spans="7:7">
      <c r="G4360" s="149"/>
    </row>
    <row r="4361" spans="7:7">
      <c r="G4361" s="149"/>
    </row>
    <row r="4362" spans="7:7">
      <c r="G4362" s="149"/>
    </row>
    <row r="4363" spans="7:7">
      <c r="G4363" s="149"/>
    </row>
    <row r="4364" spans="7:7">
      <c r="G4364" s="149"/>
    </row>
    <row r="4365" spans="7:7">
      <c r="G4365" s="149"/>
    </row>
    <row r="4366" spans="7:7">
      <c r="G4366" s="149"/>
    </row>
    <row r="4367" spans="7:7">
      <c r="G4367" s="149"/>
    </row>
    <row r="4368" spans="7:7">
      <c r="G4368" s="149"/>
    </row>
    <row r="4369" spans="7:7">
      <c r="G4369" s="149"/>
    </row>
    <row r="4370" spans="7:7">
      <c r="G4370" s="149"/>
    </row>
    <row r="4371" spans="7:7">
      <c r="G4371" s="149"/>
    </row>
    <row r="4372" spans="7:7">
      <c r="G4372" s="149"/>
    </row>
    <row r="4373" spans="7:7">
      <c r="G4373" s="149"/>
    </row>
    <row r="4374" spans="7:7">
      <c r="G4374" s="149"/>
    </row>
    <row r="4375" spans="7:7">
      <c r="G4375" s="149"/>
    </row>
    <row r="4376" spans="7:7">
      <c r="G4376" s="149"/>
    </row>
    <row r="4377" spans="7:7">
      <c r="G4377" s="149"/>
    </row>
    <row r="4378" spans="7:7">
      <c r="G4378" s="149"/>
    </row>
    <row r="4379" spans="7:7">
      <c r="G4379" s="149"/>
    </row>
    <row r="4380" spans="7:7">
      <c r="G4380" s="149"/>
    </row>
    <row r="4381" spans="7:7">
      <c r="G4381" s="149"/>
    </row>
    <row r="4382" spans="7:7">
      <c r="G4382" s="149"/>
    </row>
    <row r="4383" spans="7:7">
      <c r="G4383" s="149"/>
    </row>
    <row r="4384" spans="7:7">
      <c r="G4384" s="149"/>
    </row>
    <row r="4385" spans="7:7">
      <c r="G4385" s="149"/>
    </row>
    <row r="4386" spans="7:7">
      <c r="G4386" s="149"/>
    </row>
    <row r="4387" spans="7:7">
      <c r="G4387" s="149"/>
    </row>
    <row r="4388" spans="7:7">
      <c r="G4388" s="149"/>
    </row>
    <row r="4389" spans="7:7">
      <c r="G4389" s="149"/>
    </row>
    <row r="4390" spans="7:7">
      <c r="G4390" s="149"/>
    </row>
    <row r="4391" spans="7:7">
      <c r="G4391" s="149"/>
    </row>
    <row r="4392" spans="7:7">
      <c r="G4392" s="149"/>
    </row>
    <row r="4393" spans="7:7">
      <c r="G4393" s="149"/>
    </row>
    <row r="4394" spans="7:7">
      <c r="G4394" s="149"/>
    </row>
    <row r="4395" spans="7:7">
      <c r="G4395" s="149"/>
    </row>
    <row r="4396" spans="7:7">
      <c r="G4396" s="149"/>
    </row>
    <row r="4397" spans="7:7">
      <c r="G4397" s="149"/>
    </row>
    <row r="4398" spans="7:7">
      <c r="G4398" s="149"/>
    </row>
    <row r="4399" spans="7:7">
      <c r="G4399" s="149"/>
    </row>
    <row r="4400" spans="7:7">
      <c r="G4400" s="149"/>
    </row>
    <row r="4401" spans="7:7">
      <c r="G4401" s="149"/>
    </row>
    <row r="4402" spans="7:7">
      <c r="G4402" s="149"/>
    </row>
    <row r="4403" spans="7:7">
      <c r="G4403" s="149"/>
    </row>
    <row r="4404" spans="7:7">
      <c r="G4404" s="149"/>
    </row>
    <row r="4405" spans="7:7">
      <c r="G4405" s="149"/>
    </row>
    <row r="4406" spans="7:7">
      <c r="G4406" s="149"/>
    </row>
    <row r="4407" spans="7:7">
      <c r="G4407" s="149"/>
    </row>
    <row r="4408" spans="7:7">
      <c r="G4408" s="149"/>
    </row>
    <row r="4409" spans="7:7">
      <c r="G4409" s="149"/>
    </row>
    <row r="4410" spans="7:7">
      <c r="G4410" s="149"/>
    </row>
    <row r="4411" spans="7:7">
      <c r="G4411" s="149"/>
    </row>
    <row r="4412" spans="7:7">
      <c r="G4412" s="149"/>
    </row>
    <row r="4413" spans="7:7">
      <c r="G4413" s="149"/>
    </row>
    <row r="4414" spans="7:7">
      <c r="G4414" s="149"/>
    </row>
    <row r="4415" spans="7:7">
      <c r="G4415" s="149"/>
    </row>
    <row r="4416" spans="7:7">
      <c r="G4416" s="149"/>
    </row>
    <row r="4417" spans="7:7">
      <c r="G4417" s="149"/>
    </row>
    <row r="4418" spans="7:7">
      <c r="G4418" s="149"/>
    </row>
    <row r="4419" spans="7:7">
      <c r="G4419" s="149"/>
    </row>
    <row r="4420" spans="7:7">
      <c r="G4420" s="149"/>
    </row>
    <row r="4421" spans="7:7">
      <c r="G4421" s="149"/>
    </row>
    <row r="4422" spans="7:7">
      <c r="G4422" s="149"/>
    </row>
    <row r="4423" spans="7:7">
      <c r="G4423" s="149"/>
    </row>
    <row r="4424" spans="7:7">
      <c r="G4424" s="149"/>
    </row>
    <row r="4425" spans="7:7">
      <c r="G4425" s="149"/>
    </row>
    <row r="4426" spans="7:7">
      <c r="G4426" s="149"/>
    </row>
    <row r="4427" spans="7:7">
      <c r="G4427" s="149"/>
    </row>
    <row r="4428" spans="7:7">
      <c r="G4428" s="149"/>
    </row>
    <row r="4429" spans="7:7">
      <c r="G4429" s="149"/>
    </row>
    <row r="4430" spans="7:7">
      <c r="G4430" s="149"/>
    </row>
    <row r="4431" spans="7:7">
      <c r="G4431" s="149"/>
    </row>
    <row r="4432" spans="7:7">
      <c r="G4432" s="149"/>
    </row>
    <row r="4433" spans="7:7">
      <c r="G4433" s="149"/>
    </row>
    <row r="4434" spans="7:7">
      <c r="G4434" s="149"/>
    </row>
    <row r="4435" spans="7:7">
      <c r="G4435" s="149"/>
    </row>
    <row r="4436" spans="7:7">
      <c r="G4436" s="149"/>
    </row>
    <row r="4437" spans="7:7">
      <c r="G4437" s="149"/>
    </row>
    <row r="4438" spans="7:7">
      <c r="G4438" s="149"/>
    </row>
    <row r="4439" spans="7:7">
      <c r="G4439" s="149"/>
    </row>
    <row r="4440" spans="7:7">
      <c r="G4440" s="149"/>
    </row>
    <row r="4441" spans="7:7">
      <c r="G4441" s="149"/>
    </row>
    <row r="4442" spans="7:7">
      <c r="G4442" s="149"/>
    </row>
    <row r="4443" spans="7:7">
      <c r="G4443" s="149"/>
    </row>
    <row r="4444" spans="7:7">
      <c r="G4444" s="149"/>
    </row>
    <row r="4445" spans="7:7">
      <c r="G4445" s="149"/>
    </row>
    <row r="4446" spans="7:7">
      <c r="G4446" s="149"/>
    </row>
    <row r="4447" spans="7:7">
      <c r="G4447" s="149"/>
    </row>
    <row r="4448" spans="7:7">
      <c r="G4448" s="149"/>
    </row>
    <row r="4449" spans="7:7">
      <c r="G4449" s="149"/>
    </row>
    <row r="4450" spans="7:7">
      <c r="G4450" s="149"/>
    </row>
    <row r="4451" spans="7:7">
      <c r="G4451" s="149"/>
    </row>
    <row r="4452" spans="7:7">
      <c r="G4452" s="149"/>
    </row>
    <row r="4453" spans="7:7">
      <c r="G4453" s="149"/>
    </row>
    <row r="4454" spans="7:7">
      <c r="G4454" s="149"/>
    </row>
    <row r="4455" spans="7:7">
      <c r="G4455" s="149"/>
    </row>
    <row r="4456" spans="7:7">
      <c r="G4456" s="149"/>
    </row>
    <row r="4457" spans="7:7">
      <c r="G4457" s="149"/>
    </row>
    <row r="4458" spans="7:7">
      <c r="G4458" s="149"/>
    </row>
    <row r="4459" spans="7:7">
      <c r="G4459" s="149"/>
    </row>
    <row r="4460" spans="7:7">
      <c r="G4460" s="149"/>
    </row>
    <row r="4461" spans="7:7">
      <c r="G4461" s="149"/>
    </row>
    <row r="4462" spans="7:7">
      <c r="G4462" s="149"/>
    </row>
    <row r="4463" spans="7:7">
      <c r="G4463" s="149"/>
    </row>
    <row r="4464" spans="7:7">
      <c r="G4464" s="149"/>
    </row>
    <row r="4465" spans="7:7">
      <c r="G4465" s="149"/>
    </row>
    <row r="4466" spans="7:7">
      <c r="G4466" s="149"/>
    </row>
    <row r="4467" spans="7:7">
      <c r="G4467" s="149"/>
    </row>
    <row r="4468" spans="7:7">
      <c r="G4468" s="149"/>
    </row>
    <row r="4469" spans="7:7">
      <c r="G4469" s="149"/>
    </row>
    <row r="4470" spans="7:7">
      <c r="G4470" s="149"/>
    </row>
    <row r="4471" spans="7:7">
      <c r="G4471" s="149"/>
    </row>
    <row r="4472" spans="7:7">
      <c r="G4472" s="149"/>
    </row>
    <row r="4473" spans="7:7">
      <c r="G4473" s="149"/>
    </row>
    <row r="4474" spans="7:7">
      <c r="G4474" s="149"/>
    </row>
    <row r="4475" spans="7:7">
      <c r="G4475" s="149"/>
    </row>
    <row r="4476" spans="7:7">
      <c r="G4476" s="149"/>
    </row>
    <row r="4477" spans="7:7">
      <c r="G4477" s="149"/>
    </row>
    <row r="4478" spans="7:7">
      <c r="G4478" s="149"/>
    </row>
    <row r="4479" spans="7:7">
      <c r="G4479" s="149"/>
    </row>
    <row r="4480" spans="7:7">
      <c r="G4480" s="149"/>
    </row>
    <row r="4481" spans="7:7">
      <c r="G4481" s="149"/>
    </row>
    <row r="4482" spans="7:7">
      <c r="G4482" s="149"/>
    </row>
    <row r="4483" spans="7:7">
      <c r="G4483" s="149"/>
    </row>
    <row r="4484" spans="7:7">
      <c r="G4484" s="149"/>
    </row>
    <row r="4485" spans="7:7">
      <c r="G4485" s="149"/>
    </row>
    <row r="4486" spans="7:7">
      <c r="G4486" s="149"/>
    </row>
    <row r="4487" spans="7:7">
      <c r="G4487" s="149"/>
    </row>
    <row r="4488" spans="7:7">
      <c r="G4488" s="149"/>
    </row>
    <row r="4489" spans="7:7">
      <c r="G4489" s="149"/>
    </row>
    <row r="4490" spans="7:7">
      <c r="G4490" s="149"/>
    </row>
    <row r="4491" spans="7:7">
      <c r="G4491" s="149"/>
    </row>
    <row r="4492" spans="7:7">
      <c r="G4492" s="149"/>
    </row>
    <row r="4493" spans="7:7">
      <c r="G4493" s="149"/>
    </row>
    <row r="4494" spans="7:7">
      <c r="G4494" s="149"/>
    </row>
    <row r="4495" spans="7:7">
      <c r="G4495" s="149"/>
    </row>
    <row r="4496" spans="7:7">
      <c r="G4496" s="149"/>
    </row>
    <row r="4497" spans="7:7">
      <c r="G4497" s="149"/>
    </row>
    <row r="4498" spans="7:7">
      <c r="G4498" s="149"/>
    </row>
    <row r="4499" spans="7:7">
      <c r="G4499" s="149"/>
    </row>
    <row r="4500" spans="7:7">
      <c r="G4500" s="149"/>
    </row>
    <row r="4501" spans="7:7">
      <c r="G4501" s="149"/>
    </row>
    <row r="4502" spans="7:7">
      <c r="G4502" s="149"/>
    </row>
    <row r="4503" spans="7:7">
      <c r="G4503" s="149"/>
    </row>
    <row r="4504" spans="7:7">
      <c r="G4504" s="149"/>
    </row>
    <row r="4505" spans="7:7">
      <c r="G4505" s="149"/>
    </row>
    <row r="4506" spans="7:7">
      <c r="G4506" s="149"/>
    </row>
    <row r="4507" spans="7:7">
      <c r="G4507" s="149"/>
    </row>
    <row r="4508" spans="7:7">
      <c r="G4508" s="149"/>
    </row>
    <row r="4509" spans="7:7">
      <c r="G4509" s="149"/>
    </row>
    <row r="4510" spans="7:7">
      <c r="G4510" s="149"/>
    </row>
    <row r="4511" spans="7:7">
      <c r="G4511" s="149"/>
    </row>
    <row r="4512" spans="7:7">
      <c r="G4512" s="149"/>
    </row>
    <row r="4513" spans="7:7">
      <c r="G4513" s="149"/>
    </row>
    <row r="4514" spans="7:7">
      <c r="G4514" s="149"/>
    </row>
    <row r="4515" spans="7:7">
      <c r="G4515" s="149"/>
    </row>
    <row r="4516" spans="7:7">
      <c r="G4516" s="149"/>
    </row>
    <row r="4517" spans="7:7">
      <c r="G4517" s="149"/>
    </row>
    <row r="4518" spans="7:7">
      <c r="G4518" s="149"/>
    </row>
    <row r="4519" spans="7:7">
      <c r="G4519" s="149"/>
    </row>
    <row r="4520" spans="7:7">
      <c r="G4520" s="149"/>
    </row>
    <row r="4521" spans="7:7">
      <c r="G4521" s="149"/>
    </row>
    <row r="4522" spans="7:7">
      <c r="G4522" s="149"/>
    </row>
    <row r="4523" spans="7:7">
      <c r="G4523" s="149"/>
    </row>
    <row r="4524" spans="7:7">
      <c r="G4524" s="149"/>
    </row>
    <row r="4525" spans="7:7">
      <c r="G4525" s="149"/>
    </row>
    <row r="4526" spans="7:7">
      <c r="G4526" s="149"/>
    </row>
    <row r="4527" spans="7:7">
      <c r="G4527" s="149"/>
    </row>
    <row r="4528" spans="7:7">
      <c r="G4528" s="149"/>
    </row>
    <row r="4529" spans="7:7">
      <c r="G4529" s="149"/>
    </row>
    <row r="4530" spans="7:7">
      <c r="G4530" s="149"/>
    </row>
    <row r="4531" spans="7:7">
      <c r="G4531" s="149"/>
    </row>
    <row r="4532" spans="7:7">
      <c r="G4532" s="149"/>
    </row>
    <row r="4533" spans="7:7">
      <c r="G4533" s="149"/>
    </row>
    <row r="4534" spans="7:7">
      <c r="G4534" s="149"/>
    </row>
    <row r="4535" spans="7:7">
      <c r="G4535" s="149"/>
    </row>
    <row r="4536" spans="7:7">
      <c r="G4536" s="149"/>
    </row>
    <row r="4537" spans="7:7">
      <c r="G4537" s="149"/>
    </row>
    <row r="4538" spans="7:7">
      <c r="G4538" s="149"/>
    </row>
    <row r="4539" spans="7:7">
      <c r="G4539" s="149"/>
    </row>
    <row r="4540" spans="7:7">
      <c r="G4540" s="149"/>
    </row>
    <row r="4541" spans="7:7">
      <c r="G4541" s="149"/>
    </row>
    <row r="4542" spans="7:7">
      <c r="G4542" s="149"/>
    </row>
    <row r="4543" spans="7:7">
      <c r="G4543" s="149"/>
    </row>
    <row r="4544" spans="7:7">
      <c r="G4544" s="149"/>
    </row>
    <row r="4545" spans="7:7">
      <c r="G4545" s="149"/>
    </row>
    <row r="4546" spans="7:7">
      <c r="G4546" s="149"/>
    </row>
    <row r="4547" spans="7:7">
      <c r="G4547" s="149"/>
    </row>
    <row r="4548" spans="7:7">
      <c r="G4548" s="149"/>
    </row>
    <row r="4549" spans="7:7">
      <c r="G4549" s="149"/>
    </row>
    <row r="4550" spans="7:7">
      <c r="G4550" s="149"/>
    </row>
    <row r="4551" spans="7:7">
      <c r="G4551" s="149"/>
    </row>
    <row r="4552" spans="7:7">
      <c r="G4552" s="149"/>
    </row>
    <row r="4553" spans="7:7">
      <c r="G4553" s="149"/>
    </row>
    <row r="4554" spans="7:7">
      <c r="G4554" s="149"/>
    </row>
    <row r="4555" spans="7:7">
      <c r="G4555" s="149"/>
    </row>
    <row r="4556" spans="7:7">
      <c r="G4556" s="149"/>
    </row>
    <row r="4557" spans="7:7">
      <c r="G4557" s="149"/>
    </row>
    <row r="4558" spans="7:7">
      <c r="G4558" s="149"/>
    </row>
    <row r="4559" spans="7:7">
      <c r="G4559" s="149"/>
    </row>
    <row r="4560" spans="7:7">
      <c r="G4560" s="149"/>
    </row>
    <row r="4561" spans="7:7">
      <c r="G4561" s="149"/>
    </row>
    <row r="4562" spans="7:7">
      <c r="G4562" s="149"/>
    </row>
    <row r="4563" spans="7:7">
      <c r="G4563" s="149"/>
    </row>
    <row r="4564" spans="7:7">
      <c r="G4564" s="149"/>
    </row>
    <row r="4565" spans="7:7">
      <c r="G4565" s="149"/>
    </row>
    <row r="4566" spans="7:7">
      <c r="G4566" s="149"/>
    </row>
    <row r="4567" spans="7:7">
      <c r="G4567" s="149"/>
    </row>
    <row r="4568" spans="7:7">
      <c r="G4568" s="149"/>
    </row>
    <row r="4569" spans="7:7">
      <c r="G4569" s="149"/>
    </row>
    <row r="4570" spans="7:7">
      <c r="G4570" s="149"/>
    </row>
    <row r="4571" spans="7:7">
      <c r="G4571" s="149"/>
    </row>
    <row r="4572" spans="7:7">
      <c r="G4572" s="149"/>
    </row>
    <row r="4573" spans="7:7">
      <c r="G4573" s="149"/>
    </row>
    <row r="4574" spans="7:7">
      <c r="G4574" s="149"/>
    </row>
    <row r="4575" spans="7:7">
      <c r="G4575" s="149"/>
    </row>
    <row r="4576" spans="7:7">
      <c r="G4576" s="149"/>
    </row>
    <row r="4577" spans="7:7">
      <c r="G4577" s="149"/>
    </row>
    <row r="4578" spans="7:7">
      <c r="G4578" s="149"/>
    </row>
    <row r="4579" spans="7:7">
      <c r="G4579" s="149"/>
    </row>
    <row r="4580" spans="7:7">
      <c r="G4580" s="149"/>
    </row>
    <row r="4581" spans="7:7">
      <c r="G4581" s="149"/>
    </row>
    <row r="4582" spans="7:7">
      <c r="G4582" s="149"/>
    </row>
    <row r="4583" spans="7:7">
      <c r="G4583" s="149"/>
    </row>
    <row r="4584" spans="7:7">
      <c r="G4584" s="149"/>
    </row>
    <row r="4585" spans="7:7">
      <c r="G4585" s="149"/>
    </row>
    <row r="4586" spans="7:7">
      <c r="G4586" s="149"/>
    </row>
    <row r="4587" spans="7:7">
      <c r="G4587" s="149"/>
    </row>
    <row r="4588" spans="7:7">
      <c r="G4588" s="149"/>
    </row>
    <row r="4589" spans="7:7">
      <c r="G4589" s="149"/>
    </row>
    <row r="4590" spans="7:7">
      <c r="G4590" s="149"/>
    </row>
    <row r="4591" spans="7:7">
      <c r="G4591" s="149"/>
    </row>
    <row r="4592" spans="7:7">
      <c r="G4592" s="149"/>
    </row>
    <row r="4593" spans="7:7">
      <c r="G4593" s="149"/>
    </row>
    <row r="4594" spans="7:7">
      <c r="G4594" s="149"/>
    </row>
    <row r="4595" spans="7:7">
      <c r="G4595" s="149"/>
    </row>
    <row r="4596" spans="7:7">
      <c r="G4596" s="149"/>
    </row>
    <row r="4597" spans="7:7">
      <c r="G4597" s="149"/>
    </row>
    <row r="4598" spans="7:7">
      <c r="G4598" s="149"/>
    </row>
    <row r="4599" spans="7:7">
      <c r="G4599" s="149"/>
    </row>
    <row r="4600" spans="7:7">
      <c r="G4600" s="149"/>
    </row>
    <row r="4601" spans="7:7">
      <c r="G4601" s="149"/>
    </row>
    <row r="4602" spans="7:7">
      <c r="G4602" s="149"/>
    </row>
    <row r="4603" spans="7:7">
      <c r="G4603" s="149"/>
    </row>
    <row r="4604" spans="7:7">
      <c r="G4604" s="149"/>
    </row>
    <row r="4605" spans="7:7">
      <c r="G4605" s="149"/>
    </row>
    <row r="4606" spans="7:7">
      <c r="G4606" s="149"/>
    </row>
    <row r="4607" spans="7:7">
      <c r="G4607" s="149"/>
    </row>
    <row r="4608" spans="7:7">
      <c r="G4608" s="149"/>
    </row>
    <row r="4609" spans="7:7">
      <c r="G4609" s="149"/>
    </row>
    <row r="4610" spans="7:7">
      <c r="G4610" s="149"/>
    </row>
    <row r="4611" spans="7:7">
      <c r="G4611" s="149"/>
    </row>
    <row r="4612" spans="7:7">
      <c r="G4612" s="149"/>
    </row>
    <row r="4613" spans="7:7">
      <c r="G4613" s="149"/>
    </row>
    <row r="4614" spans="7:7">
      <c r="G4614" s="149"/>
    </row>
    <row r="4615" spans="7:7">
      <c r="G4615" s="149"/>
    </row>
    <row r="4616" spans="7:7">
      <c r="G4616" s="149"/>
    </row>
    <row r="4617" spans="7:7">
      <c r="G4617" s="149"/>
    </row>
    <row r="4618" spans="7:7">
      <c r="G4618" s="149"/>
    </row>
    <row r="4619" spans="7:7">
      <c r="G4619" s="149"/>
    </row>
    <row r="4620" spans="7:7">
      <c r="G4620" s="149"/>
    </row>
    <row r="4621" spans="7:7">
      <c r="G4621" s="149"/>
    </row>
    <row r="4622" spans="7:7">
      <c r="G4622" s="149"/>
    </row>
    <row r="4623" spans="7:7">
      <c r="G4623" s="149"/>
    </row>
    <row r="4624" spans="7:7">
      <c r="G4624" s="149"/>
    </row>
    <row r="4625" spans="7:7">
      <c r="G4625" s="149"/>
    </row>
    <row r="4626" spans="7:7">
      <c r="G4626" s="149"/>
    </row>
    <row r="4627" spans="7:7">
      <c r="G4627" s="149"/>
    </row>
    <row r="4628" spans="7:7">
      <c r="G4628" s="149"/>
    </row>
    <row r="4629" spans="7:7">
      <c r="G4629" s="149"/>
    </row>
    <row r="4630" spans="7:7">
      <c r="G4630" s="149"/>
    </row>
    <row r="4631" spans="7:7">
      <c r="G4631" s="149"/>
    </row>
    <row r="4632" spans="7:7">
      <c r="G4632" s="149"/>
    </row>
    <row r="4633" spans="7:7">
      <c r="G4633" s="149"/>
    </row>
    <row r="4634" spans="7:7">
      <c r="G4634" s="149"/>
    </row>
    <row r="4635" spans="7:7">
      <c r="G4635" s="149"/>
    </row>
    <row r="4636" spans="7:7">
      <c r="G4636" s="149"/>
    </row>
    <row r="4637" spans="7:7">
      <c r="G4637" s="149"/>
    </row>
    <row r="4638" spans="7:7">
      <c r="G4638" s="149"/>
    </row>
    <row r="4639" spans="7:7">
      <c r="G4639" s="149"/>
    </row>
    <row r="4640" spans="7:7">
      <c r="G4640" s="149"/>
    </row>
    <row r="4641" spans="7:7">
      <c r="G4641" s="149"/>
    </row>
    <row r="4642" spans="7:7">
      <c r="G4642" s="149"/>
    </row>
    <row r="4643" spans="7:7">
      <c r="G4643" s="149"/>
    </row>
    <row r="4644" spans="7:7">
      <c r="G4644" s="149"/>
    </row>
    <row r="4645" spans="7:7">
      <c r="G4645" s="149"/>
    </row>
    <row r="4646" spans="7:7">
      <c r="G4646" s="149"/>
    </row>
    <row r="4647" spans="7:7">
      <c r="G4647" s="149"/>
    </row>
    <row r="4648" spans="7:7">
      <c r="G4648" s="149"/>
    </row>
    <row r="4649" spans="7:7">
      <c r="G4649" s="149"/>
    </row>
    <row r="4650" spans="7:7">
      <c r="G4650" s="149"/>
    </row>
    <row r="4651" spans="7:7">
      <c r="G4651" s="149"/>
    </row>
    <row r="4652" spans="7:7">
      <c r="G4652" s="149"/>
    </row>
    <row r="4653" spans="7:7">
      <c r="G4653" s="149"/>
    </row>
    <row r="4654" spans="7:7">
      <c r="G4654" s="149"/>
    </row>
    <row r="4655" spans="7:7">
      <c r="G4655" s="149"/>
    </row>
    <row r="4656" spans="7:7">
      <c r="G4656" s="149"/>
    </row>
    <row r="4657" spans="7:7">
      <c r="G4657" s="149"/>
    </row>
    <row r="4658" spans="7:7">
      <c r="G4658" s="149"/>
    </row>
    <row r="4659" spans="7:7">
      <c r="G4659" s="149"/>
    </row>
    <row r="4660" spans="7:7">
      <c r="G4660" s="149"/>
    </row>
    <row r="4661" spans="7:7">
      <c r="G4661" s="149"/>
    </row>
    <row r="4662" spans="7:7">
      <c r="G4662" s="149"/>
    </row>
    <row r="4663" spans="7:7">
      <c r="G4663" s="149"/>
    </row>
    <row r="4664" spans="7:7">
      <c r="G4664" s="149"/>
    </row>
    <row r="4665" spans="7:7">
      <c r="G4665" s="149"/>
    </row>
    <row r="4666" spans="7:7">
      <c r="G4666" s="149"/>
    </row>
    <row r="4667" spans="7:7">
      <c r="G4667" s="149"/>
    </row>
    <row r="4668" spans="7:7">
      <c r="G4668" s="149"/>
    </row>
    <row r="4669" spans="7:7">
      <c r="G4669" s="149"/>
    </row>
    <row r="4670" spans="7:7">
      <c r="G4670" s="149"/>
    </row>
    <row r="4671" spans="7:7">
      <c r="G4671" s="149"/>
    </row>
    <row r="4672" spans="7:7">
      <c r="G4672" s="149"/>
    </row>
    <row r="4673" spans="7:7">
      <c r="G4673" s="149"/>
    </row>
    <row r="4674" spans="7:7">
      <c r="G4674" s="149"/>
    </row>
    <row r="4675" spans="7:7">
      <c r="G4675" s="149"/>
    </row>
    <row r="4676" spans="7:7">
      <c r="G4676" s="149"/>
    </row>
    <row r="4677" spans="7:7">
      <c r="G4677" s="149"/>
    </row>
    <row r="4678" spans="7:7">
      <c r="G4678" s="149"/>
    </row>
    <row r="4679" spans="7:7">
      <c r="G4679" s="149"/>
    </row>
    <row r="4680" spans="7:7">
      <c r="G4680" s="149"/>
    </row>
    <row r="4681" spans="7:7">
      <c r="G4681" s="149"/>
    </row>
    <row r="4682" spans="7:7">
      <c r="G4682" s="149"/>
    </row>
    <row r="4683" spans="7:7">
      <c r="G4683" s="149"/>
    </row>
    <row r="4684" spans="7:7">
      <c r="G4684" s="149"/>
    </row>
    <row r="4685" spans="7:7">
      <c r="G4685" s="149"/>
    </row>
    <row r="4686" spans="7:7">
      <c r="G4686" s="149"/>
    </row>
    <row r="4687" spans="7:7">
      <c r="G4687" s="149"/>
    </row>
    <row r="4688" spans="7:7">
      <c r="G4688" s="149"/>
    </row>
    <row r="4689" spans="7:7">
      <c r="G4689" s="149"/>
    </row>
    <row r="4690" spans="7:7">
      <c r="G4690" s="149"/>
    </row>
    <row r="4691" spans="7:7">
      <c r="G4691" s="149"/>
    </row>
    <row r="4692" spans="7:7">
      <c r="G4692" s="149"/>
    </row>
    <row r="4693" spans="7:7">
      <c r="G4693" s="149"/>
    </row>
    <row r="4694" spans="7:7">
      <c r="G4694" s="149"/>
    </row>
    <row r="4695" spans="7:7">
      <c r="G4695" s="149"/>
    </row>
    <row r="4696" spans="7:7">
      <c r="G4696" s="149"/>
    </row>
    <row r="4697" spans="7:7">
      <c r="G4697" s="149"/>
    </row>
    <row r="4698" spans="7:7">
      <c r="G4698" s="149"/>
    </row>
    <row r="4699" spans="7:7">
      <c r="G4699" s="149"/>
    </row>
    <row r="4700" spans="7:7">
      <c r="G4700" s="149"/>
    </row>
    <row r="4701" spans="7:7">
      <c r="G4701" s="149"/>
    </row>
    <row r="4702" spans="7:7">
      <c r="G4702" s="149"/>
    </row>
    <row r="4703" spans="7:7">
      <c r="G4703" s="149"/>
    </row>
    <row r="4704" spans="7:7">
      <c r="G4704" s="149"/>
    </row>
    <row r="4705" spans="7:7">
      <c r="G4705" s="149"/>
    </row>
    <row r="4706" spans="7:7">
      <c r="G4706" s="149"/>
    </row>
    <row r="4707" spans="7:7">
      <c r="G4707" s="149"/>
    </row>
    <row r="4708" spans="7:7">
      <c r="G4708" s="149"/>
    </row>
    <row r="4709" spans="7:7">
      <c r="G4709" s="149"/>
    </row>
    <row r="4710" spans="7:7">
      <c r="G4710" s="149"/>
    </row>
    <row r="4711" spans="7:7">
      <c r="G4711" s="149"/>
    </row>
    <row r="4712" spans="7:7">
      <c r="G4712" s="149"/>
    </row>
    <row r="4713" spans="7:7">
      <c r="G4713" s="149"/>
    </row>
    <row r="4714" spans="7:7">
      <c r="G4714" s="149"/>
    </row>
    <row r="4715" spans="7:7">
      <c r="G4715" s="149"/>
    </row>
    <row r="4716" spans="7:7">
      <c r="G4716" s="149"/>
    </row>
    <row r="4717" spans="7:7">
      <c r="G4717" s="149"/>
    </row>
    <row r="4718" spans="7:7">
      <c r="G4718" s="149"/>
    </row>
    <row r="4719" spans="7:7">
      <c r="G4719" s="149"/>
    </row>
    <row r="4720" spans="7:7">
      <c r="G4720" s="149"/>
    </row>
    <row r="4721" spans="7:7">
      <c r="G4721" s="149"/>
    </row>
    <row r="4722" spans="7:7">
      <c r="G4722" s="149"/>
    </row>
    <row r="4723" spans="7:7">
      <c r="G4723" s="149"/>
    </row>
    <row r="4724" spans="7:7">
      <c r="G4724" s="149"/>
    </row>
    <row r="4725" spans="7:7">
      <c r="G4725" s="149"/>
    </row>
    <row r="4726" spans="7:7">
      <c r="G4726" s="149"/>
    </row>
    <row r="4727" spans="7:7">
      <c r="G4727" s="149"/>
    </row>
    <row r="4728" spans="7:7">
      <c r="G4728" s="149"/>
    </row>
    <row r="4729" spans="7:7">
      <c r="G4729" s="149"/>
    </row>
    <row r="4730" spans="7:7">
      <c r="G4730" s="149"/>
    </row>
    <row r="4731" spans="7:7">
      <c r="G4731" s="149"/>
    </row>
    <row r="4732" spans="7:7">
      <c r="G4732" s="149"/>
    </row>
    <row r="4733" spans="7:7">
      <c r="G4733" s="149"/>
    </row>
    <row r="4734" spans="7:7">
      <c r="G4734" s="149"/>
    </row>
    <row r="4735" spans="7:7">
      <c r="G4735" s="149"/>
    </row>
    <row r="4736" spans="7:7">
      <c r="G4736" s="149"/>
    </row>
    <row r="4737" spans="7:7">
      <c r="G4737" s="149"/>
    </row>
    <row r="4738" spans="7:7">
      <c r="G4738" s="149"/>
    </row>
    <row r="4739" spans="7:7">
      <c r="G4739" s="149"/>
    </row>
    <row r="4740" spans="7:7">
      <c r="G4740" s="149"/>
    </row>
    <row r="4741" spans="7:7">
      <c r="G4741" s="149"/>
    </row>
    <row r="4742" spans="7:7">
      <c r="G4742" s="149"/>
    </row>
    <row r="4743" spans="7:7">
      <c r="G4743" s="149"/>
    </row>
    <row r="4744" spans="7:7">
      <c r="G4744" s="149"/>
    </row>
    <row r="4745" spans="7:7">
      <c r="G4745" s="149"/>
    </row>
    <row r="4746" spans="7:7">
      <c r="G4746" s="149"/>
    </row>
    <row r="4747" spans="7:7">
      <c r="G4747" s="149"/>
    </row>
    <row r="4748" spans="7:7">
      <c r="G4748" s="149"/>
    </row>
    <row r="4749" spans="7:7">
      <c r="G4749" s="149"/>
    </row>
    <row r="4750" spans="7:7">
      <c r="G4750" s="149"/>
    </row>
    <row r="4751" spans="7:7">
      <c r="G4751" s="149"/>
    </row>
    <row r="4752" spans="7:7">
      <c r="G4752" s="149"/>
    </row>
    <row r="4753" spans="7:7">
      <c r="G4753" s="149"/>
    </row>
    <row r="4754" spans="7:7">
      <c r="G4754" s="149"/>
    </row>
    <row r="4755" spans="7:7">
      <c r="G4755" s="149"/>
    </row>
    <row r="4756" spans="7:7">
      <c r="G4756" s="149"/>
    </row>
    <row r="4757" spans="7:7">
      <c r="G4757" s="149"/>
    </row>
    <row r="4758" spans="7:7">
      <c r="G4758" s="149"/>
    </row>
    <row r="4759" spans="7:7">
      <c r="G4759" s="149"/>
    </row>
    <row r="4760" spans="7:7">
      <c r="G4760" s="149"/>
    </row>
    <row r="4761" spans="7:7">
      <c r="G4761" s="149"/>
    </row>
    <row r="4762" spans="7:7">
      <c r="G4762" s="149"/>
    </row>
    <row r="4763" spans="7:7">
      <c r="G4763" s="149"/>
    </row>
    <row r="4764" spans="7:7">
      <c r="G4764" s="149"/>
    </row>
    <row r="4765" spans="7:7">
      <c r="G4765" s="149"/>
    </row>
    <row r="4766" spans="7:7">
      <c r="G4766" s="149"/>
    </row>
    <row r="4767" spans="7:7">
      <c r="G4767" s="149"/>
    </row>
    <row r="4768" spans="7:7">
      <c r="G4768" s="149"/>
    </row>
    <row r="4769" spans="7:7">
      <c r="G4769" s="149"/>
    </row>
    <row r="4770" spans="7:7">
      <c r="G4770" s="149"/>
    </row>
    <row r="4771" spans="7:7">
      <c r="G4771" s="149"/>
    </row>
    <row r="4772" spans="7:7">
      <c r="G4772" s="149"/>
    </row>
    <row r="4773" spans="7:7">
      <c r="G4773" s="149"/>
    </row>
    <row r="4774" spans="7:7">
      <c r="G4774" s="149"/>
    </row>
    <row r="4775" spans="7:7">
      <c r="G4775" s="149"/>
    </row>
    <row r="4776" spans="7:7">
      <c r="G4776" s="149"/>
    </row>
    <row r="4777" spans="7:7">
      <c r="G4777" s="149"/>
    </row>
    <row r="4778" spans="7:7">
      <c r="G4778" s="149"/>
    </row>
    <row r="4779" spans="7:7">
      <c r="G4779" s="149"/>
    </row>
    <row r="4780" spans="7:7">
      <c r="G4780" s="149"/>
    </row>
    <row r="4781" spans="7:7">
      <c r="G4781" s="149"/>
    </row>
    <row r="4782" spans="7:7">
      <c r="G4782" s="149"/>
    </row>
    <row r="4783" spans="7:7">
      <c r="G4783" s="149"/>
    </row>
    <row r="4784" spans="7:7">
      <c r="G4784" s="149"/>
    </row>
    <row r="4785" spans="7:7">
      <c r="G4785" s="149"/>
    </row>
    <row r="4786" spans="7:7">
      <c r="G4786" s="149"/>
    </row>
    <row r="4787" spans="7:7">
      <c r="G4787" s="149"/>
    </row>
    <row r="4788" spans="7:7">
      <c r="G4788" s="149"/>
    </row>
    <row r="4789" spans="7:7">
      <c r="G4789" s="149"/>
    </row>
    <row r="4790" spans="7:7">
      <c r="G4790" s="149"/>
    </row>
    <row r="4791" spans="7:7">
      <c r="G4791" s="149"/>
    </row>
    <row r="4792" spans="7:7">
      <c r="G4792" s="149"/>
    </row>
    <row r="4793" spans="7:7">
      <c r="G4793" s="149"/>
    </row>
    <row r="4794" spans="7:7">
      <c r="G4794" s="149"/>
    </row>
    <row r="4795" spans="7:7">
      <c r="G4795" s="149"/>
    </row>
    <row r="4796" spans="7:7">
      <c r="G4796" s="149"/>
    </row>
    <row r="4797" spans="7:7">
      <c r="G4797" s="149"/>
    </row>
    <row r="4798" spans="7:7">
      <c r="G4798" s="149"/>
    </row>
    <row r="4799" spans="7:7">
      <c r="G4799" s="149"/>
    </row>
    <row r="4800" spans="7:7">
      <c r="G4800" s="149"/>
    </row>
    <row r="4801" spans="7:7">
      <c r="G4801" s="149"/>
    </row>
    <row r="4802" spans="7:7">
      <c r="G4802" s="149"/>
    </row>
    <row r="4803" spans="7:7">
      <c r="G4803" s="149"/>
    </row>
    <row r="4804" spans="7:7">
      <c r="G4804" s="149"/>
    </row>
    <row r="4805" spans="7:7">
      <c r="G4805" s="149"/>
    </row>
    <row r="4806" spans="7:7">
      <c r="G4806" s="149"/>
    </row>
    <row r="4807" spans="7:7">
      <c r="G4807" s="149"/>
    </row>
    <row r="4808" spans="7:7">
      <c r="G4808" s="149"/>
    </row>
    <row r="4809" spans="7:7">
      <c r="G4809" s="149"/>
    </row>
    <row r="4810" spans="7:7">
      <c r="G4810" s="149"/>
    </row>
    <row r="4811" spans="7:7">
      <c r="G4811" s="149"/>
    </row>
    <row r="4812" spans="7:7">
      <c r="G4812" s="149"/>
    </row>
    <row r="4813" spans="7:7">
      <c r="G4813" s="149"/>
    </row>
    <row r="4814" spans="7:7">
      <c r="G4814" s="149"/>
    </row>
    <row r="4815" spans="7:7">
      <c r="G4815" s="149"/>
    </row>
    <row r="4816" spans="7:7">
      <c r="G4816" s="149"/>
    </row>
    <row r="4817" spans="7:7">
      <c r="G4817" s="149"/>
    </row>
    <row r="4818" spans="7:7">
      <c r="G4818" s="149"/>
    </row>
    <row r="4819" spans="7:7">
      <c r="G4819" s="149"/>
    </row>
    <row r="4820" spans="7:7">
      <c r="G4820" s="149"/>
    </row>
    <row r="4821" spans="7:7">
      <c r="G4821" s="149"/>
    </row>
    <row r="4822" spans="7:7">
      <c r="G4822" s="149"/>
    </row>
    <row r="4823" spans="7:7">
      <c r="G4823" s="149"/>
    </row>
    <row r="4824" spans="7:7">
      <c r="G4824" s="149"/>
    </row>
    <row r="4825" spans="7:7">
      <c r="G4825" s="149"/>
    </row>
    <row r="4826" spans="7:7">
      <c r="G4826" s="149"/>
    </row>
    <row r="4827" spans="7:7">
      <c r="G4827" s="149"/>
    </row>
    <row r="4828" spans="7:7">
      <c r="G4828" s="149"/>
    </row>
    <row r="4829" spans="7:7">
      <c r="G4829" s="149"/>
    </row>
    <row r="4830" spans="7:7">
      <c r="G4830" s="149"/>
    </row>
    <row r="4831" spans="7:7">
      <c r="G4831" s="149"/>
    </row>
    <row r="4832" spans="7:7">
      <c r="G4832" s="149"/>
    </row>
    <row r="4833" spans="7:7">
      <c r="G4833" s="149"/>
    </row>
    <row r="4834" spans="7:7">
      <c r="G4834" s="149"/>
    </row>
    <row r="4835" spans="7:7">
      <c r="G4835" s="149"/>
    </row>
    <row r="4836" spans="7:7">
      <c r="G4836" s="149"/>
    </row>
    <row r="4837" spans="7:7">
      <c r="G4837" s="149"/>
    </row>
    <row r="4838" spans="7:7">
      <c r="G4838" s="149"/>
    </row>
    <row r="4839" spans="7:7">
      <c r="G4839" s="149"/>
    </row>
    <row r="4840" spans="7:7">
      <c r="G4840" s="149"/>
    </row>
    <row r="4841" spans="7:7">
      <c r="G4841" s="149"/>
    </row>
    <row r="4842" spans="7:7">
      <c r="G4842" s="149"/>
    </row>
    <row r="4843" spans="7:7">
      <c r="G4843" s="149"/>
    </row>
    <row r="4844" spans="7:7">
      <c r="G4844" s="149"/>
    </row>
    <row r="4845" spans="7:7">
      <c r="G4845" s="149"/>
    </row>
    <row r="4846" spans="7:7">
      <c r="G4846" s="149"/>
    </row>
    <row r="4847" spans="7:7">
      <c r="G4847" s="149"/>
    </row>
    <row r="4848" spans="7:7">
      <c r="G4848" s="149"/>
    </row>
    <row r="4849" spans="7:7">
      <c r="G4849" s="149"/>
    </row>
    <row r="4850" spans="7:7">
      <c r="G4850" s="149"/>
    </row>
    <row r="4851" spans="7:7">
      <c r="G4851" s="149"/>
    </row>
    <row r="4852" spans="7:7">
      <c r="G4852" s="149"/>
    </row>
    <row r="4853" spans="7:7">
      <c r="G4853" s="149"/>
    </row>
    <row r="4854" spans="7:7">
      <c r="G4854" s="149"/>
    </row>
    <row r="4855" spans="7:7">
      <c r="G4855" s="149"/>
    </row>
    <row r="4856" spans="7:7">
      <c r="G4856" s="149"/>
    </row>
    <row r="4857" spans="7:7">
      <c r="G4857" s="149"/>
    </row>
    <row r="4858" spans="7:7">
      <c r="G4858" s="149"/>
    </row>
    <row r="4859" spans="7:7">
      <c r="G4859" s="149"/>
    </row>
    <row r="4860" spans="7:7">
      <c r="G4860" s="149"/>
    </row>
    <row r="4861" spans="7:7">
      <c r="G4861" s="149"/>
    </row>
    <row r="4862" spans="7:7">
      <c r="G4862" s="149"/>
    </row>
    <row r="4863" spans="7:7">
      <c r="G4863" s="149"/>
    </row>
    <row r="4864" spans="7:7">
      <c r="G4864" s="149"/>
    </row>
    <row r="4865" spans="7:7">
      <c r="G4865" s="149"/>
    </row>
    <row r="4866" spans="7:7">
      <c r="G4866" s="149"/>
    </row>
    <row r="4867" spans="7:7">
      <c r="G4867" s="149"/>
    </row>
    <row r="4868" spans="7:7">
      <c r="G4868" s="149"/>
    </row>
    <row r="4869" spans="7:7">
      <c r="G4869" s="149"/>
    </row>
    <row r="4870" spans="7:7">
      <c r="G4870" s="149"/>
    </row>
    <row r="4871" spans="7:7">
      <c r="G4871" s="149"/>
    </row>
    <row r="4872" spans="7:7">
      <c r="G4872" s="149"/>
    </row>
    <row r="4873" spans="7:7">
      <c r="G4873" s="149"/>
    </row>
    <row r="4874" spans="7:7">
      <c r="G4874" s="149"/>
    </row>
    <row r="4875" spans="7:7">
      <c r="G4875" s="149"/>
    </row>
    <row r="4876" spans="7:7">
      <c r="G4876" s="149"/>
    </row>
    <row r="4877" spans="7:7">
      <c r="G4877" s="149"/>
    </row>
    <row r="4878" spans="7:7">
      <c r="G4878" s="149"/>
    </row>
    <row r="4879" spans="7:7">
      <c r="G4879" s="149"/>
    </row>
    <row r="4880" spans="7:7">
      <c r="G4880" s="149"/>
    </row>
    <row r="4881" spans="7:7">
      <c r="G4881" s="149"/>
    </row>
    <row r="4882" spans="7:7">
      <c r="G4882" s="149"/>
    </row>
    <row r="4883" spans="7:7">
      <c r="G4883" s="149"/>
    </row>
    <row r="4884" spans="7:7">
      <c r="G4884" s="149"/>
    </row>
    <row r="4885" spans="7:7">
      <c r="G4885" s="149"/>
    </row>
    <row r="4886" spans="7:7">
      <c r="G4886" s="149"/>
    </row>
    <row r="4887" spans="7:7">
      <c r="G4887" s="149"/>
    </row>
    <row r="4888" spans="7:7">
      <c r="G4888" s="149"/>
    </row>
    <row r="4889" spans="7:7">
      <c r="G4889" s="149"/>
    </row>
    <row r="4890" spans="7:7">
      <c r="G4890" s="149"/>
    </row>
    <row r="4891" spans="7:7">
      <c r="G4891" s="149"/>
    </row>
    <row r="4892" spans="7:7">
      <c r="G4892" s="149"/>
    </row>
    <row r="4893" spans="7:7">
      <c r="G4893" s="149"/>
    </row>
    <row r="4894" spans="7:7">
      <c r="G4894" s="149"/>
    </row>
    <row r="4895" spans="7:7">
      <c r="G4895" s="149"/>
    </row>
    <row r="4896" spans="7:7">
      <c r="G4896" s="149"/>
    </row>
    <row r="4897" spans="7:7">
      <c r="G4897" s="149"/>
    </row>
    <row r="4898" spans="7:7">
      <c r="G4898" s="149"/>
    </row>
    <row r="4899" spans="7:7">
      <c r="G4899" s="149"/>
    </row>
    <row r="4900" spans="7:7">
      <c r="G4900" s="149"/>
    </row>
    <row r="4901" spans="7:7">
      <c r="G4901" s="149"/>
    </row>
    <row r="4902" spans="7:7">
      <c r="G4902" s="149"/>
    </row>
    <row r="4903" spans="7:7">
      <c r="G4903" s="149"/>
    </row>
    <row r="4904" spans="7:7">
      <c r="G4904" s="149"/>
    </row>
    <row r="4905" spans="7:7">
      <c r="G4905" s="149"/>
    </row>
    <row r="4906" spans="7:7">
      <c r="G4906" s="149"/>
    </row>
    <row r="4907" spans="7:7">
      <c r="G4907" s="149"/>
    </row>
    <row r="4908" spans="7:7">
      <c r="G4908" s="149"/>
    </row>
    <row r="4909" spans="7:7">
      <c r="G4909" s="149"/>
    </row>
    <row r="4910" spans="7:7">
      <c r="G4910" s="149"/>
    </row>
    <row r="4911" spans="7:7">
      <c r="G4911" s="149"/>
    </row>
    <row r="4912" spans="7:7">
      <c r="G4912" s="149"/>
    </row>
    <row r="4913" spans="7:7">
      <c r="G4913" s="149"/>
    </row>
    <row r="4914" spans="7:7">
      <c r="G4914" s="149"/>
    </row>
    <row r="4915" spans="7:7">
      <c r="G4915" s="149"/>
    </row>
    <row r="4916" spans="7:7">
      <c r="G4916" s="149"/>
    </row>
    <row r="4917" spans="7:7">
      <c r="G4917" s="149"/>
    </row>
    <row r="4918" spans="7:7">
      <c r="G4918" s="149"/>
    </row>
    <row r="4919" spans="7:7">
      <c r="G4919" s="149"/>
    </row>
    <row r="4920" spans="7:7">
      <c r="G4920" s="149"/>
    </row>
    <row r="4921" spans="7:7">
      <c r="G4921" s="149"/>
    </row>
    <row r="4922" spans="7:7">
      <c r="G4922" s="149"/>
    </row>
    <row r="4923" spans="7:7">
      <c r="G4923" s="149"/>
    </row>
    <row r="4924" spans="7:7">
      <c r="G4924" s="149"/>
    </row>
    <row r="4925" spans="7:7">
      <c r="G4925" s="149"/>
    </row>
    <row r="4926" spans="7:7">
      <c r="G4926" s="149"/>
    </row>
    <row r="4927" spans="7:7">
      <c r="G4927" s="149"/>
    </row>
    <row r="4928" spans="7:7">
      <c r="G4928" s="149"/>
    </row>
    <row r="4929" spans="7:7">
      <c r="G4929" s="149"/>
    </row>
    <row r="4930" spans="7:7">
      <c r="G4930" s="149"/>
    </row>
    <row r="4931" spans="7:7">
      <c r="G4931" s="149"/>
    </row>
    <row r="4932" spans="7:7">
      <c r="G4932" s="149"/>
    </row>
    <row r="4933" spans="7:7">
      <c r="G4933" s="149"/>
    </row>
    <row r="4934" spans="7:7">
      <c r="G4934" s="149"/>
    </row>
    <row r="4935" spans="7:7">
      <c r="G4935" s="149"/>
    </row>
    <row r="4936" spans="7:7">
      <c r="G4936" s="149"/>
    </row>
    <row r="4937" spans="7:7">
      <c r="G4937" s="149"/>
    </row>
    <row r="4938" spans="7:7">
      <c r="G4938" s="149"/>
    </row>
    <row r="4939" spans="7:7">
      <c r="G4939" s="149"/>
    </row>
    <row r="4940" spans="7:7">
      <c r="G4940" s="149"/>
    </row>
    <row r="4941" spans="7:7">
      <c r="G4941" s="149"/>
    </row>
    <row r="4942" spans="7:7">
      <c r="G4942" s="149"/>
    </row>
    <row r="4943" spans="7:7">
      <c r="G4943" s="149"/>
    </row>
    <row r="4944" spans="7:7">
      <c r="G4944" s="149"/>
    </row>
    <row r="4945" spans="7:7">
      <c r="G4945" s="149"/>
    </row>
    <row r="4946" spans="7:7">
      <c r="G4946" s="149"/>
    </row>
    <row r="4947" spans="7:7">
      <c r="G4947" s="149"/>
    </row>
    <row r="4948" spans="7:7">
      <c r="G4948" s="149"/>
    </row>
    <row r="4949" spans="7:7">
      <c r="G4949" s="149"/>
    </row>
    <row r="4950" spans="7:7">
      <c r="G4950" s="149"/>
    </row>
    <row r="4951" spans="7:7">
      <c r="G4951" s="149"/>
    </row>
    <row r="4952" spans="7:7">
      <c r="G4952" s="149"/>
    </row>
    <row r="4953" spans="7:7">
      <c r="G4953" s="149"/>
    </row>
    <row r="4954" spans="7:7">
      <c r="G4954" s="149"/>
    </row>
    <row r="4955" spans="7:7">
      <c r="G4955" s="149"/>
    </row>
    <row r="4956" spans="7:7">
      <c r="G4956" s="149"/>
    </row>
    <row r="4957" spans="7:7">
      <c r="G4957" s="149"/>
    </row>
    <row r="4958" spans="7:7">
      <c r="G4958" s="149"/>
    </row>
    <row r="4959" spans="7:7">
      <c r="G4959" s="149"/>
    </row>
    <row r="4960" spans="7:7">
      <c r="G4960" s="149"/>
    </row>
    <row r="4961" spans="7:7">
      <c r="G4961" s="149"/>
    </row>
    <row r="4962" spans="7:7">
      <c r="G4962" s="149"/>
    </row>
    <row r="4963" spans="7:7">
      <c r="G4963" s="149"/>
    </row>
    <row r="4964" spans="7:7">
      <c r="G4964" s="149"/>
    </row>
    <row r="4965" spans="7:7">
      <c r="G4965" s="149"/>
    </row>
    <row r="4966" spans="7:7">
      <c r="G4966" s="149"/>
    </row>
    <row r="4967" spans="7:7">
      <c r="G4967" s="149"/>
    </row>
    <row r="4968" spans="7:7">
      <c r="G4968" s="149"/>
    </row>
    <row r="4969" spans="7:7">
      <c r="G4969" s="149"/>
    </row>
    <row r="4970" spans="7:7">
      <c r="G4970" s="149"/>
    </row>
    <row r="4971" spans="7:7">
      <c r="G4971" s="149"/>
    </row>
    <row r="4972" spans="7:7">
      <c r="G4972" s="149"/>
    </row>
    <row r="4973" spans="7:7">
      <c r="G4973" s="149"/>
    </row>
    <row r="4974" spans="7:7">
      <c r="G4974" s="149"/>
    </row>
    <row r="4975" spans="7:7">
      <c r="G4975" s="149"/>
    </row>
    <row r="4976" spans="7:7">
      <c r="G4976" s="149"/>
    </row>
    <row r="4977" spans="7:7">
      <c r="G4977" s="149"/>
    </row>
    <row r="4978" spans="7:7">
      <c r="G4978" s="149"/>
    </row>
    <row r="4979" spans="7:7">
      <c r="G4979" s="149"/>
    </row>
    <row r="4980" spans="7:7">
      <c r="G4980" s="149"/>
    </row>
    <row r="4981" spans="7:7">
      <c r="G4981" s="149"/>
    </row>
    <row r="4982" spans="7:7">
      <c r="G4982" s="149"/>
    </row>
    <row r="4983" spans="7:7">
      <c r="G4983" s="149"/>
    </row>
    <row r="4984" spans="7:7">
      <c r="G4984" s="149"/>
    </row>
    <row r="4985" spans="7:7">
      <c r="G4985" s="149"/>
    </row>
    <row r="4986" spans="7:7">
      <c r="G4986" s="149"/>
    </row>
    <row r="4987" spans="7:7">
      <c r="G4987" s="149"/>
    </row>
    <row r="4988" spans="7:7">
      <c r="G4988" s="149"/>
    </row>
    <row r="4989" spans="7:7">
      <c r="G4989" s="149"/>
    </row>
    <row r="4990" spans="7:7">
      <c r="G4990" s="149"/>
    </row>
    <row r="4991" spans="7:7">
      <c r="G4991" s="149"/>
    </row>
    <row r="4992" spans="7:7">
      <c r="G4992" s="149"/>
    </row>
    <row r="4993" spans="7:7">
      <c r="G4993" s="149"/>
    </row>
    <row r="4994" spans="7:7">
      <c r="G4994" s="149"/>
    </row>
    <row r="4995" spans="7:7">
      <c r="G4995" s="149"/>
    </row>
    <row r="4996" spans="7:7">
      <c r="G4996" s="149"/>
    </row>
    <row r="4997" spans="7:7">
      <c r="G4997" s="149"/>
    </row>
    <row r="4998" spans="7:7">
      <c r="G4998" s="149"/>
    </row>
    <row r="4999" spans="7:7">
      <c r="G4999" s="149"/>
    </row>
    <row r="5000" spans="7:7">
      <c r="G5000" s="149"/>
    </row>
    <row r="5001" spans="7:7">
      <c r="G5001" s="149"/>
    </row>
    <row r="5002" spans="7:7">
      <c r="G5002" s="149"/>
    </row>
    <row r="5003" spans="7:7">
      <c r="G5003" s="149"/>
    </row>
    <row r="5004" spans="7:7">
      <c r="G5004" s="149"/>
    </row>
    <row r="5005" spans="7:7">
      <c r="G5005" s="149"/>
    </row>
    <row r="5006" spans="7:7">
      <c r="G5006" s="149"/>
    </row>
    <row r="5007" spans="7:7">
      <c r="G5007" s="149"/>
    </row>
    <row r="5008" spans="7:7">
      <c r="G5008" s="149"/>
    </row>
    <row r="5009" spans="7:7">
      <c r="G5009" s="149"/>
    </row>
    <row r="5010" spans="7:7">
      <c r="G5010" s="149"/>
    </row>
    <row r="5011" spans="7:7">
      <c r="G5011" s="149"/>
    </row>
    <row r="5012" spans="7:7">
      <c r="G5012" s="149"/>
    </row>
    <row r="5013" spans="7:7">
      <c r="G5013" s="149"/>
    </row>
    <row r="5014" spans="7:7">
      <c r="G5014" s="149"/>
    </row>
    <row r="5015" spans="7:7">
      <c r="G5015" s="149"/>
    </row>
    <row r="5016" spans="7:7">
      <c r="G5016" s="149"/>
    </row>
    <row r="5017" spans="7:7">
      <c r="G5017" s="149"/>
    </row>
    <row r="5018" spans="7:7">
      <c r="G5018" s="149"/>
    </row>
    <row r="5019" spans="7:7">
      <c r="G5019" s="149"/>
    </row>
    <row r="5020" spans="7:7">
      <c r="G5020" s="149"/>
    </row>
    <row r="5021" spans="7:7">
      <c r="G5021" s="149"/>
    </row>
    <row r="5022" spans="7:7">
      <c r="G5022" s="149"/>
    </row>
    <row r="5023" spans="7:7">
      <c r="G5023" s="149"/>
    </row>
    <row r="5024" spans="7:7">
      <c r="G5024" s="149"/>
    </row>
    <row r="5025" spans="7:7">
      <c r="G5025" s="149"/>
    </row>
    <row r="5026" spans="7:7">
      <c r="G5026" s="149"/>
    </row>
    <row r="5027" spans="7:7">
      <c r="G5027" s="149"/>
    </row>
    <row r="5028" spans="7:7">
      <c r="G5028" s="149"/>
    </row>
    <row r="5029" spans="7:7">
      <c r="G5029" s="149"/>
    </row>
    <row r="5030" spans="7:7">
      <c r="G5030" s="149"/>
    </row>
    <row r="5031" spans="7:7">
      <c r="G5031" s="149"/>
    </row>
    <row r="5032" spans="7:7">
      <c r="G5032" s="149"/>
    </row>
    <row r="5033" spans="7:7">
      <c r="G5033" s="149"/>
    </row>
    <row r="5034" spans="7:7">
      <c r="G5034" s="149"/>
    </row>
    <row r="5035" spans="7:7">
      <c r="G5035" s="149"/>
    </row>
    <row r="5036" spans="7:7">
      <c r="G5036" s="149"/>
    </row>
    <row r="5037" spans="7:7">
      <c r="G5037" s="149"/>
    </row>
    <row r="5038" spans="7:7">
      <c r="G5038" s="149"/>
    </row>
    <row r="5039" spans="7:7">
      <c r="G5039" s="149"/>
    </row>
    <row r="5040" spans="7:7">
      <c r="G5040" s="149"/>
    </row>
    <row r="5041" spans="7:7">
      <c r="G5041" s="149"/>
    </row>
    <row r="5042" spans="7:7">
      <c r="G5042" s="149"/>
    </row>
    <row r="5043" spans="7:7">
      <c r="G5043" s="149"/>
    </row>
    <row r="5044" spans="7:7">
      <c r="G5044" s="149"/>
    </row>
    <row r="5045" spans="7:7">
      <c r="G5045" s="149"/>
    </row>
    <row r="5046" spans="7:7">
      <c r="G5046" s="149"/>
    </row>
    <row r="5047" spans="7:7">
      <c r="G5047" s="149"/>
    </row>
    <row r="5048" spans="7:7">
      <c r="G5048" s="149"/>
    </row>
    <row r="5049" spans="7:7">
      <c r="G5049" s="149"/>
    </row>
    <row r="5050" spans="7:7">
      <c r="G5050" s="149"/>
    </row>
    <row r="5051" spans="7:7">
      <c r="G5051" s="149"/>
    </row>
    <row r="5052" spans="7:7">
      <c r="G5052" s="149"/>
    </row>
    <row r="5053" spans="7:7">
      <c r="G5053" s="149"/>
    </row>
    <row r="5054" spans="7:7">
      <c r="G5054" s="149"/>
    </row>
    <row r="5055" spans="7:7">
      <c r="G5055" s="149"/>
    </row>
    <row r="5056" spans="7:7">
      <c r="G5056" s="149"/>
    </row>
    <row r="5057" spans="7:7">
      <c r="G5057" s="149"/>
    </row>
    <row r="5058" spans="7:7">
      <c r="G5058" s="149"/>
    </row>
    <row r="5059" spans="7:7">
      <c r="G5059" s="149"/>
    </row>
    <row r="5060" spans="7:7">
      <c r="G5060" s="149"/>
    </row>
    <row r="5061" spans="7:7">
      <c r="G5061" s="149"/>
    </row>
    <row r="5062" spans="7:7">
      <c r="G5062" s="149"/>
    </row>
    <row r="5063" spans="7:7">
      <c r="G5063" s="149"/>
    </row>
    <row r="5064" spans="7:7">
      <c r="G5064" s="149"/>
    </row>
    <row r="5065" spans="7:7">
      <c r="G5065" s="149"/>
    </row>
    <row r="5066" spans="7:7">
      <c r="G5066" s="149"/>
    </row>
    <row r="5067" spans="7:7">
      <c r="G5067" s="149"/>
    </row>
    <row r="5068" spans="7:7">
      <c r="G5068" s="149"/>
    </row>
    <row r="5069" spans="7:7">
      <c r="G5069" s="149"/>
    </row>
    <row r="5070" spans="7:7">
      <c r="G5070" s="149"/>
    </row>
    <row r="5071" spans="7:7">
      <c r="G5071" s="149"/>
    </row>
    <row r="5072" spans="7:7">
      <c r="G5072" s="149"/>
    </row>
    <row r="5073" spans="7:7">
      <c r="G5073" s="149"/>
    </row>
    <row r="5074" spans="7:7">
      <c r="G5074" s="149"/>
    </row>
    <row r="5075" spans="7:7">
      <c r="G5075" s="149"/>
    </row>
    <row r="5076" spans="7:7">
      <c r="G5076" s="149"/>
    </row>
    <row r="5077" spans="7:7">
      <c r="G5077" s="149"/>
    </row>
    <row r="5078" spans="7:7">
      <c r="G5078" s="149"/>
    </row>
    <row r="5079" spans="7:7">
      <c r="G5079" s="149"/>
    </row>
    <row r="5080" spans="7:7">
      <c r="G5080" s="149"/>
    </row>
    <row r="5081" spans="7:7">
      <c r="G5081" s="149"/>
    </row>
    <row r="5082" spans="7:7">
      <c r="G5082" s="149"/>
    </row>
    <row r="5083" spans="7:7">
      <c r="G5083" s="149"/>
    </row>
    <row r="5084" spans="7:7">
      <c r="G5084" s="149"/>
    </row>
    <row r="5085" spans="7:7">
      <c r="G5085" s="149"/>
    </row>
    <row r="5086" spans="7:7">
      <c r="G5086" s="149"/>
    </row>
    <row r="5087" spans="7:7">
      <c r="G5087" s="149"/>
    </row>
    <row r="5088" spans="7:7">
      <c r="G5088" s="149"/>
    </row>
    <row r="5089" spans="7:7">
      <c r="G5089" s="149"/>
    </row>
    <row r="5090" spans="7:7">
      <c r="G5090" s="149"/>
    </row>
    <row r="5091" spans="7:7">
      <c r="G5091" s="149"/>
    </row>
    <row r="5092" spans="7:7">
      <c r="G5092" s="149"/>
    </row>
    <row r="5093" spans="7:7">
      <c r="G5093" s="149"/>
    </row>
    <row r="5094" spans="7:7">
      <c r="G5094" s="149"/>
    </row>
    <row r="5095" spans="7:7">
      <c r="G5095" s="149"/>
    </row>
    <row r="5096" spans="7:7">
      <c r="G5096" s="149"/>
    </row>
    <row r="5097" spans="7:7">
      <c r="G5097" s="149"/>
    </row>
    <row r="5098" spans="7:7">
      <c r="G5098" s="149"/>
    </row>
    <row r="5099" spans="7:7">
      <c r="G5099" s="149"/>
    </row>
    <row r="5100" spans="7:7">
      <c r="G5100" s="149"/>
    </row>
    <row r="5101" spans="7:7">
      <c r="G5101" s="149"/>
    </row>
    <row r="5102" spans="7:7">
      <c r="G5102" s="149"/>
    </row>
    <row r="5103" spans="7:7">
      <c r="G5103" s="149"/>
    </row>
    <row r="5104" spans="7:7">
      <c r="G5104" s="149"/>
    </row>
    <row r="5105" spans="7:7">
      <c r="G5105" s="149"/>
    </row>
    <row r="5106" spans="7:7">
      <c r="G5106" s="149"/>
    </row>
    <row r="5107" spans="7:7">
      <c r="G5107" s="149"/>
    </row>
    <row r="5108" spans="7:7">
      <c r="G5108" s="149"/>
    </row>
    <row r="5109" spans="7:7">
      <c r="G5109" s="149"/>
    </row>
    <row r="5110" spans="7:7">
      <c r="G5110" s="149"/>
    </row>
    <row r="5111" spans="7:7">
      <c r="G5111" s="149"/>
    </row>
    <row r="5112" spans="7:7">
      <c r="G5112" s="149"/>
    </row>
    <row r="5113" spans="7:7">
      <c r="G5113" s="149"/>
    </row>
    <row r="5114" spans="7:7">
      <c r="G5114" s="149"/>
    </row>
    <row r="5115" spans="7:7">
      <c r="G5115" s="149"/>
    </row>
    <row r="5116" spans="7:7">
      <c r="G5116" s="149"/>
    </row>
    <row r="5117" spans="7:7">
      <c r="G5117" s="149"/>
    </row>
    <row r="5118" spans="7:7">
      <c r="G5118" s="149"/>
    </row>
    <row r="5119" spans="7:7">
      <c r="G5119" s="149"/>
    </row>
    <row r="5120" spans="7:7">
      <c r="G5120" s="149"/>
    </row>
    <row r="5121" spans="7:7">
      <c r="G5121" s="149"/>
    </row>
    <row r="5122" spans="7:7">
      <c r="G5122" s="149"/>
    </row>
    <row r="5123" spans="7:7">
      <c r="G5123" s="149"/>
    </row>
    <row r="5124" spans="7:7">
      <c r="G5124" s="149"/>
    </row>
    <row r="5125" spans="7:7">
      <c r="G5125" s="149"/>
    </row>
    <row r="5126" spans="7:7">
      <c r="G5126" s="149"/>
    </row>
    <row r="5127" spans="7:7">
      <c r="G5127" s="149"/>
    </row>
    <row r="5128" spans="7:7">
      <c r="G5128" s="149"/>
    </row>
    <row r="5129" spans="7:7">
      <c r="G5129" s="149"/>
    </row>
    <row r="5130" spans="7:7">
      <c r="G5130" s="149"/>
    </row>
    <row r="5131" spans="7:7">
      <c r="G5131" s="149"/>
    </row>
    <row r="5132" spans="7:7">
      <c r="G5132" s="149"/>
    </row>
    <row r="5133" spans="7:7">
      <c r="G5133" s="149"/>
    </row>
    <row r="5134" spans="7:7">
      <c r="G5134" s="149"/>
    </row>
    <row r="5135" spans="7:7">
      <c r="G5135" s="149"/>
    </row>
    <row r="5136" spans="7:7">
      <c r="G5136" s="149"/>
    </row>
    <row r="5137" spans="7:7">
      <c r="G5137" s="149"/>
    </row>
    <row r="5138" spans="7:7">
      <c r="G5138" s="149"/>
    </row>
    <row r="5139" spans="7:7">
      <c r="G5139" s="149"/>
    </row>
    <row r="5140" spans="7:7">
      <c r="G5140" s="149"/>
    </row>
    <row r="5141" spans="7:7">
      <c r="G5141" s="149"/>
    </row>
    <row r="5142" spans="7:7">
      <c r="G5142" s="149"/>
    </row>
    <row r="5143" spans="7:7">
      <c r="G5143" s="149"/>
    </row>
    <row r="5144" spans="7:7">
      <c r="G5144" s="149"/>
    </row>
    <row r="5145" spans="7:7">
      <c r="G5145" s="149"/>
    </row>
    <row r="5146" spans="7:7">
      <c r="G5146" s="149"/>
    </row>
    <row r="5147" spans="7:7">
      <c r="G5147" s="149"/>
    </row>
    <row r="5148" spans="7:7">
      <c r="G5148" s="149"/>
    </row>
    <row r="5149" spans="7:7">
      <c r="G5149" s="149"/>
    </row>
    <row r="5150" spans="7:7">
      <c r="G5150" s="149"/>
    </row>
    <row r="5151" spans="7:7">
      <c r="G5151" s="149"/>
    </row>
    <row r="5152" spans="7:7">
      <c r="G5152" s="149"/>
    </row>
    <row r="5153" spans="7:7">
      <c r="G5153" s="149"/>
    </row>
    <row r="5154" spans="7:7">
      <c r="G5154" s="149"/>
    </row>
    <row r="5155" spans="7:7">
      <c r="G5155" s="149"/>
    </row>
    <row r="5156" spans="7:7">
      <c r="G5156" s="149"/>
    </row>
    <row r="5157" spans="7:7">
      <c r="G5157" s="149"/>
    </row>
    <row r="5158" spans="7:7">
      <c r="G5158" s="149"/>
    </row>
    <row r="5159" spans="7:7">
      <c r="G5159" s="149"/>
    </row>
    <row r="5160" spans="7:7">
      <c r="G5160" s="149"/>
    </row>
    <row r="5161" spans="7:7">
      <c r="G5161" s="149"/>
    </row>
    <row r="5162" spans="7:7">
      <c r="G5162" s="149"/>
    </row>
    <row r="5163" spans="7:7">
      <c r="G5163" s="149"/>
    </row>
    <row r="5164" spans="7:7">
      <c r="G5164" s="149"/>
    </row>
    <row r="5165" spans="7:7">
      <c r="G5165" s="149"/>
    </row>
    <row r="5166" spans="7:7">
      <c r="G5166" s="149"/>
    </row>
    <row r="5167" spans="7:7">
      <c r="G5167" s="149"/>
    </row>
    <row r="5168" spans="7:7">
      <c r="G5168" s="149"/>
    </row>
    <row r="5169" spans="7:7">
      <c r="G5169" s="149"/>
    </row>
    <row r="5170" spans="7:7">
      <c r="G5170" s="149"/>
    </row>
    <row r="5171" spans="7:7">
      <c r="G5171" s="149"/>
    </row>
    <row r="5172" spans="7:7">
      <c r="G5172" s="149"/>
    </row>
    <row r="5173" spans="7:7">
      <c r="G5173" s="149"/>
    </row>
    <row r="5174" spans="7:7">
      <c r="G5174" s="149"/>
    </row>
    <row r="5175" spans="7:7">
      <c r="G5175" s="149"/>
    </row>
    <row r="5176" spans="7:7">
      <c r="G5176" s="149"/>
    </row>
    <row r="5177" spans="7:7">
      <c r="G5177" s="149"/>
    </row>
    <row r="5178" spans="7:7">
      <c r="G5178" s="149"/>
    </row>
    <row r="5179" spans="7:7">
      <c r="G5179" s="149"/>
    </row>
    <row r="5180" spans="7:7">
      <c r="G5180" s="149"/>
    </row>
    <row r="5181" spans="7:7">
      <c r="G5181" s="149"/>
    </row>
    <row r="5182" spans="7:7">
      <c r="G5182" s="149"/>
    </row>
    <row r="5183" spans="7:7">
      <c r="G5183" s="149"/>
    </row>
    <row r="5184" spans="7:7">
      <c r="G5184" s="149"/>
    </row>
    <row r="5185" spans="7:7">
      <c r="G5185" s="149"/>
    </row>
    <row r="5186" spans="7:7">
      <c r="G5186" s="149"/>
    </row>
    <row r="5187" spans="7:7">
      <c r="G5187" s="149"/>
    </row>
    <row r="5188" spans="7:7">
      <c r="G5188" s="149"/>
    </row>
    <row r="5189" spans="7:7">
      <c r="G5189" s="149"/>
    </row>
    <row r="5190" spans="7:7">
      <c r="G5190" s="149"/>
    </row>
    <row r="5191" spans="7:7">
      <c r="G5191" s="149"/>
    </row>
    <row r="5192" spans="7:7">
      <c r="G5192" s="149"/>
    </row>
    <row r="5193" spans="7:7">
      <c r="G5193" s="149"/>
    </row>
    <row r="5194" spans="7:7">
      <c r="G5194" s="149"/>
    </row>
    <row r="5195" spans="7:7">
      <c r="G5195" s="149"/>
    </row>
    <row r="5196" spans="7:7">
      <c r="G5196" s="149"/>
    </row>
    <row r="5197" spans="7:7">
      <c r="G5197" s="149"/>
    </row>
    <row r="5198" spans="7:7">
      <c r="G5198" s="149"/>
    </row>
    <row r="5199" spans="7:7">
      <c r="G5199" s="149"/>
    </row>
    <row r="5200" spans="7:7">
      <c r="G5200" s="149"/>
    </row>
    <row r="5201" spans="7:7">
      <c r="G5201" s="149"/>
    </row>
    <row r="5202" spans="7:7">
      <c r="G5202" s="149"/>
    </row>
    <row r="5203" spans="7:7">
      <c r="G5203" s="149"/>
    </row>
    <row r="5204" spans="7:7">
      <c r="G5204" s="149"/>
    </row>
    <row r="5205" spans="7:7">
      <c r="G5205" s="149"/>
    </row>
    <row r="5206" spans="7:7">
      <c r="G5206" s="149"/>
    </row>
    <row r="5207" spans="7:7">
      <c r="G5207" s="149"/>
    </row>
    <row r="5208" spans="7:7">
      <c r="G5208" s="149"/>
    </row>
    <row r="5209" spans="7:7">
      <c r="G5209" s="149"/>
    </row>
    <row r="5210" spans="7:7">
      <c r="G5210" s="149"/>
    </row>
    <row r="5211" spans="7:7">
      <c r="G5211" s="149"/>
    </row>
    <row r="5212" spans="7:7">
      <c r="G5212" s="149"/>
    </row>
    <row r="5213" spans="7:7">
      <c r="G5213" s="149"/>
    </row>
    <row r="5214" spans="7:7">
      <c r="G5214" s="149"/>
    </row>
    <row r="5215" spans="7:7">
      <c r="G5215" s="149"/>
    </row>
    <row r="5216" spans="7:7">
      <c r="G5216" s="149"/>
    </row>
    <row r="5217" spans="7:7">
      <c r="G5217" s="149"/>
    </row>
    <row r="5218" spans="7:7">
      <c r="G5218" s="149"/>
    </row>
    <row r="5219" spans="7:7">
      <c r="G5219" s="149"/>
    </row>
    <row r="5220" spans="7:7">
      <c r="G5220" s="149"/>
    </row>
    <row r="5221" spans="7:7">
      <c r="G5221" s="149"/>
    </row>
    <row r="5222" spans="7:7">
      <c r="G5222" s="149"/>
    </row>
    <row r="5223" spans="7:7">
      <c r="G5223" s="149"/>
    </row>
    <row r="5224" spans="7:7">
      <c r="G5224" s="149"/>
    </row>
    <row r="5225" spans="7:7">
      <c r="G5225" s="149"/>
    </row>
    <row r="5226" spans="7:7">
      <c r="G5226" s="149"/>
    </row>
    <row r="5227" spans="7:7">
      <c r="G5227" s="149"/>
    </row>
    <row r="5228" spans="7:7">
      <c r="G5228" s="149"/>
    </row>
    <row r="5229" spans="7:7">
      <c r="G5229" s="149"/>
    </row>
    <row r="5230" spans="7:7">
      <c r="G5230" s="149"/>
    </row>
    <row r="5231" spans="7:7">
      <c r="G5231" s="149"/>
    </row>
    <row r="5232" spans="7:7">
      <c r="G5232" s="149"/>
    </row>
    <row r="5233" spans="7:7">
      <c r="G5233" s="149"/>
    </row>
    <row r="5234" spans="7:7">
      <c r="G5234" s="149"/>
    </row>
    <row r="5235" spans="7:7">
      <c r="G5235" s="149"/>
    </row>
    <row r="5236" spans="7:7">
      <c r="G5236" s="149"/>
    </row>
    <row r="5237" spans="7:7">
      <c r="G5237" s="149"/>
    </row>
    <row r="5238" spans="7:7">
      <c r="G5238" s="149"/>
    </row>
    <row r="5239" spans="7:7">
      <c r="G5239" s="149"/>
    </row>
    <row r="5240" spans="7:7">
      <c r="G5240" s="149"/>
    </row>
    <row r="5241" spans="7:7">
      <c r="G5241" s="149"/>
    </row>
    <row r="5242" spans="7:7">
      <c r="G5242" s="149"/>
    </row>
    <row r="5243" spans="7:7">
      <c r="G5243" s="149"/>
    </row>
    <row r="5244" spans="7:7">
      <c r="G5244" s="149"/>
    </row>
    <row r="5245" spans="7:7">
      <c r="G5245" s="149"/>
    </row>
    <row r="5246" spans="7:7">
      <c r="G5246" s="149"/>
    </row>
    <row r="5247" spans="7:7">
      <c r="G5247" s="149"/>
    </row>
    <row r="5248" spans="7:7">
      <c r="G5248" s="149"/>
    </row>
    <row r="5249" spans="7:7">
      <c r="G5249" s="149"/>
    </row>
    <row r="5250" spans="7:7">
      <c r="G5250" s="149"/>
    </row>
    <row r="5251" spans="7:7">
      <c r="G5251" s="149"/>
    </row>
    <row r="5252" spans="7:7">
      <c r="G5252" s="149"/>
    </row>
    <row r="5253" spans="7:7">
      <c r="G5253" s="149"/>
    </row>
    <row r="5254" spans="7:7">
      <c r="G5254" s="149"/>
    </row>
    <row r="5255" spans="7:7">
      <c r="G5255" s="149"/>
    </row>
    <row r="5256" spans="7:7">
      <c r="G5256" s="149"/>
    </row>
    <row r="5257" spans="7:7">
      <c r="G5257" s="149"/>
    </row>
    <row r="5258" spans="7:7">
      <c r="G5258" s="149"/>
    </row>
    <row r="5259" spans="7:7">
      <c r="G5259" s="149"/>
    </row>
    <row r="5260" spans="7:7">
      <c r="G5260" s="149"/>
    </row>
    <row r="5261" spans="7:7">
      <c r="G5261" s="149"/>
    </row>
    <row r="5262" spans="7:7">
      <c r="G5262" s="149"/>
    </row>
    <row r="5263" spans="7:7">
      <c r="G5263" s="149"/>
    </row>
    <row r="5264" spans="7:7">
      <c r="G5264" s="149"/>
    </row>
    <row r="5265" spans="7:7">
      <c r="G5265" s="149"/>
    </row>
    <row r="5266" spans="7:7">
      <c r="G5266" s="149"/>
    </row>
    <row r="5267" spans="7:7">
      <c r="G5267" s="149"/>
    </row>
    <row r="5268" spans="7:7">
      <c r="G5268" s="149"/>
    </row>
    <row r="5269" spans="7:7">
      <c r="G5269" s="149"/>
    </row>
    <row r="5270" spans="7:7">
      <c r="G5270" s="149"/>
    </row>
    <row r="5271" spans="7:7">
      <c r="G5271" s="149"/>
    </row>
    <row r="5272" spans="7:7">
      <c r="G5272" s="149"/>
    </row>
    <row r="5273" spans="7:7">
      <c r="G5273" s="149"/>
    </row>
    <row r="5274" spans="7:7">
      <c r="G5274" s="149"/>
    </row>
    <row r="5275" spans="7:7">
      <c r="G5275" s="149"/>
    </row>
    <row r="5276" spans="7:7">
      <c r="G5276" s="149"/>
    </row>
    <row r="5277" spans="7:7">
      <c r="G5277" s="149"/>
    </row>
    <row r="5278" spans="7:7">
      <c r="G5278" s="149"/>
    </row>
    <row r="5279" spans="7:7">
      <c r="G5279" s="149"/>
    </row>
    <row r="5280" spans="7:7">
      <c r="G5280" s="149"/>
    </row>
    <row r="5281" spans="7:7">
      <c r="G5281" s="149"/>
    </row>
    <row r="5282" spans="7:7">
      <c r="G5282" s="149"/>
    </row>
    <row r="5283" spans="7:7">
      <c r="G5283" s="149"/>
    </row>
    <row r="5284" spans="7:7">
      <c r="G5284" s="149"/>
    </row>
    <row r="5285" spans="7:7">
      <c r="G5285" s="149"/>
    </row>
    <row r="5286" spans="7:7">
      <c r="G5286" s="149"/>
    </row>
    <row r="5287" spans="7:7">
      <c r="G5287" s="149"/>
    </row>
    <row r="5288" spans="7:7">
      <c r="G5288" s="149"/>
    </row>
    <row r="5289" spans="7:7">
      <c r="G5289" s="149"/>
    </row>
    <row r="5290" spans="7:7">
      <c r="G5290" s="149"/>
    </row>
    <row r="5291" spans="7:7">
      <c r="G5291" s="149"/>
    </row>
    <row r="5292" spans="7:7">
      <c r="G5292" s="149"/>
    </row>
    <row r="5293" spans="7:7">
      <c r="G5293" s="149"/>
    </row>
    <row r="5294" spans="7:7">
      <c r="G5294" s="149"/>
    </row>
    <row r="5295" spans="7:7">
      <c r="G5295" s="149"/>
    </row>
    <row r="5296" spans="7:7">
      <c r="G5296" s="149"/>
    </row>
    <row r="5297" spans="7:7">
      <c r="G5297" s="149"/>
    </row>
    <row r="5298" spans="7:7">
      <c r="G5298" s="149"/>
    </row>
    <row r="5299" spans="7:7">
      <c r="G5299" s="149"/>
    </row>
    <row r="5300" spans="7:7">
      <c r="G5300" s="149"/>
    </row>
    <row r="5301" spans="7:7">
      <c r="G5301" s="149"/>
    </row>
    <row r="5302" spans="7:7">
      <c r="G5302" s="149"/>
    </row>
    <row r="5303" spans="7:7">
      <c r="G5303" s="149"/>
    </row>
    <row r="5304" spans="7:7">
      <c r="G5304" s="149"/>
    </row>
    <row r="5305" spans="7:7">
      <c r="G5305" s="149"/>
    </row>
    <row r="5306" spans="7:7">
      <c r="G5306" s="149"/>
    </row>
    <row r="5307" spans="7:7">
      <c r="G5307" s="149"/>
    </row>
    <row r="5308" spans="7:7">
      <c r="G5308" s="149"/>
    </row>
    <row r="5309" spans="7:7">
      <c r="G5309" s="149"/>
    </row>
    <row r="5310" spans="7:7">
      <c r="G5310" s="149"/>
    </row>
    <row r="5311" spans="7:7">
      <c r="G5311" s="149"/>
    </row>
    <row r="5312" spans="7:7">
      <c r="G5312" s="149"/>
    </row>
    <row r="5313" spans="7:7">
      <c r="G5313" s="149"/>
    </row>
    <row r="5314" spans="7:7">
      <c r="G5314" s="149"/>
    </row>
    <row r="5315" spans="7:7">
      <c r="G5315" s="149"/>
    </row>
    <row r="5316" spans="7:7">
      <c r="G5316" s="149"/>
    </row>
    <row r="5317" spans="7:7">
      <c r="G5317" s="149"/>
    </row>
    <row r="5318" spans="7:7">
      <c r="G5318" s="149"/>
    </row>
    <row r="5319" spans="7:7">
      <c r="G5319" s="149"/>
    </row>
    <row r="5320" spans="7:7">
      <c r="G5320" s="149"/>
    </row>
    <row r="5321" spans="7:7">
      <c r="G5321" s="149"/>
    </row>
    <row r="5322" spans="7:7">
      <c r="G5322" s="149"/>
    </row>
    <row r="5323" spans="7:7">
      <c r="G5323" s="149"/>
    </row>
    <row r="5324" spans="7:7">
      <c r="G5324" s="149"/>
    </row>
    <row r="5325" spans="7:7">
      <c r="G5325" s="149"/>
    </row>
    <row r="5326" spans="7:7">
      <c r="G5326" s="149"/>
    </row>
    <row r="5327" spans="7:7">
      <c r="G5327" s="149"/>
    </row>
    <row r="5328" spans="7:7">
      <c r="G5328" s="149"/>
    </row>
    <row r="5329" spans="7:7">
      <c r="G5329" s="149"/>
    </row>
    <row r="5330" spans="7:7">
      <c r="G5330" s="149"/>
    </row>
    <row r="5331" spans="7:7">
      <c r="G5331" s="149"/>
    </row>
    <row r="5332" spans="7:7">
      <c r="G5332" s="149"/>
    </row>
    <row r="5333" spans="7:7">
      <c r="G5333" s="149"/>
    </row>
    <row r="5334" spans="7:7">
      <c r="G5334" s="149"/>
    </row>
    <row r="5335" spans="7:7">
      <c r="G5335" s="149"/>
    </row>
    <row r="5336" spans="7:7">
      <c r="G5336" s="149"/>
    </row>
    <row r="5337" spans="7:7">
      <c r="G5337" s="149"/>
    </row>
    <row r="5338" spans="7:7">
      <c r="G5338" s="149"/>
    </row>
    <row r="5339" spans="7:7">
      <c r="G5339" s="149"/>
    </row>
    <row r="5340" spans="7:7">
      <c r="G5340" s="149"/>
    </row>
    <row r="5341" spans="7:7">
      <c r="G5341" s="149"/>
    </row>
    <row r="5342" spans="7:7">
      <c r="G5342" s="149"/>
    </row>
    <row r="5343" spans="7:7">
      <c r="G5343" s="149"/>
    </row>
    <row r="5344" spans="7:7">
      <c r="G5344" s="149"/>
    </row>
    <row r="5345" spans="7:7">
      <c r="G5345" s="149"/>
    </row>
    <row r="5346" spans="7:7">
      <c r="G5346" s="149"/>
    </row>
    <row r="5347" spans="7:7">
      <c r="G5347" s="149"/>
    </row>
    <row r="5348" spans="7:7">
      <c r="G5348" s="149"/>
    </row>
    <row r="5349" spans="7:7">
      <c r="G5349" s="149"/>
    </row>
    <row r="5350" spans="7:7">
      <c r="G5350" s="149"/>
    </row>
    <row r="5351" spans="7:7">
      <c r="G5351" s="149"/>
    </row>
    <row r="5352" spans="7:7">
      <c r="G5352" s="149"/>
    </row>
    <row r="5353" spans="7:7">
      <c r="G5353" s="149"/>
    </row>
    <row r="5354" spans="7:7">
      <c r="G5354" s="149"/>
    </row>
    <row r="5355" spans="7:7">
      <c r="G5355" s="149"/>
    </row>
    <row r="5356" spans="7:7">
      <c r="G5356" s="149"/>
    </row>
    <row r="5357" spans="7:7">
      <c r="G5357" s="149"/>
    </row>
    <row r="5358" spans="7:7">
      <c r="G5358" s="149"/>
    </row>
    <row r="5359" spans="7:7">
      <c r="G5359" s="149"/>
    </row>
    <row r="5360" spans="7:7">
      <c r="G5360" s="149"/>
    </row>
    <row r="5361" spans="7:7">
      <c r="G5361" s="149"/>
    </row>
    <row r="5362" spans="7:7">
      <c r="G5362" s="149"/>
    </row>
    <row r="5363" spans="7:7">
      <c r="G5363" s="149"/>
    </row>
    <row r="5364" spans="7:7">
      <c r="G5364" s="149"/>
    </row>
    <row r="5365" spans="7:7">
      <c r="G5365" s="149"/>
    </row>
    <row r="5366" spans="7:7">
      <c r="G5366" s="149"/>
    </row>
    <row r="5367" spans="7:7">
      <c r="G5367" s="149"/>
    </row>
    <row r="5368" spans="7:7">
      <c r="G5368" s="149"/>
    </row>
    <row r="5369" spans="7:7">
      <c r="G5369" s="149"/>
    </row>
    <row r="5370" spans="7:7">
      <c r="G5370" s="149"/>
    </row>
    <row r="5371" spans="7:7">
      <c r="G5371" s="149"/>
    </row>
    <row r="5372" spans="7:7">
      <c r="G5372" s="149"/>
    </row>
    <row r="5373" spans="7:7">
      <c r="G5373" s="149"/>
    </row>
    <row r="5374" spans="7:7">
      <c r="G5374" s="149"/>
    </row>
    <row r="5375" spans="7:7">
      <c r="G5375" s="149"/>
    </row>
    <row r="5376" spans="7:7">
      <c r="G5376" s="149"/>
    </row>
    <row r="5377" spans="7:7">
      <c r="G5377" s="149"/>
    </row>
    <row r="5378" spans="7:7">
      <c r="G5378" s="149"/>
    </row>
    <row r="5379" spans="7:7">
      <c r="G5379" s="149"/>
    </row>
    <row r="5380" spans="7:7">
      <c r="G5380" s="149"/>
    </row>
    <row r="5381" spans="7:7">
      <c r="G5381" s="149"/>
    </row>
    <row r="5382" spans="7:7">
      <c r="G5382" s="149"/>
    </row>
    <row r="5383" spans="7:7">
      <c r="G5383" s="149"/>
    </row>
    <row r="5384" spans="7:7">
      <c r="G5384" s="149"/>
    </row>
    <row r="5385" spans="7:7">
      <c r="G5385" s="149"/>
    </row>
    <row r="5386" spans="7:7">
      <c r="G5386" s="149"/>
    </row>
    <row r="5387" spans="7:7">
      <c r="G5387" s="149"/>
    </row>
    <row r="5388" spans="7:7">
      <c r="G5388" s="149"/>
    </row>
    <row r="5389" spans="7:7">
      <c r="G5389" s="149"/>
    </row>
    <row r="5390" spans="7:7">
      <c r="G5390" s="149"/>
    </row>
    <row r="5391" spans="7:7">
      <c r="G5391" s="149"/>
    </row>
    <row r="5392" spans="7:7">
      <c r="G5392" s="149"/>
    </row>
    <row r="5393" spans="7:7">
      <c r="G5393" s="149"/>
    </row>
    <row r="5394" spans="7:7">
      <c r="G5394" s="149"/>
    </row>
    <row r="5395" spans="7:7">
      <c r="G5395" s="149"/>
    </row>
    <row r="5396" spans="7:7">
      <c r="G5396" s="149"/>
    </row>
    <row r="5397" spans="7:7">
      <c r="G5397" s="149"/>
    </row>
    <row r="5398" spans="7:7">
      <c r="G5398" s="149"/>
    </row>
    <row r="5399" spans="7:7">
      <c r="G5399" s="149"/>
    </row>
    <row r="5400" spans="7:7">
      <c r="G5400" s="149"/>
    </row>
    <row r="5401" spans="7:7">
      <c r="G5401" s="149"/>
    </row>
    <row r="5402" spans="7:7">
      <c r="G5402" s="149"/>
    </row>
    <row r="5403" spans="7:7">
      <c r="G5403" s="149"/>
    </row>
    <row r="5404" spans="7:7">
      <c r="G5404" s="149"/>
    </row>
    <row r="5405" spans="7:7">
      <c r="G5405" s="149"/>
    </row>
    <row r="5406" spans="7:7">
      <c r="G5406" s="149"/>
    </row>
    <row r="5407" spans="7:7">
      <c r="G5407" s="149"/>
    </row>
    <row r="5408" spans="7:7">
      <c r="G5408" s="149"/>
    </row>
    <row r="5409" spans="7:7">
      <c r="G5409" s="149"/>
    </row>
    <row r="5410" spans="7:7">
      <c r="G5410" s="149"/>
    </row>
    <row r="5411" spans="7:7">
      <c r="G5411" s="149"/>
    </row>
    <row r="5412" spans="7:7">
      <c r="G5412" s="149"/>
    </row>
    <row r="5413" spans="7:7">
      <c r="G5413" s="149"/>
    </row>
    <row r="5414" spans="7:7">
      <c r="G5414" s="149"/>
    </row>
    <row r="5415" spans="7:7">
      <c r="G5415" s="149"/>
    </row>
    <row r="5416" spans="7:7">
      <c r="G5416" s="149"/>
    </row>
    <row r="5417" spans="7:7">
      <c r="G5417" s="149"/>
    </row>
    <row r="5418" spans="7:7">
      <c r="G5418" s="149"/>
    </row>
    <row r="5419" spans="7:7">
      <c r="G5419" s="149"/>
    </row>
    <row r="5420" spans="7:7">
      <c r="G5420" s="149"/>
    </row>
    <row r="5421" spans="7:7">
      <c r="G5421" s="149"/>
    </row>
    <row r="5422" spans="7:7">
      <c r="G5422" s="149"/>
    </row>
    <row r="5423" spans="7:7">
      <c r="G5423" s="149"/>
    </row>
    <row r="5424" spans="7:7">
      <c r="G5424" s="149"/>
    </row>
    <row r="5425" spans="7:7">
      <c r="G5425" s="149"/>
    </row>
    <row r="5426" spans="7:7">
      <c r="G5426" s="149"/>
    </row>
    <row r="5427" spans="7:7">
      <c r="G5427" s="149"/>
    </row>
    <row r="5428" spans="7:7">
      <c r="G5428" s="149"/>
    </row>
    <row r="5429" spans="7:7">
      <c r="G5429" s="149"/>
    </row>
    <row r="5430" spans="7:7">
      <c r="G5430" s="149"/>
    </row>
    <row r="5431" spans="7:7">
      <c r="G5431" s="149"/>
    </row>
    <row r="5432" spans="7:7">
      <c r="G5432" s="149"/>
    </row>
    <row r="5433" spans="7:7">
      <c r="G5433" s="149"/>
    </row>
    <row r="5434" spans="7:7">
      <c r="G5434" s="149"/>
    </row>
    <row r="5435" spans="7:7">
      <c r="G5435" s="149"/>
    </row>
    <row r="5436" spans="7:7">
      <c r="G5436" s="149"/>
    </row>
    <row r="5437" spans="7:7">
      <c r="G5437" s="149"/>
    </row>
    <row r="5438" spans="7:7">
      <c r="G5438" s="149"/>
    </row>
    <row r="5439" spans="7:7">
      <c r="G5439" s="149"/>
    </row>
    <row r="5440" spans="7:7">
      <c r="G5440" s="149"/>
    </row>
    <row r="5441" spans="7:7">
      <c r="G5441" s="149"/>
    </row>
    <row r="5442" spans="7:7">
      <c r="G5442" s="149"/>
    </row>
    <row r="5443" spans="7:7">
      <c r="G5443" s="149"/>
    </row>
    <row r="5444" spans="7:7">
      <c r="G5444" s="149"/>
    </row>
    <row r="5445" spans="7:7">
      <c r="G5445" s="149"/>
    </row>
    <row r="5446" spans="7:7">
      <c r="G5446" s="149"/>
    </row>
    <row r="5447" spans="7:7">
      <c r="G5447" s="149"/>
    </row>
    <row r="5448" spans="7:7">
      <c r="G5448" s="149"/>
    </row>
    <row r="5449" spans="7:7">
      <c r="G5449" s="149"/>
    </row>
    <row r="5450" spans="7:7">
      <c r="G5450" s="149"/>
    </row>
    <row r="5451" spans="7:7">
      <c r="G5451" s="149"/>
    </row>
    <row r="5452" spans="7:7">
      <c r="G5452" s="149"/>
    </row>
    <row r="5453" spans="7:7">
      <c r="G5453" s="149"/>
    </row>
    <row r="5454" spans="7:7">
      <c r="G5454" s="149"/>
    </row>
    <row r="5455" spans="7:7">
      <c r="G5455" s="149"/>
    </row>
    <row r="5456" spans="7:7">
      <c r="G5456" s="149"/>
    </row>
    <row r="5457" spans="7:7">
      <c r="G5457" s="149"/>
    </row>
    <row r="5458" spans="7:7">
      <c r="G5458" s="149"/>
    </row>
    <row r="5459" spans="7:7">
      <c r="G5459" s="149"/>
    </row>
    <row r="5460" spans="7:7">
      <c r="G5460" s="149"/>
    </row>
    <row r="5461" spans="7:7">
      <c r="G5461" s="149"/>
    </row>
    <row r="5462" spans="7:7">
      <c r="G5462" s="149"/>
    </row>
    <row r="5463" spans="7:7">
      <c r="G5463" s="149"/>
    </row>
    <row r="5464" spans="7:7">
      <c r="G5464" s="149"/>
    </row>
    <row r="5465" spans="7:7">
      <c r="G5465" s="149"/>
    </row>
    <row r="5466" spans="7:7">
      <c r="G5466" s="149"/>
    </row>
    <row r="5467" spans="7:7">
      <c r="G5467" s="149"/>
    </row>
    <row r="5468" spans="7:7">
      <c r="G5468" s="149"/>
    </row>
    <row r="5469" spans="7:7">
      <c r="G5469" s="149"/>
    </row>
    <row r="5470" spans="7:7">
      <c r="G5470" s="149"/>
    </row>
    <row r="5471" spans="7:7">
      <c r="G5471" s="149"/>
    </row>
    <row r="5472" spans="7:7">
      <c r="G5472" s="149"/>
    </row>
    <row r="5473" spans="7:7">
      <c r="G5473" s="149"/>
    </row>
    <row r="5474" spans="7:7">
      <c r="G5474" s="149"/>
    </row>
    <row r="5475" spans="7:7">
      <c r="G5475" s="149"/>
    </row>
    <row r="5476" spans="7:7">
      <c r="G5476" s="149"/>
    </row>
    <row r="5477" spans="7:7">
      <c r="G5477" s="149"/>
    </row>
    <row r="5478" spans="7:7">
      <c r="G5478" s="149"/>
    </row>
    <row r="5479" spans="7:7">
      <c r="G5479" s="149"/>
    </row>
    <row r="5480" spans="7:7">
      <c r="G5480" s="149"/>
    </row>
    <row r="5481" spans="7:7">
      <c r="G5481" s="149"/>
    </row>
    <row r="5482" spans="7:7">
      <c r="G5482" s="149"/>
    </row>
    <row r="5483" spans="7:7">
      <c r="G5483" s="149"/>
    </row>
    <row r="5484" spans="7:7">
      <c r="G5484" s="149"/>
    </row>
    <row r="5485" spans="7:7">
      <c r="G5485" s="149"/>
    </row>
    <row r="5486" spans="7:7">
      <c r="G5486" s="149"/>
    </row>
    <row r="5487" spans="7:7">
      <c r="G5487" s="149"/>
    </row>
    <row r="5488" spans="7:7">
      <c r="G5488" s="149"/>
    </row>
    <row r="5489" spans="7:7">
      <c r="G5489" s="149"/>
    </row>
    <row r="5490" spans="7:7">
      <c r="G5490" s="149"/>
    </row>
    <row r="5491" spans="7:7">
      <c r="G5491" s="149"/>
    </row>
    <row r="5492" spans="7:7">
      <c r="G5492" s="149"/>
    </row>
    <row r="5493" spans="7:7">
      <c r="G5493" s="149"/>
    </row>
    <row r="5494" spans="7:7">
      <c r="G5494" s="149"/>
    </row>
    <row r="5495" spans="7:7">
      <c r="G5495" s="149"/>
    </row>
    <row r="5496" spans="7:7">
      <c r="G5496" s="149"/>
    </row>
    <row r="5497" spans="7:7">
      <c r="G5497" s="149"/>
    </row>
    <row r="5498" spans="7:7">
      <c r="G5498" s="149"/>
    </row>
    <row r="5499" spans="7:7">
      <c r="G5499" s="149"/>
    </row>
    <row r="5500" spans="7:7">
      <c r="G5500" s="149"/>
    </row>
    <row r="5501" spans="7:7">
      <c r="G5501" s="149"/>
    </row>
    <row r="5502" spans="7:7">
      <c r="G5502" s="149"/>
    </row>
    <row r="5503" spans="7:7">
      <c r="G5503" s="149"/>
    </row>
    <row r="5504" spans="7:7">
      <c r="G5504" s="149"/>
    </row>
    <row r="5505" spans="7:7">
      <c r="G5505" s="149"/>
    </row>
    <row r="5506" spans="7:7">
      <c r="G5506" s="149"/>
    </row>
    <row r="5507" spans="7:7">
      <c r="G5507" s="149"/>
    </row>
    <row r="5508" spans="7:7">
      <c r="G5508" s="149"/>
    </row>
    <row r="5509" spans="7:7">
      <c r="G5509" s="149"/>
    </row>
    <row r="5510" spans="7:7">
      <c r="G5510" s="149"/>
    </row>
    <row r="5511" spans="7:7">
      <c r="G5511" s="149"/>
    </row>
    <row r="5512" spans="7:7">
      <c r="G5512" s="149"/>
    </row>
    <row r="5513" spans="7:7">
      <c r="G5513" s="149"/>
    </row>
    <row r="5514" spans="7:7">
      <c r="G5514" s="149"/>
    </row>
    <row r="5515" spans="7:7">
      <c r="G5515" s="149"/>
    </row>
    <row r="5516" spans="7:7">
      <c r="G5516" s="149"/>
    </row>
    <row r="5517" spans="7:7">
      <c r="G5517" s="149"/>
    </row>
    <row r="5518" spans="7:7">
      <c r="G5518" s="149"/>
    </row>
    <row r="5519" spans="7:7">
      <c r="G5519" s="149"/>
    </row>
    <row r="5520" spans="7:7">
      <c r="G5520" s="149"/>
    </row>
    <row r="5521" spans="7:7">
      <c r="G5521" s="149"/>
    </row>
    <row r="5522" spans="7:7">
      <c r="G5522" s="149"/>
    </row>
    <row r="5523" spans="7:7">
      <c r="G5523" s="149"/>
    </row>
    <row r="5524" spans="7:7">
      <c r="G5524" s="149"/>
    </row>
    <row r="5525" spans="7:7">
      <c r="G5525" s="149"/>
    </row>
    <row r="5526" spans="7:7">
      <c r="G5526" s="149"/>
    </row>
    <row r="5527" spans="7:7">
      <c r="G5527" s="149"/>
    </row>
    <row r="5528" spans="7:7">
      <c r="G5528" s="149"/>
    </row>
    <row r="5529" spans="7:7">
      <c r="G5529" s="149"/>
    </row>
    <row r="5530" spans="7:7">
      <c r="G5530" s="149"/>
    </row>
    <row r="5531" spans="7:7">
      <c r="G5531" s="149"/>
    </row>
    <row r="5532" spans="7:7">
      <c r="G5532" s="149"/>
    </row>
    <row r="5533" spans="7:7">
      <c r="G5533" s="149"/>
    </row>
    <row r="5534" spans="7:7">
      <c r="G5534" s="149"/>
    </row>
    <row r="5535" spans="7:7">
      <c r="G5535" s="149"/>
    </row>
    <row r="5536" spans="7:7">
      <c r="G5536" s="149"/>
    </row>
    <row r="5537" spans="7:7">
      <c r="G5537" s="149"/>
    </row>
    <row r="5538" spans="7:7">
      <c r="G5538" s="149"/>
    </row>
    <row r="5539" spans="7:7">
      <c r="G5539" s="149"/>
    </row>
    <row r="5540" spans="7:7">
      <c r="G5540" s="149"/>
    </row>
    <row r="5541" spans="7:7">
      <c r="G5541" s="149"/>
    </row>
    <row r="5542" spans="7:7">
      <c r="G5542" s="149"/>
    </row>
    <row r="5543" spans="7:7">
      <c r="G5543" s="149"/>
    </row>
    <row r="5544" spans="7:7">
      <c r="G5544" s="149"/>
    </row>
    <row r="5545" spans="7:7">
      <c r="G5545" s="149"/>
    </row>
    <row r="5546" spans="7:7">
      <c r="G5546" s="149"/>
    </row>
    <row r="5547" spans="7:7">
      <c r="G5547" s="149"/>
    </row>
    <row r="5548" spans="7:7">
      <c r="G5548" s="149"/>
    </row>
    <row r="5549" spans="7:7">
      <c r="G5549" s="149"/>
    </row>
    <row r="5550" spans="7:7">
      <c r="G5550" s="149"/>
    </row>
    <row r="5551" spans="7:7">
      <c r="G5551" s="149"/>
    </row>
    <row r="5552" spans="7:7">
      <c r="G5552" s="149"/>
    </row>
    <row r="5553" spans="7:7">
      <c r="G5553" s="149"/>
    </row>
    <row r="5554" spans="7:7">
      <c r="G5554" s="149"/>
    </row>
    <row r="5555" spans="7:7">
      <c r="G5555" s="149"/>
    </row>
    <row r="5556" spans="7:7">
      <c r="G5556" s="149"/>
    </row>
    <row r="5557" spans="7:7">
      <c r="G5557" s="149"/>
    </row>
    <row r="5558" spans="7:7">
      <c r="G5558" s="149"/>
    </row>
    <row r="5559" spans="7:7">
      <c r="G5559" s="149"/>
    </row>
    <row r="5560" spans="7:7">
      <c r="G5560" s="149"/>
    </row>
    <row r="5561" spans="7:7">
      <c r="G5561" s="149"/>
    </row>
    <row r="5562" spans="7:7">
      <c r="G5562" s="149"/>
    </row>
    <row r="5563" spans="7:7">
      <c r="G5563" s="149"/>
    </row>
    <row r="5564" spans="7:7">
      <c r="G5564" s="149"/>
    </row>
    <row r="5565" spans="7:7">
      <c r="G5565" s="149"/>
    </row>
    <row r="5566" spans="7:7">
      <c r="G5566" s="149"/>
    </row>
    <row r="5567" spans="7:7">
      <c r="G5567" s="149"/>
    </row>
    <row r="5568" spans="7:7">
      <c r="G5568" s="149"/>
    </row>
    <row r="5569" spans="7:7">
      <c r="G5569" s="149"/>
    </row>
    <row r="5570" spans="7:7">
      <c r="G5570" s="149"/>
    </row>
    <row r="5571" spans="7:7">
      <c r="G5571" s="149"/>
    </row>
    <row r="5572" spans="7:7">
      <c r="G5572" s="149"/>
    </row>
    <row r="5573" spans="7:7">
      <c r="G5573" s="149"/>
    </row>
    <row r="5574" spans="7:7">
      <c r="G5574" s="149"/>
    </row>
    <row r="5575" spans="7:7">
      <c r="G5575" s="149"/>
    </row>
    <row r="5576" spans="7:7">
      <c r="G5576" s="149"/>
    </row>
    <row r="5577" spans="7:7">
      <c r="G5577" s="149"/>
    </row>
    <row r="5578" spans="7:7">
      <c r="G5578" s="149"/>
    </row>
    <row r="5579" spans="7:7">
      <c r="G5579" s="149"/>
    </row>
    <row r="5580" spans="7:7">
      <c r="G5580" s="149"/>
    </row>
    <row r="5581" spans="7:7">
      <c r="G5581" s="149"/>
    </row>
    <row r="5582" spans="7:7">
      <c r="G5582" s="149"/>
    </row>
    <row r="5583" spans="7:7">
      <c r="G5583" s="149"/>
    </row>
    <row r="5584" spans="7:7">
      <c r="G5584" s="149"/>
    </row>
    <row r="5585" spans="7:7">
      <c r="G5585" s="149"/>
    </row>
    <row r="5586" spans="7:7">
      <c r="G5586" s="149"/>
    </row>
    <row r="5587" spans="7:7">
      <c r="G5587" s="149"/>
    </row>
    <row r="5588" spans="7:7">
      <c r="G5588" s="149"/>
    </row>
    <row r="5589" spans="7:7">
      <c r="G5589" s="149"/>
    </row>
    <row r="5590" spans="7:7">
      <c r="G5590" s="149"/>
    </row>
    <row r="5591" spans="7:7">
      <c r="G5591" s="149"/>
    </row>
    <row r="5592" spans="7:7">
      <c r="G5592" s="149"/>
    </row>
    <row r="5593" spans="7:7">
      <c r="G5593" s="149"/>
    </row>
    <row r="5594" spans="7:7">
      <c r="G5594" s="149"/>
    </row>
    <row r="5595" spans="7:7">
      <c r="G5595" s="149"/>
    </row>
    <row r="5596" spans="7:7">
      <c r="G5596" s="149"/>
    </row>
    <row r="5597" spans="7:7">
      <c r="G5597" s="149"/>
    </row>
    <row r="5598" spans="7:7">
      <c r="G5598" s="149"/>
    </row>
    <row r="5599" spans="7:7">
      <c r="G5599" s="149"/>
    </row>
    <row r="5600" spans="7:7">
      <c r="G5600" s="149"/>
    </row>
    <row r="5601" spans="7:7">
      <c r="G5601" s="149"/>
    </row>
    <row r="5602" spans="7:7">
      <c r="G5602" s="149"/>
    </row>
    <row r="5603" spans="7:7">
      <c r="G5603" s="149"/>
    </row>
    <row r="5604" spans="7:7">
      <c r="G5604" s="149"/>
    </row>
    <row r="5605" spans="7:7">
      <c r="G5605" s="149"/>
    </row>
    <row r="5606" spans="7:7">
      <c r="G5606" s="149"/>
    </row>
    <row r="5607" spans="7:7">
      <c r="G5607" s="149"/>
    </row>
    <row r="5608" spans="7:7">
      <c r="G5608" s="149"/>
    </row>
    <row r="5609" spans="7:7">
      <c r="G5609" s="149"/>
    </row>
    <row r="5610" spans="7:7">
      <c r="G5610" s="149"/>
    </row>
    <row r="5611" spans="7:7">
      <c r="G5611" s="149"/>
    </row>
    <row r="5612" spans="7:7">
      <c r="G5612" s="149"/>
    </row>
    <row r="5613" spans="7:7">
      <c r="G5613" s="149"/>
    </row>
    <row r="5614" spans="7:7">
      <c r="G5614" s="149"/>
    </row>
    <row r="5615" spans="7:7">
      <c r="G5615" s="149"/>
    </row>
    <row r="5616" spans="7:7">
      <c r="G5616" s="149"/>
    </row>
    <row r="5617" spans="7:7">
      <c r="G5617" s="149"/>
    </row>
    <row r="5618" spans="7:7">
      <c r="G5618" s="149"/>
    </row>
    <row r="5619" spans="7:7">
      <c r="G5619" s="149"/>
    </row>
    <row r="5620" spans="7:7">
      <c r="G5620" s="149"/>
    </row>
    <row r="5621" spans="7:7">
      <c r="G5621" s="149"/>
    </row>
    <row r="5622" spans="7:7">
      <c r="G5622" s="149"/>
    </row>
    <row r="5623" spans="7:7">
      <c r="G5623" s="149"/>
    </row>
    <row r="5624" spans="7:7">
      <c r="G5624" s="149"/>
    </row>
    <row r="5625" spans="7:7">
      <c r="G5625" s="149"/>
    </row>
    <row r="5626" spans="7:7">
      <c r="G5626" s="149"/>
    </row>
    <row r="5627" spans="7:7">
      <c r="G5627" s="149"/>
    </row>
    <row r="5628" spans="7:7">
      <c r="G5628" s="149"/>
    </row>
    <row r="5629" spans="7:7">
      <c r="G5629" s="149"/>
    </row>
    <row r="5630" spans="7:7">
      <c r="G5630" s="149"/>
    </row>
    <row r="5631" spans="7:7">
      <c r="G5631" s="149"/>
    </row>
    <row r="5632" spans="7:7">
      <c r="G5632" s="149"/>
    </row>
    <row r="5633" spans="7:7">
      <c r="G5633" s="149"/>
    </row>
    <row r="5634" spans="7:7">
      <c r="G5634" s="149"/>
    </row>
    <row r="5635" spans="7:7">
      <c r="G5635" s="149"/>
    </row>
    <row r="5636" spans="7:7">
      <c r="G5636" s="149"/>
    </row>
    <row r="5637" spans="7:7">
      <c r="G5637" s="149"/>
    </row>
    <row r="5638" spans="7:7">
      <c r="G5638" s="149"/>
    </row>
    <row r="5639" spans="7:7">
      <c r="G5639" s="149"/>
    </row>
    <row r="5640" spans="7:7">
      <c r="G5640" s="149"/>
    </row>
    <row r="5641" spans="7:7">
      <c r="G5641" s="149"/>
    </row>
    <row r="5642" spans="7:7">
      <c r="G5642" s="149"/>
    </row>
    <row r="5643" spans="7:7">
      <c r="G5643" s="149"/>
    </row>
    <row r="5644" spans="7:7">
      <c r="G5644" s="149"/>
    </row>
    <row r="5645" spans="7:7">
      <c r="G5645" s="149"/>
    </row>
    <row r="5646" spans="7:7">
      <c r="G5646" s="149"/>
    </row>
    <row r="5647" spans="7:7">
      <c r="G5647" s="149"/>
    </row>
    <row r="5648" spans="7:7">
      <c r="G5648" s="149"/>
    </row>
    <row r="5649" spans="7:7">
      <c r="G5649" s="149"/>
    </row>
    <row r="5650" spans="7:7">
      <c r="G5650" s="149"/>
    </row>
    <row r="5651" spans="7:7">
      <c r="G5651" s="149"/>
    </row>
    <row r="5652" spans="7:7">
      <c r="G5652" s="149"/>
    </row>
    <row r="5653" spans="7:7">
      <c r="G5653" s="149"/>
    </row>
    <row r="5654" spans="7:7">
      <c r="G5654" s="149"/>
    </row>
    <row r="5655" spans="7:7">
      <c r="G5655" s="149"/>
    </row>
    <row r="5656" spans="7:7">
      <c r="G5656" s="149"/>
    </row>
    <row r="5657" spans="7:7">
      <c r="G5657" s="149"/>
    </row>
    <row r="5658" spans="7:7">
      <c r="G5658" s="149"/>
    </row>
    <row r="5659" spans="7:7">
      <c r="G5659" s="149"/>
    </row>
    <row r="5660" spans="7:7">
      <c r="G5660" s="149"/>
    </row>
    <row r="5661" spans="7:7">
      <c r="G5661" s="149"/>
    </row>
    <row r="5662" spans="7:7">
      <c r="G5662" s="149"/>
    </row>
    <row r="5663" spans="7:7">
      <c r="G5663" s="149"/>
    </row>
    <row r="5664" spans="7:7">
      <c r="G5664" s="149"/>
    </row>
    <row r="5665" spans="7:7">
      <c r="G5665" s="149"/>
    </row>
    <row r="5666" spans="7:7">
      <c r="G5666" s="149"/>
    </row>
    <row r="5667" spans="7:7">
      <c r="G5667" s="149"/>
    </row>
    <row r="5668" spans="7:7">
      <c r="G5668" s="149"/>
    </row>
    <row r="5669" spans="7:7">
      <c r="G5669" s="149"/>
    </row>
    <row r="5670" spans="7:7">
      <c r="G5670" s="149"/>
    </row>
    <row r="5671" spans="7:7">
      <c r="G5671" s="149"/>
    </row>
    <row r="5672" spans="7:7">
      <c r="G5672" s="149"/>
    </row>
    <row r="5673" spans="7:7">
      <c r="G5673" s="149"/>
    </row>
    <row r="5674" spans="7:7">
      <c r="G5674" s="149"/>
    </row>
    <row r="5675" spans="7:7">
      <c r="G5675" s="149"/>
    </row>
    <row r="5676" spans="7:7">
      <c r="G5676" s="149"/>
    </row>
    <row r="5677" spans="7:7">
      <c r="G5677" s="149"/>
    </row>
    <row r="5678" spans="7:7">
      <c r="G5678" s="149"/>
    </row>
    <row r="5679" spans="7:7">
      <c r="G5679" s="149"/>
    </row>
    <row r="5680" spans="7:7">
      <c r="G5680" s="149"/>
    </row>
    <row r="5681" spans="7:7">
      <c r="G5681" s="149"/>
    </row>
    <row r="5682" spans="7:7">
      <c r="G5682" s="149"/>
    </row>
    <row r="5683" spans="7:7">
      <c r="G5683" s="149"/>
    </row>
    <row r="5684" spans="7:7">
      <c r="G5684" s="149"/>
    </row>
    <row r="5685" spans="7:7">
      <c r="G5685" s="149"/>
    </row>
    <row r="5686" spans="7:7">
      <c r="G5686" s="149"/>
    </row>
    <row r="5687" spans="7:7">
      <c r="G5687" s="149"/>
    </row>
    <row r="5688" spans="7:7">
      <c r="G5688" s="149"/>
    </row>
    <row r="5689" spans="7:7">
      <c r="G5689" s="149"/>
    </row>
    <row r="5690" spans="7:7">
      <c r="G5690" s="149"/>
    </row>
    <row r="5691" spans="7:7">
      <c r="G5691" s="149"/>
    </row>
    <row r="5692" spans="7:7">
      <c r="G5692" s="149"/>
    </row>
    <row r="5693" spans="7:7">
      <c r="G5693" s="149"/>
    </row>
    <row r="5694" spans="7:7">
      <c r="G5694" s="149"/>
    </row>
    <row r="5695" spans="7:7">
      <c r="G5695" s="149"/>
    </row>
    <row r="5696" spans="7:7">
      <c r="G5696" s="149"/>
    </row>
    <row r="5697" spans="7:7">
      <c r="G5697" s="149"/>
    </row>
    <row r="5698" spans="7:7">
      <c r="G5698" s="149"/>
    </row>
    <row r="5699" spans="7:7">
      <c r="G5699" s="149"/>
    </row>
    <row r="5700" spans="7:7">
      <c r="G5700" s="149"/>
    </row>
    <row r="5701" spans="7:7">
      <c r="G5701" s="149"/>
    </row>
    <row r="5702" spans="7:7">
      <c r="G5702" s="149"/>
    </row>
    <row r="5703" spans="7:7">
      <c r="G5703" s="149"/>
    </row>
    <row r="5704" spans="7:7">
      <c r="G5704" s="149"/>
    </row>
    <row r="5705" spans="7:7">
      <c r="G5705" s="149"/>
    </row>
    <row r="5706" spans="7:7">
      <c r="G5706" s="149"/>
    </row>
    <row r="5707" spans="7:7">
      <c r="G5707" s="149"/>
    </row>
    <row r="5708" spans="7:7">
      <c r="G5708" s="149"/>
    </row>
    <row r="5709" spans="7:7">
      <c r="G5709" s="149"/>
    </row>
    <row r="5710" spans="7:7">
      <c r="G5710" s="149"/>
    </row>
    <row r="5711" spans="7:7">
      <c r="G5711" s="149"/>
    </row>
    <row r="5712" spans="7:7">
      <c r="G5712" s="149"/>
    </row>
    <row r="5713" spans="7:7">
      <c r="G5713" s="149"/>
    </row>
    <row r="5714" spans="7:7">
      <c r="G5714" s="149"/>
    </row>
    <row r="5715" spans="7:7">
      <c r="G5715" s="149"/>
    </row>
    <row r="5716" spans="7:7">
      <c r="G5716" s="149"/>
    </row>
    <row r="5717" spans="7:7">
      <c r="G5717" s="149"/>
    </row>
    <row r="5718" spans="7:7">
      <c r="G5718" s="149"/>
    </row>
    <row r="5719" spans="7:7">
      <c r="G5719" s="149"/>
    </row>
    <row r="5720" spans="7:7">
      <c r="G5720" s="149"/>
    </row>
    <row r="5721" spans="7:7">
      <c r="G5721" s="149"/>
    </row>
    <row r="5722" spans="7:7">
      <c r="G5722" s="149"/>
    </row>
    <row r="5723" spans="7:7">
      <c r="G5723" s="149"/>
    </row>
    <row r="5724" spans="7:7">
      <c r="G5724" s="149"/>
    </row>
    <row r="5725" spans="7:7">
      <c r="G5725" s="149"/>
    </row>
    <row r="5726" spans="7:7">
      <c r="G5726" s="149"/>
    </row>
    <row r="5727" spans="7:7">
      <c r="G5727" s="149"/>
    </row>
    <row r="5728" spans="7:7">
      <c r="G5728" s="149"/>
    </row>
    <row r="5729" spans="7:7">
      <c r="G5729" s="149"/>
    </row>
    <row r="5730" spans="7:7">
      <c r="G5730" s="149"/>
    </row>
    <row r="5731" spans="7:7">
      <c r="G5731" s="149"/>
    </row>
    <row r="5732" spans="7:7">
      <c r="G5732" s="149"/>
    </row>
    <row r="5733" spans="7:7">
      <c r="G5733" s="149"/>
    </row>
    <row r="5734" spans="7:7">
      <c r="G5734" s="149"/>
    </row>
    <row r="5735" spans="7:7">
      <c r="G5735" s="149"/>
    </row>
    <row r="5736" spans="7:7">
      <c r="G5736" s="149"/>
    </row>
    <row r="5737" spans="7:7">
      <c r="G5737" s="149"/>
    </row>
    <row r="5738" spans="7:7">
      <c r="G5738" s="149"/>
    </row>
    <row r="5739" spans="7:7">
      <c r="G5739" s="149"/>
    </row>
    <row r="5740" spans="7:7">
      <c r="G5740" s="149"/>
    </row>
    <row r="5741" spans="7:7">
      <c r="G5741" s="149"/>
    </row>
    <row r="5742" spans="7:7">
      <c r="G5742" s="149"/>
    </row>
    <row r="5743" spans="7:7">
      <c r="G5743" s="149"/>
    </row>
    <row r="5744" spans="7:7">
      <c r="G5744" s="149"/>
    </row>
    <row r="5745" spans="7:7">
      <c r="G5745" s="149"/>
    </row>
    <row r="5746" spans="7:7">
      <c r="G5746" s="149"/>
    </row>
    <row r="5747" spans="7:7">
      <c r="G5747" s="149"/>
    </row>
    <row r="5748" spans="7:7">
      <c r="G5748" s="149"/>
    </row>
    <row r="5749" spans="7:7">
      <c r="G5749" s="149"/>
    </row>
    <row r="5750" spans="7:7">
      <c r="G5750" s="149"/>
    </row>
    <row r="5751" spans="7:7">
      <c r="G5751" s="149"/>
    </row>
    <row r="5752" spans="7:7">
      <c r="G5752" s="149"/>
    </row>
    <row r="5753" spans="7:7">
      <c r="G5753" s="149"/>
    </row>
    <row r="5754" spans="7:7">
      <c r="G5754" s="149"/>
    </row>
    <row r="5755" spans="7:7">
      <c r="G5755" s="149"/>
    </row>
    <row r="5756" spans="7:7">
      <c r="G5756" s="149"/>
    </row>
    <row r="5757" spans="7:7">
      <c r="G5757" s="149"/>
    </row>
    <row r="5758" spans="7:7">
      <c r="G5758" s="149"/>
    </row>
    <row r="5759" spans="7:7">
      <c r="G5759" s="149"/>
    </row>
    <row r="5760" spans="7:7">
      <c r="G5760" s="149"/>
    </row>
    <row r="5761" spans="7:7">
      <c r="G5761" s="149"/>
    </row>
    <row r="5762" spans="7:7">
      <c r="G5762" s="149"/>
    </row>
    <row r="5763" spans="7:7">
      <c r="G5763" s="149"/>
    </row>
    <row r="5764" spans="7:7">
      <c r="G5764" s="149"/>
    </row>
    <row r="5765" spans="7:7">
      <c r="G5765" s="149"/>
    </row>
    <row r="5766" spans="7:7">
      <c r="G5766" s="149"/>
    </row>
    <row r="5767" spans="7:7">
      <c r="G5767" s="149"/>
    </row>
    <row r="5768" spans="7:7">
      <c r="G5768" s="149"/>
    </row>
    <row r="5769" spans="7:7">
      <c r="G5769" s="149"/>
    </row>
    <row r="5770" spans="7:7">
      <c r="G5770" s="149"/>
    </row>
    <row r="5771" spans="7:7">
      <c r="G5771" s="149"/>
    </row>
    <row r="5772" spans="7:7">
      <c r="G5772" s="149"/>
    </row>
    <row r="5773" spans="7:7">
      <c r="G5773" s="149"/>
    </row>
    <row r="5774" spans="7:7">
      <c r="G5774" s="149"/>
    </row>
    <row r="5775" spans="7:7">
      <c r="G5775" s="149"/>
    </row>
    <row r="5776" spans="7:7">
      <c r="G5776" s="149"/>
    </row>
    <row r="5777" spans="7:7">
      <c r="G5777" s="149"/>
    </row>
    <row r="5778" spans="7:7">
      <c r="G5778" s="149"/>
    </row>
    <row r="5779" spans="7:7">
      <c r="G5779" s="149"/>
    </row>
    <row r="5780" spans="7:7">
      <c r="G5780" s="149"/>
    </row>
    <row r="5781" spans="7:7">
      <c r="G5781" s="149"/>
    </row>
    <row r="5782" spans="7:7">
      <c r="G5782" s="149"/>
    </row>
    <row r="5783" spans="7:7">
      <c r="G5783" s="149"/>
    </row>
    <row r="5784" spans="7:7">
      <c r="G5784" s="149"/>
    </row>
    <row r="5785" spans="7:7">
      <c r="G5785" s="149"/>
    </row>
    <row r="5786" spans="7:7">
      <c r="G5786" s="149"/>
    </row>
    <row r="5787" spans="7:7">
      <c r="G5787" s="149"/>
    </row>
    <row r="5788" spans="7:7">
      <c r="G5788" s="149"/>
    </row>
    <row r="5789" spans="7:7">
      <c r="G5789" s="149"/>
    </row>
    <row r="5790" spans="7:7">
      <c r="G5790" s="149"/>
    </row>
    <row r="5791" spans="7:7">
      <c r="G5791" s="149"/>
    </row>
    <row r="5792" spans="7:7">
      <c r="G5792" s="149"/>
    </row>
    <row r="5793" spans="7:7">
      <c r="G5793" s="149"/>
    </row>
    <row r="5794" spans="7:7">
      <c r="G5794" s="149"/>
    </row>
    <row r="5795" spans="7:7">
      <c r="G5795" s="149"/>
    </row>
    <row r="5796" spans="7:7">
      <c r="G5796" s="149"/>
    </row>
    <row r="5797" spans="7:7">
      <c r="G5797" s="149"/>
    </row>
    <row r="5798" spans="7:7">
      <c r="G5798" s="149"/>
    </row>
    <row r="5799" spans="7:7">
      <c r="G5799" s="149"/>
    </row>
    <row r="5800" spans="7:7">
      <c r="G5800" s="149"/>
    </row>
    <row r="5801" spans="7:7">
      <c r="G5801" s="149"/>
    </row>
    <row r="5802" spans="7:7">
      <c r="G5802" s="149"/>
    </row>
    <row r="5803" spans="7:7">
      <c r="G5803" s="149"/>
    </row>
    <row r="5804" spans="7:7">
      <c r="G5804" s="149"/>
    </row>
    <row r="5805" spans="7:7">
      <c r="G5805" s="149"/>
    </row>
    <row r="5806" spans="7:7">
      <c r="G5806" s="149"/>
    </row>
    <row r="5807" spans="7:7">
      <c r="G5807" s="149"/>
    </row>
    <row r="5808" spans="7:7">
      <c r="G5808" s="149"/>
    </row>
    <row r="5809" spans="7:7">
      <c r="G5809" s="149"/>
    </row>
    <row r="5810" spans="7:7">
      <c r="G5810" s="149"/>
    </row>
    <row r="5811" spans="7:7">
      <c r="G5811" s="149"/>
    </row>
    <row r="5812" spans="7:7">
      <c r="G5812" s="149"/>
    </row>
    <row r="5813" spans="7:7">
      <c r="G5813" s="149"/>
    </row>
    <row r="5814" spans="7:7">
      <c r="G5814" s="149"/>
    </row>
    <row r="5815" spans="7:7">
      <c r="G5815" s="149"/>
    </row>
    <row r="5816" spans="7:7">
      <c r="G5816" s="149"/>
    </row>
    <row r="5817" spans="7:7">
      <c r="G5817" s="149"/>
    </row>
    <row r="5818" spans="7:7">
      <c r="G5818" s="149"/>
    </row>
    <row r="5819" spans="7:7">
      <c r="G5819" s="149"/>
    </row>
    <row r="5820" spans="7:7">
      <c r="G5820" s="149"/>
    </row>
    <row r="5821" spans="7:7">
      <c r="G5821" s="149"/>
    </row>
    <row r="5822" spans="7:7">
      <c r="G5822" s="149"/>
    </row>
    <row r="5823" spans="7:7">
      <c r="G5823" s="149"/>
    </row>
    <row r="5824" spans="7:7">
      <c r="G5824" s="149"/>
    </row>
    <row r="5825" spans="7:7">
      <c r="G5825" s="149"/>
    </row>
    <row r="5826" spans="7:7">
      <c r="G5826" s="149"/>
    </row>
    <row r="5827" spans="7:7">
      <c r="G5827" s="149"/>
    </row>
    <row r="5828" spans="7:7">
      <c r="G5828" s="149"/>
    </row>
    <row r="5829" spans="7:7">
      <c r="G5829" s="149"/>
    </row>
    <row r="5830" spans="7:7">
      <c r="G5830" s="149"/>
    </row>
    <row r="5831" spans="7:7">
      <c r="G5831" s="149"/>
    </row>
    <row r="5832" spans="7:7">
      <c r="G5832" s="149"/>
    </row>
    <row r="5833" spans="7:7">
      <c r="G5833" s="149"/>
    </row>
    <row r="5834" spans="7:7">
      <c r="G5834" s="149"/>
    </row>
    <row r="5835" spans="7:7">
      <c r="G5835" s="149"/>
    </row>
    <row r="5836" spans="7:7">
      <c r="G5836" s="149"/>
    </row>
    <row r="5837" spans="7:7">
      <c r="G5837" s="149"/>
    </row>
    <row r="5838" spans="7:7">
      <c r="G5838" s="149"/>
    </row>
    <row r="5839" spans="7:7">
      <c r="G5839" s="149"/>
    </row>
    <row r="5840" spans="7:7">
      <c r="G5840" s="149"/>
    </row>
    <row r="5841" spans="7:7">
      <c r="G5841" s="149"/>
    </row>
    <row r="5842" spans="7:7">
      <c r="G5842" s="149"/>
    </row>
    <row r="5843" spans="7:7">
      <c r="G5843" s="149"/>
    </row>
    <row r="5844" spans="7:7">
      <c r="G5844" s="149"/>
    </row>
    <row r="5845" spans="7:7">
      <c r="G5845" s="149"/>
    </row>
    <row r="5846" spans="7:7">
      <c r="G5846" s="149"/>
    </row>
    <row r="5847" spans="7:7">
      <c r="G5847" s="149"/>
    </row>
    <row r="5848" spans="7:7">
      <c r="G5848" s="149"/>
    </row>
    <row r="5849" spans="7:7">
      <c r="G5849" s="149"/>
    </row>
    <row r="5850" spans="7:7">
      <c r="G5850" s="149"/>
    </row>
    <row r="5851" spans="7:7">
      <c r="G5851" s="149"/>
    </row>
    <row r="5852" spans="7:7">
      <c r="G5852" s="149"/>
    </row>
    <row r="5853" spans="7:7">
      <c r="G5853" s="149"/>
    </row>
    <row r="5854" spans="7:7">
      <c r="G5854" s="149"/>
    </row>
    <row r="5855" spans="7:7">
      <c r="G5855" s="149"/>
    </row>
    <row r="5856" spans="7:7">
      <c r="G5856" s="149"/>
    </row>
    <row r="5857" spans="7:7">
      <c r="G5857" s="149"/>
    </row>
    <row r="5858" spans="7:7">
      <c r="G5858" s="149"/>
    </row>
    <row r="5859" spans="7:7">
      <c r="G5859" s="149"/>
    </row>
    <row r="5860" spans="7:7">
      <c r="G5860" s="149"/>
    </row>
    <row r="5861" spans="7:7">
      <c r="G5861" s="149"/>
    </row>
    <row r="5862" spans="7:7">
      <c r="G5862" s="149"/>
    </row>
    <row r="5863" spans="7:7">
      <c r="G5863" s="149"/>
    </row>
    <row r="5864" spans="7:7">
      <c r="G5864" s="149"/>
    </row>
    <row r="5865" spans="7:7">
      <c r="G5865" s="149"/>
    </row>
    <row r="5866" spans="7:7">
      <c r="G5866" s="149"/>
    </row>
    <row r="5867" spans="7:7">
      <c r="G5867" s="149"/>
    </row>
    <row r="5868" spans="7:7">
      <c r="G5868" s="149"/>
    </row>
    <row r="5869" spans="7:7">
      <c r="G5869" s="149"/>
    </row>
    <row r="5870" spans="7:7">
      <c r="G5870" s="149"/>
    </row>
    <row r="5871" spans="7:7">
      <c r="G5871" s="149"/>
    </row>
    <row r="5872" spans="7:7">
      <c r="G5872" s="149"/>
    </row>
    <row r="5873" spans="7:7">
      <c r="G5873" s="149"/>
    </row>
    <row r="5874" spans="7:7">
      <c r="G5874" s="149"/>
    </row>
    <row r="5875" spans="7:7">
      <c r="G5875" s="149"/>
    </row>
    <row r="5876" spans="7:7">
      <c r="G5876" s="149"/>
    </row>
    <row r="5877" spans="7:7">
      <c r="G5877" s="149"/>
    </row>
    <row r="5878" spans="7:7">
      <c r="G5878" s="149"/>
    </row>
    <row r="5879" spans="7:7">
      <c r="G5879" s="149"/>
    </row>
    <row r="5880" spans="7:7">
      <c r="G5880" s="149"/>
    </row>
    <row r="5881" spans="7:7">
      <c r="G5881" s="149"/>
    </row>
    <row r="5882" spans="7:7">
      <c r="G5882" s="149"/>
    </row>
    <row r="5883" spans="7:7">
      <c r="G5883" s="149"/>
    </row>
    <row r="5884" spans="7:7">
      <c r="G5884" s="149"/>
    </row>
    <row r="5885" spans="7:7">
      <c r="G5885" s="149"/>
    </row>
    <row r="5886" spans="7:7">
      <c r="G5886" s="149"/>
    </row>
    <row r="5887" spans="7:7">
      <c r="G5887" s="149"/>
    </row>
    <row r="5888" spans="7:7">
      <c r="G5888" s="149"/>
    </row>
    <row r="5889" spans="7:7">
      <c r="G5889" s="149"/>
    </row>
    <row r="5890" spans="7:7">
      <c r="G5890" s="149"/>
    </row>
    <row r="5891" spans="7:7">
      <c r="G5891" s="149"/>
    </row>
    <row r="5892" spans="7:7">
      <c r="G5892" s="149"/>
    </row>
    <row r="5893" spans="7:7">
      <c r="G5893" s="149"/>
    </row>
    <row r="5894" spans="7:7">
      <c r="G5894" s="149"/>
    </row>
    <row r="5895" spans="7:7">
      <c r="G5895" s="149"/>
    </row>
    <row r="5896" spans="7:7">
      <c r="G5896" s="149"/>
    </row>
    <row r="5897" spans="7:7">
      <c r="G5897" s="149"/>
    </row>
    <row r="5898" spans="7:7">
      <c r="G5898" s="149"/>
    </row>
    <row r="5899" spans="7:7">
      <c r="G5899" s="149"/>
    </row>
    <row r="5900" spans="7:7">
      <c r="G5900" s="149"/>
    </row>
    <row r="5901" spans="7:7">
      <c r="G5901" s="149"/>
    </row>
    <row r="5902" spans="7:7">
      <c r="G5902" s="149"/>
    </row>
    <row r="5903" spans="7:7">
      <c r="G5903" s="149"/>
    </row>
    <row r="5904" spans="7:7">
      <c r="G5904" s="149"/>
    </row>
    <row r="5905" spans="7:7">
      <c r="G5905" s="149"/>
    </row>
    <row r="5906" spans="7:7">
      <c r="G5906" s="149"/>
    </row>
    <row r="5907" spans="7:7">
      <c r="G5907" s="149"/>
    </row>
    <row r="5908" spans="7:7">
      <c r="G5908" s="149"/>
    </row>
    <row r="5909" spans="7:7">
      <c r="G5909" s="149"/>
    </row>
    <row r="5910" spans="7:7">
      <c r="G5910" s="149"/>
    </row>
    <row r="5911" spans="7:7">
      <c r="G5911" s="149"/>
    </row>
    <row r="5912" spans="7:7">
      <c r="G5912" s="149"/>
    </row>
    <row r="5913" spans="7:7">
      <c r="G5913" s="149"/>
    </row>
    <row r="5914" spans="7:7">
      <c r="G5914" s="149"/>
    </row>
    <row r="5915" spans="7:7">
      <c r="G5915" s="149"/>
    </row>
    <row r="5916" spans="7:7">
      <c r="G5916" s="149"/>
    </row>
    <row r="5917" spans="7:7">
      <c r="G5917" s="149"/>
    </row>
    <row r="5918" spans="7:7">
      <c r="G5918" s="149"/>
    </row>
    <row r="5919" spans="7:7">
      <c r="G5919" s="149"/>
    </row>
    <row r="5920" spans="7:7">
      <c r="G5920" s="149"/>
    </row>
    <row r="5921" spans="7:7">
      <c r="G5921" s="149"/>
    </row>
    <row r="5922" spans="7:7">
      <c r="G5922" s="149"/>
    </row>
    <row r="5923" spans="7:7">
      <c r="G5923" s="149"/>
    </row>
    <row r="5924" spans="7:7">
      <c r="G5924" s="149"/>
    </row>
    <row r="5925" spans="7:7">
      <c r="G5925" s="149"/>
    </row>
    <row r="5926" spans="7:7">
      <c r="G5926" s="149"/>
    </row>
    <row r="5927" spans="7:7">
      <c r="G5927" s="149"/>
    </row>
    <row r="5928" spans="7:7">
      <c r="G5928" s="149"/>
    </row>
    <row r="5929" spans="7:7">
      <c r="G5929" s="149"/>
    </row>
    <row r="5930" spans="7:7">
      <c r="G5930" s="149"/>
    </row>
    <row r="5931" spans="7:7">
      <c r="G5931" s="149"/>
    </row>
    <row r="5932" spans="7:7">
      <c r="G5932" s="149"/>
    </row>
    <row r="5933" spans="7:7">
      <c r="G5933" s="149"/>
    </row>
    <row r="5934" spans="7:7">
      <c r="G5934" s="149"/>
    </row>
    <row r="5935" spans="7:7">
      <c r="G5935" s="149"/>
    </row>
    <row r="5936" spans="7:7">
      <c r="G5936" s="149"/>
    </row>
    <row r="5937" spans="7:7">
      <c r="G5937" s="149"/>
    </row>
    <row r="5938" spans="7:7">
      <c r="G5938" s="149"/>
    </row>
    <row r="5939" spans="7:7">
      <c r="G5939" s="149"/>
    </row>
    <row r="5940" spans="7:7">
      <c r="G5940" s="149"/>
    </row>
    <row r="5941" spans="7:7">
      <c r="G5941" s="149"/>
    </row>
    <row r="5942" spans="7:7">
      <c r="G5942" s="149"/>
    </row>
    <row r="5943" spans="7:7">
      <c r="G5943" s="149"/>
    </row>
    <row r="5944" spans="7:7">
      <c r="G5944" s="149"/>
    </row>
    <row r="5945" spans="7:7">
      <c r="G5945" s="149"/>
    </row>
    <row r="5946" spans="7:7">
      <c r="G5946" s="149"/>
    </row>
    <row r="5947" spans="7:7">
      <c r="G5947" s="149"/>
    </row>
    <row r="5948" spans="7:7">
      <c r="G5948" s="149"/>
    </row>
    <row r="5949" spans="7:7">
      <c r="G5949" s="149"/>
    </row>
    <row r="5950" spans="7:7">
      <c r="G5950" s="149"/>
    </row>
    <row r="5951" spans="7:7">
      <c r="G5951" s="149"/>
    </row>
    <row r="5952" spans="7:7">
      <c r="G5952" s="149"/>
    </row>
    <row r="5953" spans="7:7">
      <c r="G5953" s="149"/>
    </row>
    <row r="5954" spans="7:7">
      <c r="G5954" s="149"/>
    </row>
    <row r="5955" spans="7:7">
      <c r="G5955" s="149"/>
    </row>
    <row r="5956" spans="7:7">
      <c r="G5956" s="149"/>
    </row>
    <row r="5957" spans="7:7">
      <c r="G5957" s="149"/>
    </row>
    <row r="5958" spans="7:7">
      <c r="G5958" s="149"/>
    </row>
    <row r="5959" spans="7:7">
      <c r="G5959" s="149"/>
    </row>
    <row r="5960" spans="7:7">
      <c r="G5960" s="149"/>
    </row>
    <row r="5961" spans="7:7">
      <c r="G5961" s="149"/>
    </row>
    <row r="5962" spans="7:7">
      <c r="G5962" s="149"/>
    </row>
    <row r="5963" spans="7:7">
      <c r="G5963" s="149"/>
    </row>
    <row r="5964" spans="7:7">
      <c r="G5964" s="149"/>
    </row>
    <row r="5965" spans="7:7">
      <c r="G5965" s="149"/>
    </row>
    <row r="5966" spans="7:7">
      <c r="G5966" s="149"/>
    </row>
    <row r="5967" spans="7:7">
      <c r="G5967" s="149"/>
    </row>
    <row r="5968" spans="7:7">
      <c r="G5968" s="149"/>
    </row>
    <row r="5969" spans="7:7">
      <c r="G5969" s="149"/>
    </row>
    <row r="5970" spans="7:7">
      <c r="G5970" s="149"/>
    </row>
    <row r="5971" spans="7:7">
      <c r="G5971" s="149"/>
    </row>
    <row r="5972" spans="7:7">
      <c r="G5972" s="149"/>
    </row>
    <row r="5973" spans="7:7">
      <c r="G5973" s="149"/>
    </row>
    <row r="5974" spans="7:7">
      <c r="G5974" s="149"/>
    </row>
    <row r="5975" spans="7:7">
      <c r="G5975" s="149"/>
    </row>
    <row r="5976" spans="7:7">
      <c r="G5976" s="149"/>
    </row>
    <row r="5977" spans="7:7">
      <c r="G5977" s="149"/>
    </row>
    <row r="5978" spans="7:7">
      <c r="G5978" s="149"/>
    </row>
    <row r="5979" spans="7:7">
      <c r="G5979" s="149"/>
    </row>
    <row r="5980" spans="7:7">
      <c r="G5980" s="149"/>
    </row>
    <row r="5981" spans="7:7">
      <c r="G5981" s="149"/>
    </row>
    <row r="5982" spans="7:7">
      <c r="G5982" s="149"/>
    </row>
    <row r="5983" spans="7:7">
      <c r="G5983" s="149"/>
    </row>
    <row r="5984" spans="7:7">
      <c r="G5984" s="149"/>
    </row>
    <row r="5985" spans="7:7">
      <c r="G5985" s="149"/>
    </row>
    <row r="5986" spans="7:7">
      <c r="G5986" s="149"/>
    </row>
    <row r="5987" spans="7:7">
      <c r="G5987" s="149"/>
    </row>
    <row r="5988" spans="7:7">
      <c r="G5988" s="149"/>
    </row>
    <row r="5989" spans="7:7">
      <c r="G5989" s="149"/>
    </row>
    <row r="5990" spans="7:7">
      <c r="G5990" s="149"/>
    </row>
    <row r="5991" spans="7:7">
      <c r="G5991" s="149"/>
    </row>
    <row r="5992" spans="7:7">
      <c r="G5992" s="149"/>
    </row>
    <row r="5993" spans="7:7">
      <c r="G5993" s="149"/>
    </row>
    <row r="5994" spans="7:7">
      <c r="G5994" s="149"/>
    </row>
    <row r="5995" spans="7:7">
      <c r="G5995" s="149"/>
    </row>
    <row r="5996" spans="7:7">
      <c r="G5996" s="149"/>
    </row>
    <row r="5997" spans="7:7">
      <c r="G5997" s="149"/>
    </row>
    <row r="5998" spans="7:7">
      <c r="G5998" s="149"/>
    </row>
    <row r="5999" spans="7:7">
      <c r="G5999" s="149"/>
    </row>
    <row r="6000" spans="7:7">
      <c r="G6000" s="149"/>
    </row>
    <row r="6001" spans="7:7">
      <c r="G6001" s="149"/>
    </row>
    <row r="6002" spans="7:7">
      <c r="G6002" s="149"/>
    </row>
    <row r="6003" spans="7:7">
      <c r="G6003" s="149"/>
    </row>
    <row r="6004" spans="7:7">
      <c r="G6004" s="149"/>
    </row>
    <row r="6005" spans="7:7">
      <c r="G6005" s="149"/>
    </row>
    <row r="6006" spans="7:7">
      <c r="G6006" s="149"/>
    </row>
    <row r="6007" spans="7:7">
      <c r="G6007" s="149"/>
    </row>
    <row r="6008" spans="7:7">
      <c r="G6008" s="149"/>
    </row>
    <row r="6009" spans="7:7">
      <c r="G6009" s="149"/>
    </row>
    <row r="6010" spans="7:7">
      <c r="G6010" s="149"/>
    </row>
    <row r="6011" spans="7:7">
      <c r="G6011" s="149"/>
    </row>
    <row r="6012" spans="7:7">
      <c r="G6012" s="149"/>
    </row>
    <row r="6013" spans="7:7">
      <c r="G6013" s="149"/>
    </row>
    <row r="6014" spans="7:7">
      <c r="G6014" s="149"/>
    </row>
    <row r="6015" spans="7:7">
      <c r="G6015" s="149"/>
    </row>
    <row r="6016" spans="7:7">
      <c r="G6016" s="149"/>
    </row>
    <row r="6017" spans="7:7">
      <c r="G6017" s="149"/>
    </row>
    <row r="6018" spans="7:7">
      <c r="G6018" s="149"/>
    </row>
    <row r="6019" spans="7:7">
      <c r="G6019" s="149"/>
    </row>
    <row r="6020" spans="7:7">
      <c r="G6020" s="149"/>
    </row>
    <row r="6021" spans="7:7">
      <c r="G6021" s="149"/>
    </row>
    <row r="6022" spans="7:7">
      <c r="G6022" s="149"/>
    </row>
    <row r="6023" spans="7:7">
      <c r="G6023" s="149"/>
    </row>
    <row r="6024" spans="7:7">
      <c r="G6024" s="149"/>
    </row>
    <row r="6025" spans="7:7">
      <c r="G6025" s="149"/>
    </row>
    <row r="6026" spans="7:7">
      <c r="G6026" s="149"/>
    </row>
    <row r="6027" spans="7:7">
      <c r="G6027" s="149"/>
    </row>
    <row r="6028" spans="7:7">
      <c r="G6028" s="149"/>
    </row>
    <row r="6029" spans="7:7">
      <c r="G6029" s="149"/>
    </row>
    <row r="6030" spans="7:7">
      <c r="G6030" s="149"/>
    </row>
    <row r="6031" spans="7:7">
      <c r="G6031" s="149"/>
    </row>
    <row r="6032" spans="7:7">
      <c r="G6032" s="149"/>
    </row>
    <row r="6033" spans="7:7">
      <c r="G6033" s="149"/>
    </row>
    <row r="6034" spans="7:7">
      <c r="G6034" s="149"/>
    </row>
    <row r="6035" spans="7:7">
      <c r="G6035" s="149"/>
    </row>
    <row r="6036" spans="7:7">
      <c r="G6036" s="149"/>
    </row>
    <row r="6037" spans="7:7">
      <c r="G6037" s="149"/>
    </row>
    <row r="6038" spans="7:7">
      <c r="G6038" s="149"/>
    </row>
    <row r="6039" spans="7:7">
      <c r="G6039" s="149"/>
    </row>
    <row r="6040" spans="7:7">
      <c r="G6040" s="149"/>
    </row>
    <row r="6041" spans="7:7">
      <c r="G6041" s="149"/>
    </row>
    <row r="6042" spans="7:7">
      <c r="G6042" s="149"/>
    </row>
    <row r="6043" spans="7:7">
      <c r="G6043" s="149"/>
    </row>
    <row r="6044" spans="7:7">
      <c r="G6044" s="149"/>
    </row>
    <row r="6045" spans="7:7">
      <c r="G6045" s="149"/>
    </row>
    <row r="6046" spans="7:7">
      <c r="G6046" s="149"/>
    </row>
    <row r="6047" spans="7:7">
      <c r="G6047" s="149"/>
    </row>
    <row r="6048" spans="7:7">
      <c r="G6048" s="149"/>
    </row>
    <row r="6049" spans="7:7">
      <c r="G6049" s="149"/>
    </row>
    <row r="6050" spans="7:7">
      <c r="G6050" s="149"/>
    </row>
    <row r="6051" spans="7:7">
      <c r="G6051" s="149"/>
    </row>
    <row r="6052" spans="7:7">
      <c r="G6052" s="149"/>
    </row>
    <row r="6053" spans="7:7">
      <c r="G6053" s="149"/>
    </row>
    <row r="6054" spans="7:7">
      <c r="G6054" s="149"/>
    </row>
    <row r="6055" spans="7:7">
      <c r="G6055" s="149"/>
    </row>
    <row r="6056" spans="7:7">
      <c r="G6056" s="149"/>
    </row>
    <row r="6057" spans="7:7">
      <c r="G6057" s="149"/>
    </row>
    <row r="6058" spans="7:7">
      <c r="G6058" s="149"/>
    </row>
    <row r="6059" spans="7:7">
      <c r="G6059" s="149"/>
    </row>
    <row r="6060" spans="7:7">
      <c r="G6060" s="149"/>
    </row>
    <row r="6061" spans="7:7">
      <c r="G6061" s="149"/>
    </row>
    <row r="6062" spans="7:7">
      <c r="G6062" s="149"/>
    </row>
    <row r="6063" spans="7:7">
      <c r="G6063" s="149"/>
    </row>
    <row r="6064" spans="7:7">
      <c r="G6064" s="149"/>
    </row>
    <row r="6065" spans="7:7">
      <c r="G6065" s="149"/>
    </row>
    <row r="6066" spans="7:7">
      <c r="G6066" s="149"/>
    </row>
    <row r="6067" spans="7:7">
      <c r="G6067" s="149"/>
    </row>
    <row r="6068" spans="7:7">
      <c r="G6068" s="149"/>
    </row>
    <row r="6069" spans="7:7">
      <c r="G6069" s="149"/>
    </row>
    <row r="6070" spans="7:7">
      <c r="G6070" s="149"/>
    </row>
    <row r="6071" spans="7:7">
      <c r="G6071" s="149"/>
    </row>
    <row r="6072" spans="7:7">
      <c r="G6072" s="149"/>
    </row>
    <row r="6073" spans="7:7">
      <c r="G6073" s="149"/>
    </row>
    <row r="6074" spans="7:7">
      <c r="G6074" s="149"/>
    </row>
    <row r="6075" spans="7:7">
      <c r="G6075" s="149"/>
    </row>
    <row r="6076" spans="7:7">
      <c r="G6076" s="149"/>
    </row>
    <row r="6077" spans="7:7">
      <c r="G6077" s="149"/>
    </row>
    <row r="6078" spans="7:7">
      <c r="G6078" s="149"/>
    </row>
    <row r="6079" spans="7:7">
      <c r="G6079" s="149"/>
    </row>
    <row r="6080" spans="7:7">
      <c r="G6080" s="149"/>
    </row>
    <row r="6081" spans="7:7">
      <c r="G6081" s="149"/>
    </row>
    <row r="6082" spans="7:7">
      <c r="G6082" s="149"/>
    </row>
    <row r="6083" spans="7:7">
      <c r="G6083" s="149"/>
    </row>
    <row r="6084" spans="7:7">
      <c r="G6084" s="149"/>
    </row>
    <row r="6085" spans="7:7">
      <c r="G6085" s="149"/>
    </row>
    <row r="6086" spans="7:7">
      <c r="G6086" s="149"/>
    </row>
    <row r="6087" spans="7:7">
      <c r="G6087" s="149"/>
    </row>
    <row r="6088" spans="7:7">
      <c r="G6088" s="149"/>
    </row>
    <row r="6089" spans="7:7">
      <c r="G6089" s="149"/>
    </row>
    <row r="6090" spans="7:7">
      <c r="G6090" s="149"/>
    </row>
    <row r="6091" spans="7:7">
      <c r="G6091" s="149"/>
    </row>
    <row r="6092" spans="7:7">
      <c r="G6092" s="149"/>
    </row>
    <row r="6093" spans="7:7">
      <c r="G6093" s="149"/>
    </row>
    <row r="6094" spans="7:7">
      <c r="G6094" s="149"/>
    </row>
    <row r="6095" spans="7:7">
      <c r="G6095" s="149"/>
    </row>
    <row r="6096" spans="7:7">
      <c r="G6096" s="149"/>
    </row>
    <row r="6097" spans="7:7">
      <c r="G6097" s="149"/>
    </row>
    <row r="6098" spans="7:7">
      <c r="G6098" s="149"/>
    </row>
    <row r="6099" spans="7:7">
      <c r="G6099" s="149"/>
    </row>
    <row r="6100" spans="7:7">
      <c r="G6100" s="149"/>
    </row>
    <row r="6101" spans="7:7">
      <c r="G6101" s="149"/>
    </row>
    <row r="6102" spans="7:7">
      <c r="G6102" s="149"/>
    </row>
    <row r="6103" spans="7:7">
      <c r="G6103" s="149"/>
    </row>
    <row r="6104" spans="7:7">
      <c r="G6104" s="149"/>
    </row>
    <row r="6105" spans="7:7">
      <c r="G6105" s="149"/>
    </row>
    <row r="6106" spans="7:7">
      <c r="G6106" s="149"/>
    </row>
    <row r="6107" spans="7:7">
      <c r="G6107" s="149"/>
    </row>
    <row r="6108" spans="7:7">
      <c r="G6108" s="149"/>
    </row>
    <row r="6109" spans="7:7">
      <c r="G6109" s="149"/>
    </row>
    <row r="6110" spans="7:7">
      <c r="G6110" s="149"/>
    </row>
    <row r="6111" spans="7:7">
      <c r="G6111" s="149"/>
    </row>
    <row r="6112" spans="7:7">
      <c r="G6112" s="149"/>
    </row>
    <row r="6113" spans="7:7">
      <c r="G6113" s="149"/>
    </row>
    <row r="6114" spans="7:7">
      <c r="G6114" s="149"/>
    </row>
    <row r="6115" spans="7:7">
      <c r="G6115" s="149"/>
    </row>
    <row r="6116" spans="7:7">
      <c r="G6116" s="149"/>
    </row>
    <row r="6117" spans="7:7">
      <c r="G6117" s="149"/>
    </row>
    <row r="6118" spans="7:7">
      <c r="G6118" s="149"/>
    </row>
    <row r="6119" spans="7:7">
      <c r="G6119" s="149"/>
    </row>
    <row r="6120" spans="7:7">
      <c r="G6120" s="149"/>
    </row>
    <row r="6121" spans="7:7">
      <c r="G6121" s="149"/>
    </row>
    <row r="6122" spans="7:7">
      <c r="G6122" s="149"/>
    </row>
    <row r="6123" spans="7:7">
      <c r="G6123" s="149"/>
    </row>
    <row r="6124" spans="7:7">
      <c r="G6124" s="149"/>
    </row>
    <row r="6125" spans="7:7">
      <c r="G6125" s="149"/>
    </row>
    <row r="6126" spans="7:7">
      <c r="G6126" s="149"/>
    </row>
    <row r="6127" spans="7:7">
      <c r="G6127" s="149"/>
    </row>
    <row r="6128" spans="7:7">
      <c r="G6128" s="149"/>
    </row>
    <row r="6129" spans="7:7">
      <c r="G6129" s="149"/>
    </row>
    <row r="6130" spans="7:7">
      <c r="G6130" s="149"/>
    </row>
    <row r="6131" spans="7:7">
      <c r="G6131" s="149"/>
    </row>
    <row r="6132" spans="7:7">
      <c r="G6132" s="149"/>
    </row>
    <row r="6133" spans="7:7">
      <c r="G6133" s="149"/>
    </row>
    <row r="6134" spans="7:7">
      <c r="G6134" s="149"/>
    </row>
    <row r="6135" spans="7:7">
      <c r="G6135" s="149"/>
    </row>
    <row r="6136" spans="7:7">
      <c r="G6136" s="149"/>
    </row>
    <row r="6137" spans="7:7">
      <c r="G6137" s="149"/>
    </row>
    <row r="6138" spans="7:7">
      <c r="G6138" s="149"/>
    </row>
    <row r="6139" spans="7:7">
      <c r="G6139" s="149"/>
    </row>
    <row r="6140" spans="7:7">
      <c r="G6140" s="149"/>
    </row>
    <row r="6141" spans="7:7">
      <c r="G6141" s="149"/>
    </row>
    <row r="6142" spans="7:7">
      <c r="G6142" s="149"/>
    </row>
    <row r="6143" spans="7:7">
      <c r="G6143" s="149"/>
    </row>
    <row r="6144" spans="7:7">
      <c r="G6144" s="149"/>
    </row>
    <row r="6145" spans="7:7">
      <c r="G6145" s="149"/>
    </row>
    <row r="6146" spans="7:7">
      <c r="G6146" s="149"/>
    </row>
    <row r="6147" spans="7:7">
      <c r="G6147" s="149"/>
    </row>
    <row r="6148" spans="7:7">
      <c r="G6148" s="149"/>
    </row>
    <row r="6149" spans="7:7">
      <c r="G6149" s="149"/>
    </row>
    <row r="6150" spans="7:7">
      <c r="G6150" s="149"/>
    </row>
    <row r="6151" spans="7:7">
      <c r="G6151" s="149"/>
    </row>
    <row r="6152" spans="7:7">
      <c r="G6152" s="149"/>
    </row>
    <row r="6153" spans="7:7">
      <c r="G6153" s="149"/>
    </row>
    <row r="6154" spans="7:7">
      <c r="G6154" s="149"/>
    </row>
    <row r="6155" spans="7:7">
      <c r="G6155" s="149"/>
    </row>
    <row r="6156" spans="7:7">
      <c r="G6156" s="149"/>
    </row>
    <row r="6157" spans="7:7">
      <c r="G6157" s="149"/>
    </row>
    <row r="6158" spans="7:7">
      <c r="G6158" s="149"/>
    </row>
    <row r="6159" spans="7:7">
      <c r="G6159" s="149"/>
    </row>
    <row r="6160" spans="7:7">
      <c r="G6160" s="149"/>
    </row>
    <row r="6161" spans="7:7">
      <c r="G6161" s="149"/>
    </row>
    <row r="6162" spans="7:7">
      <c r="G6162" s="149"/>
    </row>
    <row r="6163" spans="7:7">
      <c r="G6163" s="149"/>
    </row>
    <row r="6164" spans="7:7">
      <c r="G6164" s="149"/>
    </row>
    <row r="6165" spans="7:7">
      <c r="G6165" s="149"/>
    </row>
    <row r="6166" spans="7:7">
      <c r="G6166" s="149"/>
    </row>
    <row r="6167" spans="7:7">
      <c r="G6167" s="149"/>
    </row>
    <row r="6168" spans="7:7">
      <c r="G6168" s="149"/>
    </row>
    <row r="6169" spans="7:7">
      <c r="G6169" s="149"/>
    </row>
    <row r="6170" spans="7:7">
      <c r="G6170" s="149"/>
    </row>
    <row r="6171" spans="7:7">
      <c r="G6171" s="149"/>
    </row>
    <row r="6172" spans="7:7">
      <c r="G6172" s="149"/>
    </row>
    <row r="6173" spans="7:7">
      <c r="G6173" s="149"/>
    </row>
    <row r="6174" spans="7:7">
      <c r="G6174" s="149"/>
    </row>
    <row r="6175" spans="7:7">
      <c r="G6175" s="149"/>
    </row>
    <row r="6176" spans="7:7">
      <c r="G6176" s="149"/>
    </row>
    <row r="6177" spans="7:7">
      <c r="G6177" s="149"/>
    </row>
    <row r="6178" spans="7:7">
      <c r="G6178" s="149"/>
    </row>
    <row r="6179" spans="7:7">
      <c r="G6179" s="149"/>
    </row>
    <row r="6180" spans="7:7">
      <c r="G6180" s="149"/>
    </row>
    <row r="6181" spans="7:7">
      <c r="G6181" s="149"/>
    </row>
    <row r="6182" spans="7:7">
      <c r="G6182" s="149"/>
    </row>
    <row r="6183" spans="7:7">
      <c r="G6183" s="149"/>
    </row>
    <row r="6184" spans="7:7">
      <c r="G6184" s="149"/>
    </row>
    <row r="6185" spans="7:7">
      <c r="G6185" s="149"/>
    </row>
    <row r="6186" spans="7:7">
      <c r="G6186" s="149"/>
    </row>
    <row r="6187" spans="7:7">
      <c r="G6187" s="149"/>
    </row>
    <row r="6188" spans="7:7">
      <c r="G6188" s="149"/>
    </row>
    <row r="6189" spans="7:7">
      <c r="G6189" s="149"/>
    </row>
    <row r="6190" spans="7:7">
      <c r="G6190" s="149"/>
    </row>
    <row r="6191" spans="7:7">
      <c r="G6191" s="149"/>
    </row>
    <row r="6192" spans="7:7">
      <c r="G6192" s="149"/>
    </row>
    <row r="6193" spans="7:7">
      <c r="G6193" s="149"/>
    </row>
    <row r="6194" spans="7:7">
      <c r="G6194" s="149"/>
    </row>
    <row r="6195" spans="7:7">
      <c r="G6195" s="149"/>
    </row>
    <row r="6196" spans="7:7">
      <c r="G6196" s="149"/>
    </row>
    <row r="6197" spans="7:7">
      <c r="G6197" s="149"/>
    </row>
    <row r="6198" spans="7:7">
      <c r="G6198" s="149"/>
    </row>
    <row r="6199" spans="7:7">
      <c r="G6199" s="149"/>
    </row>
    <row r="6200" spans="7:7">
      <c r="G6200" s="149"/>
    </row>
    <row r="6201" spans="7:7">
      <c r="G6201" s="149"/>
    </row>
    <row r="6202" spans="7:7">
      <c r="G6202" s="149"/>
    </row>
    <row r="6203" spans="7:7">
      <c r="G6203" s="149"/>
    </row>
    <row r="6204" spans="7:7">
      <c r="G6204" s="149"/>
    </row>
    <row r="6205" spans="7:7">
      <c r="G6205" s="149"/>
    </row>
    <row r="6206" spans="7:7">
      <c r="G6206" s="149"/>
    </row>
    <row r="6207" spans="7:7">
      <c r="G6207" s="149"/>
    </row>
    <row r="6208" spans="7:7">
      <c r="G6208" s="149"/>
    </row>
    <row r="6209" spans="7:7">
      <c r="G6209" s="149"/>
    </row>
    <row r="6210" spans="7:7">
      <c r="G6210" s="149"/>
    </row>
    <row r="6211" spans="7:7">
      <c r="G6211" s="149"/>
    </row>
    <row r="6212" spans="7:7">
      <c r="G6212" s="149"/>
    </row>
    <row r="6213" spans="7:7">
      <c r="G6213" s="149"/>
    </row>
    <row r="6214" spans="7:7">
      <c r="G6214" s="149"/>
    </row>
    <row r="6215" spans="7:7">
      <c r="G6215" s="149"/>
    </row>
    <row r="6216" spans="7:7">
      <c r="G6216" s="149"/>
    </row>
    <row r="6217" spans="7:7">
      <c r="G6217" s="149"/>
    </row>
    <row r="6218" spans="7:7">
      <c r="G6218" s="149"/>
    </row>
    <row r="6219" spans="7:7">
      <c r="G6219" s="149"/>
    </row>
    <row r="6220" spans="7:7">
      <c r="G6220" s="149"/>
    </row>
    <row r="6221" spans="7:7">
      <c r="G6221" s="149"/>
    </row>
    <row r="6222" spans="7:7">
      <c r="G6222" s="149"/>
    </row>
    <row r="6223" spans="7:7">
      <c r="G6223" s="149"/>
    </row>
    <row r="6224" spans="7:7">
      <c r="G6224" s="149"/>
    </row>
    <row r="6225" spans="7:7">
      <c r="G6225" s="149"/>
    </row>
    <row r="6226" spans="7:7">
      <c r="G6226" s="149"/>
    </row>
    <row r="6227" spans="7:7">
      <c r="G6227" s="149"/>
    </row>
    <row r="6228" spans="7:7">
      <c r="G6228" s="149"/>
    </row>
    <row r="6229" spans="7:7">
      <c r="G6229" s="149"/>
    </row>
    <row r="6230" spans="7:7">
      <c r="G6230" s="149"/>
    </row>
    <row r="6231" spans="7:7">
      <c r="G6231" s="149"/>
    </row>
    <row r="6232" spans="7:7">
      <c r="G6232" s="149"/>
    </row>
    <row r="6233" spans="7:7">
      <c r="G6233" s="149"/>
    </row>
    <row r="6234" spans="7:7">
      <c r="G6234" s="149"/>
    </row>
    <row r="6235" spans="7:7">
      <c r="G6235" s="149"/>
    </row>
    <row r="6236" spans="7:7">
      <c r="G6236" s="149"/>
    </row>
    <row r="6237" spans="7:7">
      <c r="G6237" s="149"/>
    </row>
    <row r="6238" spans="7:7">
      <c r="G6238" s="149"/>
    </row>
    <row r="6239" spans="7:7">
      <c r="G6239" s="149"/>
    </row>
    <row r="6240" spans="7:7">
      <c r="G6240" s="149"/>
    </row>
    <row r="6241" spans="7:7">
      <c r="G6241" s="149"/>
    </row>
    <row r="6242" spans="7:7">
      <c r="G6242" s="149"/>
    </row>
    <row r="6243" spans="7:7">
      <c r="G6243" s="149"/>
    </row>
    <row r="6244" spans="7:7">
      <c r="G6244" s="149"/>
    </row>
    <row r="6245" spans="7:7">
      <c r="G6245" s="149"/>
    </row>
    <row r="6246" spans="7:7">
      <c r="G6246" s="149"/>
    </row>
    <row r="6247" spans="7:7">
      <c r="G6247" s="149"/>
    </row>
    <row r="6248" spans="7:7">
      <c r="G6248" s="149"/>
    </row>
    <row r="6249" spans="7:7">
      <c r="G6249" s="149"/>
    </row>
    <row r="6250" spans="7:7">
      <c r="G6250" s="149"/>
    </row>
    <row r="6251" spans="7:7">
      <c r="G6251" s="149"/>
    </row>
    <row r="6252" spans="7:7">
      <c r="G6252" s="149"/>
    </row>
    <row r="6253" spans="7:7">
      <c r="G6253" s="149"/>
    </row>
    <row r="6254" spans="7:7">
      <c r="G6254" s="149"/>
    </row>
    <row r="6255" spans="7:7">
      <c r="G6255" s="149"/>
    </row>
    <row r="6256" spans="7:7">
      <c r="G6256" s="149"/>
    </row>
    <row r="6257" spans="7:7">
      <c r="G6257" s="149"/>
    </row>
    <row r="6258" spans="7:7">
      <c r="G6258" s="149"/>
    </row>
    <row r="6259" spans="7:7">
      <c r="G6259" s="149"/>
    </row>
    <row r="6260" spans="7:7">
      <c r="G6260" s="149"/>
    </row>
    <row r="6261" spans="7:7">
      <c r="G6261" s="149"/>
    </row>
    <row r="6262" spans="7:7">
      <c r="G6262" s="149"/>
    </row>
    <row r="6263" spans="7:7">
      <c r="G6263" s="149"/>
    </row>
    <row r="6264" spans="7:7">
      <c r="G6264" s="149"/>
    </row>
    <row r="6265" spans="7:7">
      <c r="G6265" s="149"/>
    </row>
    <row r="6266" spans="7:7">
      <c r="G6266" s="149"/>
    </row>
    <row r="6267" spans="7:7">
      <c r="G6267" s="149"/>
    </row>
    <row r="6268" spans="7:7">
      <c r="G6268" s="149"/>
    </row>
    <row r="6269" spans="7:7">
      <c r="G6269" s="149"/>
    </row>
    <row r="6270" spans="7:7">
      <c r="G6270" s="149"/>
    </row>
    <row r="6271" spans="7:7">
      <c r="G6271" s="149"/>
    </row>
    <row r="6272" spans="7:7">
      <c r="G6272" s="149"/>
    </row>
    <row r="6273" spans="7:7">
      <c r="G6273" s="149"/>
    </row>
    <row r="6274" spans="7:7">
      <c r="G6274" s="149"/>
    </row>
    <row r="6275" spans="7:7">
      <c r="G6275" s="149"/>
    </row>
    <row r="6276" spans="7:7">
      <c r="G6276" s="149"/>
    </row>
    <row r="6277" spans="7:7">
      <c r="G6277" s="149"/>
    </row>
    <row r="6278" spans="7:7">
      <c r="G6278" s="149"/>
    </row>
    <row r="6279" spans="7:7">
      <c r="G6279" s="149"/>
    </row>
    <row r="6280" spans="7:7">
      <c r="G6280" s="149"/>
    </row>
    <row r="6281" spans="7:7">
      <c r="G6281" s="149"/>
    </row>
    <row r="6282" spans="7:7">
      <c r="G6282" s="149"/>
    </row>
    <row r="6283" spans="7:7">
      <c r="G6283" s="149"/>
    </row>
    <row r="6284" spans="7:7">
      <c r="G6284" s="149"/>
    </row>
    <row r="6285" spans="7:7">
      <c r="G6285" s="149"/>
    </row>
    <row r="6286" spans="7:7">
      <c r="G6286" s="149"/>
    </row>
    <row r="6287" spans="7:7">
      <c r="G6287" s="149"/>
    </row>
    <row r="6288" spans="7:7">
      <c r="G6288" s="149"/>
    </row>
    <row r="6289" spans="7:7">
      <c r="G6289" s="149"/>
    </row>
    <row r="6290" spans="7:7">
      <c r="G6290" s="149"/>
    </row>
    <row r="6291" spans="7:7">
      <c r="G6291" s="149"/>
    </row>
    <row r="6292" spans="7:7">
      <c r="G6292" s="149"/>
    </row>
    <row r="6293" spans="7:7">
      <c r="G6293" s="149"/>
    </row>
    <row r="6294" spans="7:7">
      <c r="G6294" s="149"/>
    </row>
    <row r="6295" spans="7:7">
      <c r="G6295" s="149"/>
    </row>
    <row r="6296" spans="7:7">
      <c r="G6296" s="149"/>
    </row>
    <row r="6297" spans="7:7">
      <c r="G6297" s="149"/>
    </row>
    <row r="6298" spans="7:7">
      <c r="G6298" s="149"/>
    </row>
    <row r="6299" spans="7:7">
      <c r="G6299" s="149"/>
    </row>
    <row r="6300" spans="7:7">
      <c r="G6300" s="149"/>
    </row>
    <row r="6301" spans="7:7">
      <c r="G6301" s="149"/>
    </row>
    <row r="6302" spans="7:7">
      <c r="G6302" s="149"/>
    </row>
    <row r="6303" spans="7:7">
      <c r="G6303" s="149"/>
    </row>
    <row r="6304" spans="7:7">
      <c r="G6304" s="149"/>
    </row>
    <row r="6305" spans="7:7">
      <c r="G6305" s="149"/>
    </row>
    <row r="6306" spans="7:7">
      <c r="G6306" s="149"/>
    </row>
    <row r="6307" spans="7:7">
      <c r="G6307" s="149"/>
    </row>
    <row r="6308" spans="7:7">
      <c r="G6308" s="149"/>
    </row>
    <row r="6309" spans="7:7">
      <c r="G6309" s="149"/>
    </row>
    <row r="6310" spans="7:7">
      <c r="G6310" s="149"/>
    </row>
    <row r="6311" spans="7:7">
      <c r="G6311" s="149"/>
    </row>
    <row r="6312" spans="7:7">
      <c r="G6312" s="149"/>
    </row>
    <row r="6313" spans="7:7">
      <c r="G6313" s="149"/>
    </row>
    <row r="6314" spans="7:7">
      <c r="G6314" s="149"/>
    </row>
    <row r="6315" spans="7:7">
      <c r="G6315" s="149"/>
    </row>
    <row r="6316" spans="7:7">
      <c r="G6316" s="149"/>
    </row>
    <row r="6317" spans="7:7">
      <c r="G6317" s="149"/>
    </row>
    <row r="6318" spans="7:7">
      <c r="G6318" s="149"/>
    </row>
    <row r="6319" spans="7:7">
      <c r="G6319" s="149"/>
    </row>
    <row r="6320" spans="7:7">
      <c r="G6320" s="149"/>
    </row>
    <row r="6321" spans="7:7">
      <c r="G6321" s="149"/>
    </row>
    <row r="6322" spans="7:7">
      <c r="G6322" s="149"/>
    </row>
    <row r="6323" spans="7:7">
      <c r="G6323" s="149"/>
    </row>
    <row r="6324" spans="7:7">
      <c r="G6324" s="149"/>
    </row>
    <row r="6325" spans="7:7">
      <c r="G6325" s="149"/>
    </row>
    <row r="6326" spans="7:7">
      <c r="G6326" s="149"/>
    </row>
    <row r="6327" spans="7:7">
      <c r="G6327" s="149"/>
    </row>
    <row r="6328" spans="7:7">
      <c r="G6328" s="149"/>
    </row>
    <row r="6329" spans="7:7">
      <c r="G6329" s="149"/>
    </row>
    <row r="6330" spans="7:7">
      <c r="G6330" s="149"/>
    </row>
    <row r="6331" spans="7:7">
      <c r="G6331" s="149"/>
    </row>
    <row r="6332" spans="7:7">
      <c r="G6332" s="149"/>
    </row>
    <row r="6333" spans="7:7">
      <c r="G6333" s="149"/>
    </row>
    <row r="6334" spans="7:7">
      <c r="G6334" s="149"/>
    </row>
    <row r="6335" spans="7:7">
      <c r="G6335" s="149"/>
    </row>
    <row r="6336" spans="7:7">
      <c r="G6336" s="149"/>
    </row>
    <row r="6337" spans="7:7">
      <c r="G6337" s="149"/>
    </row>
    <row r="6338" spans="7:7">
      <c r="G6338" s="149"/>
    </row>
    <row r="6339" spans="7:7">
      <c r="G6339" s="149"/>
    </row>
    <row r="6340" spans="7:7">
      <c r="G6340" s="149"/>
    </row>
    <row r="6341" spans="7:7">
      <c r="G6341" s="149"/>
    </row>
    <row r="6342" spans="7:7">
      <c r="G6342" s="149"/>
    </row>
    <row r="6343" spans="7:7">
      <c r="G6343" s="149"/>
    </row>
    <row r="6344" spans="7:7">
      <c r="G6344" s="149"/>
    </row>
    <row r="6345" spans="7:7">
      <c r="G6345" s="149"/>
    </row>
    <row r="6346" spans="7:7">
      <c r="G6346" s="149"/>
    </row>
    <row r="6347" spans="7:7">
      <c r="G6347" s="149"/>
    </row>
    <row r="6348" spans="7:7">
      <c r="G6348" s="149"/>
    </row>
    <row r="6349" spans="7:7">
      <c r="G6349" s="149"/>
    </row>
    <row r="6350" spans="7:7">
      <c r="G6350" s="149"/>
    </row>
    <row r="6351" spans="7:7">
      <c r="G6351" s="149"/>
    </row>
    <row r="6352" spans="7:7">
      <c r="G6352" s="149"/>
    </row>
    <row r="6353" spans="7:7">
      <c r="G6353" s="149"/>
    </row>
    <row r="6354" spans="7:7">
      <c r="G6354" s="149"/>
    </row>
    <row r="6355" spans="7:7">
      <c r="G6355" s="149"/>
    </row>
    <row r="6356" spans="7:7">
      <c r="G6356" s="149"/>
    </row>
    <row r="6357" spans="7:7">
      <c r="G6357" s="149"/>
    </row>
    <row r="6358" spans="7:7">
      <c r="G6358" s="149"/>
    </row>
    <row r="6359" spans="7:7">
      <c r="G6359" s="149"/>
    </row>
    <row r="6360" spans="7:7">
      <c r="G6360" s="149"/>
    </row>
    <row r="6361" spans="7:7">
      <c r="G6361" s="149"/>
    </row>
    <row r="6362" spans="7:7">
      <c r="G6362" s="149"/>
    </row>
    <row r="6363" spans="7:7">
      <c r="G6363" s="149"/>
    </row>
    <row r="6364" spans="7:7">
      <c r="G6364" s="149"/>
    </row>
    <row r="6365" spans="7:7">
      <c r="G6365" s="149"/>
    </row>
    <row r="6366" spans="7:7">
      <c r="G6366" s="149"/>
    </row>
    <row r="6367" spans="7:7">
      <c r="G6367" s="149"/>
    </row>
    <row r="6368" spans="7:7">
      <c r="G6368" s="149"/>
    </row>
    <row r="6369" spans="7:7">
      <c r="G6369" s="149"/>
    </row>
    <row r="6370" spans="7:7">
      <c r="G6370" s="149"/>
    </row>
    <row r="6371" spans="7:7">
      <c r="G6371" s="149"/>
    </row>
    <row r="6372" spans="7:7">
      <c r="G6372" s="149"/>
    </row>
    <row r="6373" spans="7:7">
      <c r="G6373" s="149"/>
    </row>
    <row r="6374" spans="7:7">
      <c r="G6374" s="149"/>
    </row>
    <row r="6375" spans="7:7">
      <c r="G6375" s="149"/>
    </row>
    <row r="6376" spans="7:7">
      <c r="G6376" s="149"/>
    </row>
    <row r="6377" spans="7:7">
      <c r="G6377" s="149"/>
    </row>
    <row r="6378" spans="7:7">
      <c r="G6378" s="149"/>
    </row>
    <row r="6379" spans="7:7">
      <c r="G6379" s="149"/>
    </row>
    <row r="6380" spans="7:7">
      <c r="G6380" s="149"/>
    </row>
    <row r="6381" spans="7:7">
      <c r="G6381" s="149"/>
    </row>
    <row r="6382" spans="7:7">
      <c r="G6382" s="149"/>
    </row>
    <row r="6383" spans="7:7">
      <c r="G6383" s="149"/>
    </row>
    <row r="6384" spans="7:7">
      <c r="G6384" s="149"/>
    </row>
    <row r="6385" spans="7:7">
      <c r="G6385" s="149"/>
    </row>
    <row r="6386" spans="7:7">
      <c r="G6386" s="149"/>
    </row>
    <row r="6387" spans="7:7">
      <c r="G6387" s="149"/>
    </row>
    <row r="6388" spans="7:7">
      <c r="G6388" s="149"/>
    </row>
    <row r="6389" spans="7:7">
      <c r="G6389" s="149"/>
    </row>
    <row r="6390" spans="7:7">
      <c r="G6390" s="149"/>
    </row>
    <row r="6391" spans="7:7">
      <c r="G6391" s="149"/>
    </row>
    <row r="6392" spans="7:7">
      <c r="G6392" s="149"/>
    </row>
    <row r="6393" spans="7:7">
      <c r="G6393" s="149"/>
    </row>
    <row r="6394" spans="7:7">
      <c r="G6394" s="149"/>
    </row>
    <row r="6395" spans="7:7">
      <c r="G6395" s="149"/>
    </row>
    <row r="6396" spans="7:7">
      <c r="G6396" s="149"/>
    </row>
    <row r="6397" spans="7:7">
      <c r="G6397" s="149"/>
    </row>
    <row r="6398" spans="7:7">
      <c r="G6398" s="149"/>
    </row>
    <row r="6399" spans="7:7">
      <c r="G6399" s="149"/>
    </row>
    <row r="6400" spans="7:7">
      <c r="G6400" s="149"/>
    </row>
    <row r="6401" spans="7:7">
      <c r="G6401" s="149"/>
    </row>
    <row r="6402" spans="7:7">
      <c r="G6402" s="149"/>
    </row>
    <row r="6403" spans="7:7">
      <c r="G6403" s="149"/>
    </row>
    <row r="6404" spans="7:7">
      <c r="G6404" s="149"/>
    </row>
    <row r="6405" spans="7:7">
      <c r="G6405" s="149"/>
    </row>
    <row r="6406" spans="7:7">
      <c r="G6406" s="149"/>
    </row>
    <row r="6407" spans="7:7">
      <c r="G6407" s="149"/>
    </row>
    <row r="6408" spans="7:7">
      <c r="G6408" s="149"/>
    </row>
    <row r="6409" spans="7:7">
      <c r="G6409" s="149"/>
    </row>
    <row r="6410" spans="7:7">
      <c r="G6410" s="149"/>
    </row>
    <row r="6411" spans="7:7">
      <c r="G6411" s="149"/>
    </row>
    <row r="6412" spans="7:7">
      <c r="G6412" s="149"/>
    </row>
    <row r="6413" spans="7:7">
      <c r="G6413" s="149"/>
    </row>
    <row r="6414" spans="7:7">
      <c r="G6414" s="149"/>
    </row>
    <row r="6415" spans="7:7">
      <c r="G6415" s="149"/>
    </row>
    <row r="6416" spans="7:7">
      <c r="G6416" s="149"/>
    </row>
    <row r="6417" spans="7:7">
      <c r="G6417" s="149"/>
    </row>
    <row r="6418" spans="7:7">
      <c r="G6418" s="149"/>
    </row>
    <row r="6419" spans="7:7">
      <c r="G6419" s="149"/>
    </row>
    <row r="6420" spans="7:7">
      <c r="G6420" s="149"/>
    </row>
    <row r="6421" spans="7:7">
      <c r="G6421" s="149"/>
    </row>
    <row r="6422" spans="7:7">
      <c r="G6422" s="149"/>
    </row>
    <row r="6423" spans="7:7">
      <c r="G6423" s="149"/>
    </row>
    <row r="6424" spans="7:7">
      <c r="G6424" s="149"/>
    </row>
    <row r="6425" spans="7:7">
      <c r="G6425" s="149"/>
    </row>
    <row r="6426" spans="7:7">
      <c r="G6426" s="149"/>
    </row>
    <row r="6427" spans="7:7">
      <c r="G6427" s="149"/>
    </row>
    <row r="6428" spans="7:7">
      <c r="G6428" s="149"/>
    </row>
    <row r="6429" spans="7:7">
      <c r="G6429" s="149"/>
    </row>
    <row r="6430" spans="7:7">
      <c r="G6430" s="149"/>
    </row>
    <row r="6431" spans="7:7">
      <c r="G6431" s="149"/>
    </row>
    <row r="6432" spans="7:7">
      <c r="G6432" s="149"/>
    </row>
    <row r="6433" spans="7:7">
      <c r="G6433" s="149"/>
    </row>
    <row r="6434" spans="7:7">
      <c r="G6434" s="149"/>
    </row>
    <row r="6435" spans="7:7">
      <c r="G6435" s="149"/>
    </row>
    <row r="6436" spans="7:7">
      <c r="G6436" s="149"/>
    </row>
    <row r="6437" spans="7:7">
      <c r="G6437" s="149"/>
    </row>
    <row r="6438" spans="7:7">
      <c r="G6438" s="149"/>
    </row>
    <row r="6439" spans="7:7">
      <c r="G6439" s="149"/>
    </row>
    <row r="6440" spans="7:7">
      <c r="G6440" s="149"/>
    </row>
    <row r="6441" spans="7:7">
      <c r="G6441" s="149"/>
    </row>
    <row r="6442" spans="7:7">
      <c r="G6442" s="149"/>
    </row>
    <row r="6443" spans="7:7">
      <c r="G6443" s="149"/>
    </row>
    <row r="6444" spans="7:7">
      <c r="G6444" s="149"/>
    </row>
    <row r="6445" spans="7:7">
      <c r="G6445" s="149"/>
    </row>
    <row r="6446" spans="7:7">
      <c r="G6446" s="149"/>
    </row>
    <row r="6447" spans="7:7">
      <c r="G6447" s="149"/>
    </row>
    <row r="6448" spans="7:7">
      <c r="G6448" s="149"/>
    </row>
    <row r="6449" spans="7:7">
      <c r="G6449" s="149"/>
    </row>
    <row r="6450" spans="7:7">
      <c r="G6450" s="149"/>
    </row>
    <row r="6451" spans="7:7">
      <c r="G6451" s="149"/>
    </row>
    <row r="6452" spans="7:7">
      <c r="G6452" s="149"/>
    </row>
    <row r="6453" spans="7:7">
      <c r="G6453" s="149"/>
    </row>
    <row r="6454" spans="7:7">
      <c r="G6454" s="149"/>
    </row>
    <row r="6455" spans="7:7">
      <c r="G6455" s="149"/>
    </row>
    <row r="6456" spans="7:7">
      <c r="G6456" s="149"/>
    </row>
    <row r="6457" spans="7:7">
      <c r="G6457" s="149"/>
    </row>
    <row r="6458" spans="7:7">
      <c r="G6458" s="149"/>
    </row>
    <row r="6459" spans="7:7">
      <c r="G6459" s="149"/>
    </row>
    <row r="6460" spans="7:7">
      <c r="G6460" s="149"/>
    </row>
    <row r="6461" spans="7:7">
      <c r="G6461" s="149"/>
    </row>
    <row r="6462" spans="7:7">
      <c r="G6462" s="149"/>
    </row>
    <row r="6463" spans="7:7">
      <c r="G6463" s="149"/>
    </row>
    <row r="6464" spans="7:7">
      <c r="G6464" s="149"/>
    </row>
    <row r="6465" spans="7:7">
      <c r="G6465" s="149"/>
    </row>
    <row r="6466" spans="7:7">
      <c r="G6466" s="149"/>
    </row>
    <row r="6467" spans="7:7">
      <c r="G6467" s="149"/>
    </row>
    <row r="6468" spans="7:7">
      <c r="G6468" s="149"/>
    </row>
    <row r="6469" spans="7:7">
      <c r="G6469" s="149"/>
    </row>
    <row r="6470" spans="7:7">
      <c r="G6470" s="149"/>
    </row>
    <row r="6471" spans="7:7">
      <c r="G6471" s="149"/>
    </row>
    <row r="6472" spans="7:7">
      <c r="G6472" s="149"/>
    </row>
    <row r="6473" spans="7:7">
      <c r="G6473" s="149"/>
    </row>
    <row r="6474" spans="7:7">
      <c r="G6474" s="149"/>
    </row>
    <row r="6475" spans="7:7">
      <c r="G6475" s="149"/>
    </row>
    <row r="6476" spans="7:7">
      <c r="G6476" s="149"/>
    </row>
    <row r="6477" spans="7:7">
      <c r="G6477" s="149"/>
    </row>
    <row r="6478" spans="7:7">
      <c r="G6478" s="149"/>
    </row>
    <row r="6479" spans="7:7">
      <c r="G6479" s="149"/>
    </row>
    <row r="6480" spans="7:7">
      <c r="G6480" s="149"/>
    </row>
    <row r="6481" spans="7:7">
      <c r="G6481" s="149"/>
    </row>
    <row r="6482" spans="7:7">
      <c r="G6482" s="149"/>
    </row>
    <row r="6483" spans="7:7">
      <c r="G6483" s="149"/>
    </row>
    <row r="6484" spans="7:7">
      <c r="G6484" s="149"/>
    </row>
    <row r="6485" spans="7:7">
      <c r="G6485" s="149"/>
    </row>
    <row r="6486" spans="7:7">
      <c r="G6486" s="149"/>
    </row>
    <row r="6487" spans="7:7">
      <c r="G6487" s="149"/>
    </row>
    <row r="6488" spans="7:7">
      <c r="G6488" s="149"/>
    </row>
    <row r="6489" spans="7:7">
      <c r="G6489" s="149"/>
    </row>
    <row r="6490" spans="7:7">
      <c r="G6490" s="149"/>
    </row>
    <row r="6491" spans="7:7">
      <c r="G6491" s="149"/>
    </row>
    <row r="6492" spans="7:7">
      <c r="G6492" s="149"/>
    </row>
    <row r="6493" spans="7:7">
      <c r="G6493" s="149"/>
    </row>
    <row r="6494" spans="7:7">
      <c r="G6494" s="149"/>
    </row>
    <row r="6495" spans="7:7">
      <c r="G6495" s="149"/>
    </row>
    <row r="6496" spans="7:7">
      <c r="G6496" s="149"/>
    </row>
    <row r="6497" spans="7:7">
      <c r="G6497" s="149"/>
    </row>
    <row r="6498" spans="7:7">
      <c r="G6498" s="149"/>
    </row>
    <row r="6499" spans="7:7">
      <c r="G6499" s="149"/>
    </row>
    <row r="6500" spans="7:7">
      <c r="G6500" s="149"/>
    </row>
    <row r="6501" spans="7:7">
      <c r="G6501" s="149"/>
    </row>
    <row r="6502" spans="7:7">
      <c r="G6502" s="149"/>
    </row>
    <row r="6503" spans="7:7">
      <c r="G6503" s="149"/>
    </row>
    <row r="6504" spans="7:7">
      <c r="G6504" s="149"/>
    </row>
    <row r="6505" spans="7:7">
      <c r="G6505" s="149"/>
    </row>
    <row r="6506" spans="7:7">
      <c r="G6506" s="149"/>
    </row>
    <row r="6507" spans="7:7">
      <c r="G6507" s="149"/>
    </row>
    <row r="6508" spans="7:7">
      <c r="G6508" s="149"/>
    </row>
    <row r="6509" spans="7:7">
      <c r="G6509" s="149"/>
    </row>
    <row r="6510" spans="7:7">
      <c r="G6510" s="149"/>
    </row>
    <row r="6511" spans="7:7">
      <c r="G6511" s="149"/>
    </row>
    <row r="6512" spans="7:7">
      <c r="G6512" s="149"/>
    </row>
    <row r="6513" spans="7:7">
      <c r="G6513" s="149"/>
    </row>
    <row r="6514" spans="7:7">
      <c r="G6514" s="149"/>
    </row>
    <row r="6515" spans="7:7">
      <c r="G6515" s="149"/>
    </row>
    <row r="6516" spans="7:7">
      <c r="G6516" s="149"/>
    </row>
    <row r="6517" spans="7:7">
      <c r="G6517" s="149"/>
    </row>
    <row r="6518" spans="7:7">
      <c r="G6518" s="149"/>
    </row>
    <row r="6519" spans="7:7">
      <c r="G6519" s="149"/>
    </row>
    <row r="6520" spans="7:7">
      <c r="G6520" s="149"/>
    </row>
    <row r="6521" spans="7:7">
      <c r="G6521" s="149"/>
    </row>
    <row r="6522" spans="7:7">
      <c r="G6522" s="149"/>
    </row>
    <row r="6523" spans="7:7">
      <c r="G6523" s="149"/>
    </row>
    <row r="6524" spans="7:7">
      <c r="G6524" s="149"/>
    </row>
    <row r="6525" spans="7:7">
      <c r="G6525" s="149"/>
    </row>
    <row r="6526" spans="7:7">
      <c r="G6526" s="149"/>
    </row>
    <row r="6527" spans="7:7">
      <c r="G6527" s="149"/>
    </row>
    <row r="6528" spans="7:7">
      <c r="G6528" s="149"/>
    </row>
    <row r="6529" spans="7:7">
      <c r="G6529" s="149"/>
    </row>
    <row r="6530" spans="7:7">
      <c r="G6530" s="149"/>
    </row>
    <row r="6531" spans="7:7">
      <c r="G6531" s="149"/>
    </row>
    <row r="6532" spans="7:7">
      <c r="G6532" s="149"/>
    </row>
    <row r="6533" spans="7:7">
      <c r="G6533" s="149"/>
    </row>
    <row r="6534" spans="7:7">
      <c r="G6534" s="149"/>
    </row>
    <row r="6535" spans="7:7">
      <c r="G6535" s="149"/>
    </row>
    <row r="6536" spans="7:7">
      <c r="G6536" s="149"/>
    </row>
    <row r="6537" spans="7:7">
      <c r="G6537" s="149"/>
    </row>
    <row r="6538" spans="7:7">
      <c r="G6538" s="149"/>
    </row>
    <row r="6539" spans="7:7">
      <c r="G6539" s="149"/>
    </row>
    <row r="6540" spans="7:7">
      <c r="G6540" s="149"/>
    </row>
    <row r="6541" spans="7:7">
      <c r="G6541" s="149"/>
    </row>
    <row r="6542" spans="7:7">
      <c r="G6542" s="149"/>
    </row>
    <row r="6543" spans="7:7">
      <c r="G6543" s="149"/>
    </row>
    <row r="6544" spans="7:7">
      <c r="G6544" s="149"/>
    </row>
    <row r="6545" spans="7:7">
      <c r="G6545" s="149"/>
    </row>
    <row r="6546" spans="7:7">
      <c r="G6546" s="149"/>
    </row>
    <row r="6547" spans="7:7">
      <c r="G6547" s="149"/>
    </row>
    <row r="6548" spans="7:7">
      <c r="G6548" s="149"/>
    </row>
    <row r="6549" spans="7:7">
      <c r="G6549" s="149"/>
    </row>
    <row r="6550" spans="7:7">
      <c r="G6550" s="149"/>
    </row>
    <row r="6551" spans="7:7">
      <c r="G6551" s="149"/>
    </row>
    <row r="6552" spans="7:7">
      <c r="G6552" s="149"/>
    </row>
    <row r="6553" spans="7:7">
      <c r="G6553" s="149"/>
    </row>
    <row r="6554" spans="7:7">
      <c r="G6554" s="149"/>
    </row>
    <row r="6555" spans="7:7">
      <c r="G6555" s="149"/>
    </row>
    <row r="6556" spans="7:7">
      <c r="G6556" s="149"/>
    </row>
    <row r="6557" spans="7:7">
      <c r="G6557" s="149"/>
    </row>
    <row r="6558" spans="7:7">
      <c r="G6558" s="149"/>
    </row>
    <row r="6559" spans="7:7">
      <c r="G6559" s="149"/>
    </row>
    <row r="6560" spans="7:7">
      <c r="G6560" s="149"/>
    </row>
    <row r="6561" spans="7:7">
      <c r="G6561" s="149"/>
    </row>
    <row r="6562" spans="7:7">
      <c r="G6562" s="149"/>
    </row>
    <row r="6563" spans="7:7">
      <c r="G6563" s="149"/>
    </row>
    <row r="6564" spans="7:7">
      <c r="G6564" s="149"/>
    </row>
    <row r="6565" spans="7:7">
      <c r="G6565" s="149"/>
    </row>
    <row r="6566" spans="7:7">
      <c r="G6566" s="149"/>
    </row>
    <row r="6567" spans="7:7">
      <c r="G6567" s="149"/>
    </row>
    <row r="6568" spans="7:7">
      <c r="G6568" s="149"/>
    </row>
    <row r="6569" spans="7:7">
      <c r="G6569" s="149"/>
    </row>
    <row r="6570" spans="7:7">
      <c r="G6570" s="149"/>
    </row>
    <row r="6571" spans="7:7">
      <c r="G6571" s="149"/>
    </row>
    <row r="6572" spans="7:7">
      <c r="G6572" s="149"/>
    </row>
    <row r="6573" spans="7:7">
      <c r="G6573" s="149"/>
    </row>
    <row r="6574" spans="7:7">
      <c r="G6574" s="149"/>
    </row>
    <row r="6575" spans="7:7">
      <c r="G6575" s="149"/>
    </row>
    <row r="6576" spans="7:7">
      <c r="G6576" s="149"/>
    </row>
    <row r="6577" spans="7:7">
      <c r="G6577" s="149"/>
    </row>
    <row r="6578" spans="7:7">
      <c r="G6578" s="149"/>
    </row>
    <row r="6579" spans="7:7">
      <c r="G6579" s="149"/>
    </row>
    <row r="6580" spans="7:7">
      <c r="G6580" s="149"/>
    </row>
    <row r="6581" spans="7:7">
      <c r="G6581" s="149"/>
    </row>
    <row r="6582" spans="7:7">
      <c r="G6582" s="149"/>
    </row>
    <row r="6583" spans="7:7">
      <c r="G6583" s="149"/>
    </row>
    <row r="6584" spans="7:7">
      <c r="G6584" s="149"/>
    </row>
    <row r="6585" spans="7:7">
      <c r="G6585" s="149"/>
    </row>
    <row r="6586" spans="7:7">
      <c r="G6586" s="149"/>
    </row>
    <row r="6587" spans="7:7">
      <c r="G6587" s="149"/>
    </row>
    <row r="6588" spans="7:7">
      <c r="G6588" s="149"/>
    </row>
    <row r="6589" spans="7:7">
      <c r="G6589" s="149"/>
    </row>
    <row r="6590" spans="7:7">
      <c r="G6590" s="149"/>
    </row>
    <row r="6591" spans="7:7">
      <c r="G6591" s="149"/>
    </row>
    <row r="6592" spans="7:7">
      <c r="G6592" s="149"/>
    </row>
    <row r="6593" spans="7:7">
      <c r="G6593" s="149"/>
    </row>
    <row r="6594" spans="7:7">
      <c r="G6594" s="149"/>
    </row>
    <row r="6595" spans="7:7">
      <c r="G6595" s="149"/>
    </row>
    <row r="6596" spans="7:7">
      <c r="G6596" s="149"/>
    </row>
    <row r="6597" spans="7:7">
      <c r="G6597" s="149"/>
    </row>
    <row r="6598" spans="7:7">
      <c r="G6598" s="149"/>
    </row>
    <row r="6599" spans="7:7">
      <c r="G6599" s="149"/>
    </row>
    <row r="6600" spans="7:7">
      <c r="G6600" s="149"/>
    </row>
    <row r="6601" spans="7:7">
      <c r="G6601" s="149"/>
    </row>
    <row r="6602" spans="7:7">
      <c r="G6602" s="149"/>
    </row>
    <row r="6603" spans="7:7">
      <c r="G6603" s="149"/>
    </row>
    <row r="6604" spans="7:7">
      <c r="G6604" s="149"/>
    </row>
    <row r="6605" spans="7:7">
      <c r="G6605" s="149"/>
    </row>
    <row r="6606" spans="7:7">
      <c r="G6606" s="149"/>
    </row>
    <row r="6607" spans="7:7">
      <c r="G6607" s="149"/>
    </row>
    <row r="6608" spans="7:7">
      <c r="G6608" s="149"/>
    </row>
    <row r="6609" spans="7:7">
      <c r="G6609" s="149"/>
    </row>
    <row r="6610" spans="7:7">
      <c r="G6610" s="149"/>
    </row>
    <row r="6611" spans="7:7">
      <c r="G6611" s="149"/>
    </row>
    <row r="6612" spans="7:7">
      <c r="G6612" s="149"/>
    </row>
    <row r="6613" spans="7:7">
      <c r="G6613" s="149"/>
    </row>
    <row r="6614" spans="7:7">
      <c r="G6614" s="149"/>
    </row>
    <row r="6615" spans="7:7">
      <c r="G6615" s="149"/>
    </row>
    <row r="6616" spans="7:7">
      <c r="G6616" s="149"/>
    </row>
    <row r="6617" spans="7:7">
      <c r="G6617" s="149"/>
    </row>
    <row r="6618" spans="7:7">
      <c r="G6618" s="149"/>
    </row>
    <row r="6619" spans="7:7">
      <c r="G6619" s="149"/>
    </row>
    <row r="6620" spans="7:7">
      <c r="G6620" s="149"/>
    </row>
    <row r="6621" spans="7:7">
      <c r="G6621" s="149"/>
    </row>
    <row r="6622" spans="7:7">
      <c r="G6622" s="149"/>
    </row>
    <row r="6623" spans="7:7">
      <c r="G6623" s="149"/>
    </row>
    <row r="6624" spans="7:7">
      <c r="G6624" s="149"/>
    </row>
    <row r="6625" spans="7:7">
      <c r="G6625" s="149"/>
    </row>
    <row r="6626" spans="7:7">
      <c r="G6626" s="149"/>
    </row>
    <row r="6627" spans="7:7">
      <c r="G6627" s="149"/>
    </row>
    <row r="6628" spans="7:7">
      <c r="G6628" s="149"/>
    </row>
    <row r="6629" spans="7:7">
      <c r="G6629" s="149"/>
    </row>
    <row r="6630" spans="7:7">
      <c r="G6630" s="149"/>
    </row>
    <row r="6631" spans="7:7">
      <c r="G6631" s="149"/>
    </row>
    <row r="6632" spans="7:7">
      <c r="G6632" s="149"/>
    </row>
    <row r="6633" spans="7:7">
      <c r="G6633" s="149"/>
    </row>
    <row r="6634" spans="7:7">
      <c r="G6634" s="149"/>
    </row>
    <row r="6635" spans="7:7">
      <c r="G6635" s="149"/>
    </row>
    <row r="6636" spans="7:7">
      <c r="G6636" s="149"/>
    </row>
    <row r="6637" spans="7:7">
      <c r="G6637" s="149"/>
    </row>
    <row r="6638" spans="7:7">
      <c r="G6638" s="149"/>
    </row>
    <row r="6639" spans="7:7">
      <c r="G6639" s="149"/>
    </row>
    <row r="6640" spans="7:7">
      <c r="G6640" s="149"/>
    </row>
    <row r="6641" spans="7:7">
      <c r="G6641" s="149"/>
    </row>
    <row r="6642" spans="7:7">
      <c r="G6642" s="149"/>
    </row>
    <row r="6643" spans="7:7">
      <c r="G6643" s="149"/>
    </row>
    <row r="6644" spans="7:7">
      <c r="G6644" s="149"/>
    </row>
    <row r="6645" spans="7:7">
      <c r="G6645" s="149"/>
    </row>
    <row r="6646" spans="7:7">
      <c r="G6646" s="149"/>
    </row>
    <row r="6647" spans="7:7">
      <c r="G6647" s="149"/>
    </row>
    <row r="6648" spans="7:7">
      <c r="G6648" s="149"/>
    </row>
    <row r="6649" spans="7:7">
      <c r="G6649" s="149"/>
    </row>
    <row r="6650" spans="7:7">
      <c r="G6650" s="149"/>
    </row>
    <row r="6651" spans="7:7">
      <c r="G6651" s="149"/>
    </row>
    <row r="6652" spans="7:7">
      <c r="G6652" s="149"/>
    </row>
    <row r="6653" spans="7:7">
      <c r="G6653" s="149"/>
    </row>
    <row r="6654" spans="7:7">
      <c r="G6654" s="149"/>
    </row>
    <row r="6655" spans="7:7">
      <c r="G6655" s="149"/>
    </row>
    <row r="6656" spans="7:7">
      <c r="G6656" s="149"/>
    </row>
    <row r="6657" spans="7:7">
      <c r="G6657" s="149"/>
    </row>
    <row r="6658" spans="7:7">
      <c r="G6658" s="149"/>
    </row>
    <row r="6659" spans="7:7">
      <c r="G6659" s="149"/>
    </row>
    <row r="6660" spans="7:7">
      <c r="G6660" s="149"/>
    </row>
    <row r="6661" spans="7:7">
      <c r="G6661" s="149"/>
    </row>
    <row r="6662" spans="7:7">
      <c r="G6662" s="149"/>
    </row>
    <row r="6663" spans="7:7">
      <c r="G6663" s="149"/>
    </row>
    <row r="6664" spans="7:7">
      <c r="G6664" s="149"/>
    </row>
    <row r="6665" spans="7:7">
      <c r="G6665" s="149"/>
    </row>
    <row r="6666" spans="7:7">
      <c r="G6666" s="149"/>
    </row>
    <row r="6667" spans="7:7">
      <c r="G6667" s="149"/>
    </row>
    <row r="6668" spans="7:7">
      <c r="G6668" s="149"/>
    </row>
    <row r="6669" spans="7:7">
      <c r="G6669" s="149"/>
    </row>
    <row r="6670" spans="7:7">
      <c r="G6670" s="149"/>
    </row>
    <row r="6671" spans="7:7">
      <c r="G6671" s="149"/>
    </row>
    <row r="6672" spans="7:7">
      <c r="G6672" s="149"/>
    </row>
    <row r="6673" spans="7:7">
      <c r="G6673" s="149"/>
    </row>
    <row r="6674" spans="7:7">
      <c r="G6674" s="149"/>
    </row>
    <row r="6675" spans="7:7">
      <c r="G6675" s="149"/>
    </row>
    <row r="6676" spans="7:7">
      <c r="G6676" s="149"/>
    </row>
    <row r="6677" spans="7:7">
      <c r="G6677" s="149"/>
    </row>
    <row r="6678" spans="7:7">
      <c r="G6678" s="149"/>
    </row>
    <row r="6679" spans="7:7">
      <c r="G6679" s="149"/>
    </row>
    <row r="6680" spans="7:7">
      <c r="G6680" s="149"/>
    </row>
    <row r="6681" spans="7:7">
      <c r="G6681" s="149"/>
    </row>
    <row r="6682" spans="7:7">
      <c r="G6682" s="149"/>
    </row>
    <row r="6683" spans="7:7">
      <c r="G6683" s="149"/>
    </row>
    <row r="6684" spans="7:7">
      <c r="G6684" s="149"/>
    </row>
    <row r="6685" spans="7:7">
      <c r="G6685" s="149"/>
    </row>
    <row r="6686" spans="7:7">
      <c r="G6686" s="149"/>
    </row>
    <row r="6687" spans="7:7">
      <c r="G6687" s="149"/>
    </row>
    <row r="6688" spans="7:7">
      <c r="G6688" s="149"/>
    </row>
    <row r="6689" spans="7:7">
      <c r="G6689" s="149"/>
    </row>
    <row r="6690" spans="7:7">
      <c r="G6690" s="149"/>
    </row>
    <row r="6691" spans="7:7">
      <c r="G6691" s="149"/>
    </row>
    <row r="6692" spans="7:7">
      <c r="G6692" s="149"/>
    </row>
    <row r="6693" spans="7:7">
      <c r="G6693" s="149"/>
    </row>
    <row r="6694" spans="7:7">
      <c r="G6694" s="149"/>
    </row>
    <row r="6695" spans="7:7">
      <c r="G6695" s="149"/>
    </row>
    <row r="6696" spans="7:7">
      <c r="G6696" s="149"/>
    </row>
    <row r="6697" spans="7:7">
      <c r="G6697" s="149"/>
    </row>
    <row r="6698" spans="7:7">
      <c r="G6698" s="149"/>
    </row>
    <row r="6699" spans="7:7">
      <c r="G6699" s="149"/>
    </row>
    <row r="6700" spans="7:7">
      <c r="G6700" s="149"/>
    </row>
    <row r="6701" spans="7:7">
      <c r="G6701" s="149"/>
    </row>
    <row r="6702" spans="7:7">
      <c r="G6702" s="149"/>
    </row>
    <row r="6703" spans="7:7">
      <c r="G6703" s="149"/>
    </row>
    <row r="6704" spans="7:7">
      <c r="G6704" s="149"/>
    </row>
    <row r="6705" spans="7:7">
      <c r="G6705" s="149"/>
    </row>
    <row r="6706" spans="7:7">
      <c r="G6706" s="149"/>
    </row>
    <row r="6707" spans="7:7">
      <c r="G6707" s="149"/>
    </row>
    <row r="6708" spans="7:7">
      <c r="G6708" s="149"/>
    </row>
    <row r="6709" spans="7:7">
      <c r="G6709" s="149"/>
    </row>
    <row r="6710" spans="7:7">
      <c r="G6710" s="149"/>
    </row>
    <row r="6711" spans="7:7">
      <c r="G6711" s="149"/>
    </row>
    <row r="6712" spans="7:7">
      <c r="G6712" s="149"/>
    </row>
    <row r="6713" spans="7:7">
      <c r="G6713" s="149"/>
    </row>
    <row r="6714" spans="7:7">
      <c r="G6714" s="149"/>
    </row>
    <row r="6715" spans="7:7">
      <c r="G6715" s="149"/>
    </row>
    <row r="6716" spans="7:7">
      <c r="G6716" s="149"/>
    </row>
    <row r="6717" spans="7:7">
      <c r="G6717" s="149"/>
    </row>
    <row r="6718" spans="7:7">
      <c r="G6718" s="149"/>
    </row>
    <row r="6719" spans="7:7">
      <c r="G6719" s="149"/>
    </row>
    <row r="6720" spans="7:7">
      <c r="G6720" s="149"/>
    </row>
    <row r="6721" spans="7:7">
      <c r="G6721" s="149"/>
    </row>
    <row r="6722" spans="7:7">
      <c r="G6722" s="149"/>
    </row>
    <row r="6723" spans="7:7">
      <c r="G6723" s="149"/>
    </row>
    <row r="6724" spans="7:7">
      <c r="G6724" s="149"/>
    </row>
    <row r="6725" spans="7:7">
      <c r="G6725" s="149"/>
    </row>
    <row r="6726" spans="7:7">
      <c r="G6726" s="149"/>
    </row>
    <row r="6727" spans="7:7">
      <c r="G6727" s="149"/>
    </row>
    <row r="6728" spans="7:7">
      <c r="G6728" s="149"/>
    </row>
    <row r="6729" spans="7:7">
      <c r="G6729" s="149"/>
    </row>
    <row r="6730" spans="7:7">
      <c r="G6730" s="149"/>
    </row>
    <row r="6731" spans="7:7">
      <c r="G6731" s="149"/>
    </row>
    <row r="6732" spans="7:7">
      <c r="G6732" s="149"/>
    </row>
    <row r="6733" spans="7:7">
      <c r="G6733" s="149"/>
    </row>
    <row r="6734" spans="7:7">
      <c r="G6734" s="149"/>
    </row>
    <row r="6735" spans="7:7">
      <c r="G6735" s="149"/>
    </row>
    <row r="6736" spans="7:7">
      <c r="G6736" s="149"/>
    </row>
    <row r="6737" spans="7:7">
      <c r="G6737" s="149"/>
    </row>
    <row r="6738" spans="7:7">
      <c r="G6738" s="149"/>
    </row>
    <row r="6739" spans="7:7">
      <c r="G6739" s="149"/>
    </row>
    <row r="6740" spans="7:7">
      <c r="G6740" s="149"/>
    </row>
    <row r="6741" spans="7:7">
      <c r="G6741" s="149"/>
    </row>
    <row r="6742" spans="7:7">
      <c r="G6742" s="149"/>
    </row>
    <row r="6743" spans="7:7">
      <c r="G6743" s="149"/>
    </row>
    <row r="6744" spans="7:7">
      <c r="G6744" s="149"/>
    </row>
    <row r="6745" spans="7:7">
      <c r="G6745" s="149"/>
    </row>
    <row r="6746" spans="7:7">
      <c r="G6746" s="149"/>
    </row>
    <row r="6747" spans="7:7">
      <c r="G6747" s="149"/>
    </row>
    <row r="6748" spans="7:7">
      <c r="G6748" s="149"/>
    </row>
    <row r="6749" spans="7:7">
      <c r="G6749" s="149"/>
    </row>
    <row r="6750" spans="7:7">
      <c r="G6750" s="149"/>
    </row>
    <row r="6751" spans="7:7">
      <c r="G6751" s="149"/>
    </row>
    <row r="6752" spans="7:7">
      <c r="G6752" s="149"/>
    </row>
    <row r="6753" spans="7:7">
      <c r="G6753" s="149"/>
    </row>
    <row r="6754" spans="7:7">
      <c r="G6754" s="149"/>
    </row>
    <row r="6755" spans="7:7">
      <c r="G6755" s="149"/>
    </row>
    <row r="6756" spans="7:7">
      <c r="G6756" s="149"/>
    </row>
    <row r="6757" spans="7:7">
      <c r="G6757" s="149"/>
    </row>
    <row r="6758" spans="7:7">
      <c r="G6758" s="149"/>
    </row>
    <row r="6759" spans="7:7">
      <c r="G6759" s="149"/>
    </row>
    <row r="6760" spans="7:7">
      <c r="G6760" s="149"/>
    </row>
    <row r="6761" spans="7:7">
      <c r="G6761" s="149"/>
    </row>
    <row r="6762" spans="7:7">
      <c r="G6762" s="149"/>
    </row>
    <row r="6763" spans="7:7">
      <c r="G6763" s="149"/>
    </row>
    <row r="6764" spans="7:7">
      <c r="G6764" s="149"/>
    </row>
    <row r="6765" spans="7:7">
      <c r="G6765" s="149"/>
    </row>
    <row r="6766" spans="7:7">
      <c r="G6766" s="149"/>
    </row>
    <row r="6767" spans="7:7">
      <c r="G6767" s="149"/>
    </row>
    <row r="6768" spans="7:7">
      <c r="G6768" s="149"/>
    </row>
    <row r="6769" spans="7:7">
      <c r="G6769" s="149"/>
    </row>
    <row r="6770" spans="7:7">
      <c r="G6770" s="149"/>
    </row>
    <row r="6771" spans="7:7">
      <c r="G6771" s="149"/>
    </row>
    <row r="6772" spans="7:7">
      <c r="G6772" s="149"/>
    </row>
    <row r="6773" spans="7:7">
      <c r="G6773" s="149"/>
    </row>
    <row r="6774" spans="7:7">
      <c r="G6774" s="149"/>
    </row>
    <row r="6775" spans="7:7">
      <c r="G6775" s="149"/>
    </row>
    <row r="6776" spans="7:7">
      <c r="G6776" s="149"/>
    </row>
    <row r="6777" spans="7:7">
      <c r="G6777" s="149"/>
    </row>
    <row r="6778" spans="7:7">
      <c r="G6778" s="149"/>
    </row>
    <row r="6779" spans="7:7">
      <c r="G6779" s="149"/>
    </row>
    <row r="6780" spans="7:7">
      <c r="G6780" s="149"/>
    </row>
    <row r="6781" spans="7:7">
      <c r="G6781" s="149"/>
    </row>
    <row r="6782" spans="7:7">
      <c r="G6782" s="149"/>
    </row>
    <row r="6783" spans="7:7">
      <c r="G6783" s="149"/>
    </row>
    <row r="6784" spans="7:7">
      <c r="G6784" s="149"/>
    </row>
    <row r="6785" spans="7:7">
      <c r="G6785" s="149"/>
    </row>
    <row r="6786" spans="7:7">
      <c r="G6786" s="149"/>
    </row>
    <row r="6787" spans="7:7">
      <c r="G6787" s="149"/>
    </row>
    <row r="6788" spans="7:7">
      <c r="G6788" s="149"/>
    </row>
    <row r="6789" spans="7:7">
      <c r="G6789" s="149"/>
    </row>
    <row r="6790" spans="7:7">
      <c r="G6790" s="149"/>
    </row>
    <row r="6791" spans="7:7">
      <c r="G6791" s="149"/>
    </row>
    <row r="6792" spans="7:7">
      <c r="G6792" s="149"/>
    </row>
    <row r="6793" spans="7:7">
      <c r="G6793" s="149"/>
    </row>
    <row r="6794" spans="7:7">
      <c r="G6794" s="149"/>
    </row>
    <row r="6795" spans="7:7">
      <c r="G6795" s="149"/>
    </row>
    <row r="6796" spans="7:7">
      <c r="G6796" s="149"/>
    </row>
    <row r="6797" spans="7:7">
      <c r="G6797" s="149"/>
    </row>
    <row r="6798" spans="7:7">
      <c r="G6798" s="149"/>
    </row>
    <row r="6799" spans="7:7">
      <c r="G6799" s="149"/>
    </row>
    <row r="6800" spans="7:7">
      <c r="G6800" s="149"/>
    </row>
    <row r="6801" spans="7:7">
      <c r="G6801" s="149"/>
    </row>
    <row r="6802" spans="7:7">
      <c r="G6802" s="149"/>
    </row>
    <row r="6803" spans="7:7">
      <c r="G6803" s="149"/>
    </row>
    <row r="6804" spans="7:7">
      <c r="G6804" s="149"/>
    </row>
    <row r="6805" spans="7:7">
      <c r="G6805" s="149"/>
    </row>
    <row r="6806" spans="7:7">
      <c r="G6806" s="149"/>
    </row>
    <row r="6807" spans="7:7">
      <c r="G6807" s="149"/>
    </row>
    <row r="6808" spans="7:7">
      <c r="G6808" s="149"/>
    </row>
    <row r="6809" spans="7:7">
      <c r="G6809" s="149"/>
    </row>
    <row r="6810" spans="7:7">
      <c r="G6810" s="149"/>
    </row>
    <row r="6811" spans="7:7">
      <c r="G6811" s="149"/>
    </row>
    <row r="6812" spans="7:7">
      <c r="G6812" s="149"/>
    </row>
    <row r="6813" spans="7:7">
      <c r="G6813" s="149"/>
    </row>
    <row r="6814" spans="7:7">
      <c r="G6814" s="149"/>
    </row>
    <row r="6815" spans="7:7">
      <c r="G6815" s="149"/>
    </row>
    <row r="6816" spans="7:7">
      <c r="G6816" s="149"/>
    </row>
    <row r="6817" spans="7:7">
      <c r="G6817" s="149"/>
    </row>
    <row r="6818" spans="7:7">
      <c r="G6818" s="149"/>
    </row>
    <row r="6819" spans="7:7">
      <c r="G6819" s="149"/>
    </row>
    <row r="6820" spans="7:7">
      <c r="G6820" s="149"/>
    </row>
    <row r="6821" spans="7:7">
      <c r="G6821" s="149"/>
    </row>
    <row r="6822" spans="7:7">
      <c r="G6822" s="149"/>
    </row>
    <row r="6823" spans="7:7">
      <c r="G6823" s="149"/>
    </row>
    <row r="6824" spans="7:7">
      <c r="G6824" s="149"/>
    </row>
    <row r="6825" spans="7:7">
      <c r="G6825" s="149"/>
    </row>
    <row r="6826" spans="7:7">
      <c r="G6826" s="149"/>
    </row>
    <row r="6827" spans="7:7">
      <c r="G6827" s="149"/>
    </row>
    <row r="6828" spans="7:7">
      <c r="G6828" s="149"/>
    </row>
    <row r="6829" spans="7:7">
      <c r="G6829" s="149"/>
    </row>
    <row r="6830" spans="7:7">
      <c r="G6830" s="149"/>
    </row>
    <row r="6831" spans="7:7">
      <c r="G6831" s="149"/>
    </row>
    <row r="6832" spans="7:7">
      <c r="G6832" s="149"/>
    </row>
    <row r="6833" spans="7:7">
      <c r="G6833" s="149"/>
    </row>
    <row r="6834" spans="7:7">
      <c r="G6834" s="149"/>
    </row>
    <row r="6835" spans="7:7">
      <c r="G6835" s="149"/>
    </row>
    <row r="6836" spans="7:7">
      <c r="G6836" s="149"/>
    </row>
    <row r="6837" spans="7:7">
      <c r="G6837" s="149"/>
    </row>
    <row r="6838" spans="7:7">
      <c r="G6838" s="149"/>
    </row>
    <row r="6839" spans="7:7">
      <c r="G6839" s="149"/>
    </row>
    <row r="6840" spans="7:7">
      <c r="G6840" s="149"/>
    </row>
    <row r="6841" spans="7:7">
      <c r="G6841" s="149"/>
    </row>
    <row r="6842" spans="7:7">
      <c r="G6842" s="149"/>
    </row>
    <row r="6843" spans="7:7">
      <c r="G6843" s="149"/>
    </row>
    <row r="6844" spans="7:7">
      <c r="G6844" s="149"/>
    </row>
    <row r="6845" spans="7:7">
      <c r="G6845" s="149"/>
    </row>
    <row r="6846" spans="7:7">
      <c r="G6846" s="149"/>
    </row>
    <row r="6847" spans="7:7">
      <c r="G6847" s="149"/>
    </row>
    <row r="6848" spans="7:7">
      <c r="G6848" s="149"/>
    </row>
    <row r="6849" spans="7:7">
      <c r="G6849" s="149"/>
    </row>
    <row r="6850" spans="7:7">
      <c r="G6850" s="149"/>
    </row>
    <row r="6851" spans="7:7">
      <c r="G6851" s="149"/>
    </row>
    <row r="6852" spans="7:7">
      <c r="G6852" s="149"/>
    </row>
    <row r="6853" spans="7:7">
      <c r="G6853" s="149"/>
    </row>
    <row r="6854" spans="7:7">
      <c r="G6854" s="149"/>
    </row>
    <row r="6855" spans="7:7">
      <c r="G6855" s="149"/>
    </row>
    <row r="6856" spans="7:7">
      <c r="G6856" s="149"/>
    </row>
    <row r="6857" spans="7:7">
      <c r="G6857" s="149"/>
    </row>
    <row r="6858" spans="7:7">
      <c r="G6858" s="149"/>
    </row>
    <row r="6859" spans="7:7">
      <c r="G6859" s="149"/>
    </row>
    <row r="6860" spans="7:7">
      <c r="G6860" s="149"/>
    </row>
    <row r="6861" spans="7:7">
      <c r="G6861" s="149"/>
    </row>
    <row r="6862" spans="7:7">
      <c r="G6862" s="149"/>
    </row>
    <row r="6863" spans="7:7">
      <c r="G6863" s="149"/>
    </row>
    <row r="6864" spans="7:7">
      <c r="G6864" s="149"/>
    </row>
    <row r="6865" spans="7:7">
      <c r="G6865" s="149"/>
    </row>
    <row r="6866" spans="7:7">
      <c r="G6866" s="149"/>
    </row>
    <row r="6867" spans="7:7">
      <c r="G6867" s="149"/>
    </row>
    <row r="6868" spans="7:7">
      <c r="G6868" s="149"/>
    </row>
    <row r="6869" spans="7:7">
      <c r="G6869" s="149"/>
    </row>
    <row r="6870" spans="7:7">
      <c r="G6870" s="149"/>
    </row>
    <row r="6871" spans="7:7">
      <c r="G6871" s="149"/>
    </row>
    <row r="6872" spans="7:7">
      <c r="G6872" s="149"/>
    </row>
    <row r="6873" spans="7:7">
      <c r="G6873" s="149"/>
    </row>
    <row r="6874" spans="7:7">
      <c r="G6874" s="149"/>
    </row>
    <row r="6875" spans="7:7">
      <c r="G6875" s="149"/>
    </row>
    <row r="6876" spans="7:7">
      <c r="G6876" s="149"/>
    </row>
    <row r="6877" spans="7:7">
      <c r="G6877" s="149"/>
    </row>
    <row r="6878" spans="7:7">
      <c r="G6878" s="149"/>
    </row>
    <row r="6879" spans="7:7">
      <c r="G6879" s="149"/>
    </row>
    <row r="6880" spans="7:7">
      <c r="G6880" s="149"/>
    </row>
    <row r="6881" spans="7:7">
      <c r="G6881" s="149"/>
    </row>
    <row r="6882" spans="7:7">
      <c r="G6882" s="149"/>
    </row>
    <row r="6883" spans="7:7">
      <c r="G6883" s="149"/>
    </row>
    <row r="6884" spans="7:7">
      <c r="G6884" s="149"/>
    </row>
    <row r="6885" spans="7:7">
      <c r="G6885" s="149"/>
    </row>
    <row r="6886" spans="7:7">
      <c r="G6886" s="149"/>
    </row>
    <row r="6887" spans="7:7">
      <c r="G6887" s="149"/>
    </row>
    <row r="6888" spans="7:7">
      <c r="G6888" s="149"/>
    </row>
    <row r="6889" spans="7:7">
      <c r="G6889" s="149"/>
    </row>
    <row r="6890" spans="7:7">
      <c r="G6890" s="149"/>
    </row>
    <row r="6891" spans="7:7">
      <c r="G6891" s="149"/>
    </row>
    <row r="6892" spans="7:7">
      <c r="G6892" s="149"/>
    </row>
    <row r="6893" spans="7:7">
      <c r="G6893" s="149"/>
    </row>
    <row r="6894" spans="7:7">
      <c r="G6894" s="149"/>
    </row>
    <row r="6895" spans="7:7">
      <c r="G6895" s="149"/>
    </row>
    <row r="6896" spans="7:7">
      <c r="G6896" s="149"/>
    </row>
    <row r="6897" spans="7:7">
      <c r="G6897" s="149"/>
    </row>
    <row r="6898" spans="7:7">
      <c r="G6898" s="149"/>
    </row>
    <row r="6899" spans="7:7">
      <c r="G6899" s="149"/>
    </row>
    <row r="6900" spans="7:7">
      <c r="G6900" s="149"/>
    </row>
    <row r="6901" spans="7:7">
      <c r="G6901" s="149"/>
    </row>
    <row r="6902" spans="7:7">
      <c r="G6902" s="149"/>
    </row>
    <row r="6903" spans="7:7">
      <c r="G6903" s="149"/>
    </row>
    <row r="6904" spans="7:7">
      <c r="G6904" s="149"/>
    </row>
    <row r="6905" spans="7:7">
      <c r="G6905" s="149"/>
    </row>
    <row r="6906" spans="7:7">
      <c r="G6906" s="149"/>
    </row>
    <row r="6907" spans="7:7">
      <c r="G6907" s="149"/>
    </row>
    <row r="6908" spans="7:7">
      <c r="G6908" s="149"/>
    </row>
    <row r="6909" spans="7:7">
      <c r="G6909" s="149"/>
    </row>
    <row r="6910" spans="7:7">
      <c r="G6910" s="149"/>
    </row>
    <row r="6911" spans="7:7">
      <c r="G6911" s="149"/>
    </row>
    <row r="6912" spans="7:7">
      <c r="G6912" s="149"/>
    </row>
    <row r="6913" spans="7:7">
      <c r="G6913" s="149"/>
    </row>
    <row r="6914" spans="7:7">
      <c r="G6914" s="149"/>
    </row>
    <row r="6915" spans="7:7">
      <c r="G6915" s="149"/>
    </row>
    <row r="6916" spans="7:7">
      <c r="G6916" s="149"/>
    </row>
    <row r="6917" spans="7:7">
      <c r="G6917" s="149"/>
    </row>
    <row r="6918" spans="7:7">
      <c r="G6918" s="149"/>
    </row>
    <row r="6919" spans="7:7">
      <c r="G6919" s="149"/>
    </row>
    <row r="6920" spans="7:7">
      <c r="G6920" s="149"/>
    </row>
    <row r="6921" spans="7:7">
      <c r="G6921" s="149"/>
    </row>
    <row r="6922" spans="7:7">
      <c r="G6922" s="149"/>
    </row>
    <row r="6923" spans="7:7">
      <c r="G6923" s="149"/>
    </row>
    <row r="6924" spans="7:7">
      <c r="G6924" s="149"/>
    </row>
    <row r="6925" spans="7:7">
      <c r="G6925" s="149"/>
    </row>
    <row r="6926" spans="7:7">
      <c r="G6926" s="149"/>
    </row>
    <row r="6927" spans="7:7">
      <c r="G6927" s="149"/>
    </row>
    <row r="6928" spans="7:7">
      <c r="G6928" s="149"/>
    </row>
    <row r="6929" spans="7:7">
      <c r="G6929" s="149"/>
    </row>
    <row r="6930" spans="7:7">
      <c r="G6930" s="149"/>
    </row>
    <row r="6931" spans="7:7">
      <c r="G6931" s="149"/>
    </row>
    <row r="6932" spans="7:7">
      <c r="G6932" s="149"/>
    </row>
    <row r="6933" spans="7:7">
      <c r="G6933" s="149"/>
    </row>
    <row r="6934" spans="7:7">
      <c r="G6934" s="149"/>
    </row>
    <row r="6935" spans="7:7">
      <c r="G6935" s="149"/>
    </row>
    <row r="6936" spans="7:7">
      <c r="G6936" s="149"/>
    </row>
    <row r="6937" spans="7:7">
      <c r="G6937" s="149"/>
    </row>
    <row r="6938" spans="7:7">
      <c r="G6938" s="149"/>
    </row>
    <row r="6939" spans="7:7">
      <c r="G6939" s="149"/>
    </row>
    <row r="6940" spans="7:7">
      <c r="G6940" s="149"/>
    </row>
    <row r="6941" spans="7:7">
      <c r="G6941" s="149"/>
    </row>
    <row r="6942" spans="7:7">
      <c r="G6942" s="149"/>
    </row>
    <row r="6943" spans="7:7">
      <c r="G6943" s="149"/>
    </row>
    <row r="6944" spans="7:7">
      <c r="G6944" s="149"/>
    </row>
    <row r="6945" spans="7:7">
      <c r="G6945" s="149"/>
    </row>
    <row r="6946" spans="7:7">
      <c r="G6946" s="149"/>
    </row>
    <row r="6947" spans="7:7">
      <c r="G6947" s="149"/>
    </row>
    <row r="6948" spans="7:7">
      <c r="G6948" s="149"/>
    </row>
    <row r="6949" spans="7:7">
      <c r="G6949" s="149"/>
    </row>
    <row r="6950" spans="7:7">
      <c r="G6950" s="149"/>
    </row>
    <row r="6951" spans="7:7">
      <c r="G6951" s="149"/>
    </row>
    <row r="6952" spans="7:7">
      <c r="G6952" s="149"/>
    </row>
    <row r="6953" spans="7:7">
      <c r="G6953" s="149"/>
    </row>
    <row r="6954" spans="7:7">
      <c r="G6954" s="149"/>
    </row>
    <row r="6955" spans="7:7">
      <c r="G6955" s="149"/>
    </row>
    <row r="6956" spans="7:7">
      <c r="G6956" s="149"/>
    </row>
    <row r="6957" spans="7:7">
      <c r="G6957" s="149"/>
    </row>
    <row r="6958" spans="7:7">
      <c r="G6958" s="149"/>
    </row>
    <row r="6959" spans="7:7">
      <c r="G6959" s="149"/>
    </row>
    <row r="6960" spans="7:7">
      <c r="G6960" s="149"/>
    </row>
    <row r="6961" spans="7:7">
      <c r="G6961" s="149"/>
    </row>
    <row r="6962" spans="7:7">
      <c r="G6962" s="149"/>
    </row>
    <row r="6963" spans="7:7">
      <c r="G6963" s="149"/>
    </row>
    <row r="6964" spans="7:7">
      <c r="G6964" s="149"/>
    </row>
    <row r="6965" spans="7:7">
      <c r="G6965" s="149"/>
    </row>
    <row r="6966" spans="7:7">
      <c r="G6966" s="149"/>
    </row>
    <row r="6967" spans="7:7">
      <c r="G6967" s="149"/>
    </row>
    <row r="6968" spans="7:7">
      <c r="G6968" s="149"/>
    </row>
    <row r="6969" spans="7:7">
      <c r="G6969" s="149"/>
    </row>
    <row r="6970" spans="7:7">
      <c r="G6970" s="149"/>
    </row>
    <row r="6971" spans="7:7">
      <c r="G6971" s="149"/>
    </row>
    <row r="6972" spans="7:7">
      <c r="G6972" s="149"/>
    </row>
    <row r="6973" spans="7:7">
      <c r="G6973" s="149"/>
    </row>
    <row r="6974" spans="7:7">
      <c r="G6974" s="149"/>
    </row>
    <row r="6975" spans="7:7">
      <c r="G6975" s="149"/>
    </row>
    <row r="6976" spans="7:7">
      <c r="G6976" s="149"/>
    </row>
    <row r="6977" spans="7:7">
      <c r="G6977" s="149"/>
    </row>
    <row r="6978" spans="7:7">
      <c r="G6978" s="149"/>
    </row>
    <row r="6979" spans="7:7">
      <c r="G6979" s="149"/>
    </row>
    <row r="6980" spans="7:7">
      <c r="G6980" s="149"/>
    </row>
    <row r="6981" spans="7:7">
      <c r="G6981" s="149"/>
    </row>
    <row r="6982" spans="7:7">
      <c r="G6982" s="149"/>
    </row>
    <row r="6983" spans="7:7">
      <c r="G6983" s="149"/>
    </row>
    <row r="6984" spans="7:7">
      <c r="G6984" s="149"/>
    </row>
    <row r="6985" spans="7:7">
      <c r="G6985" s="149"/>
    </row>
    <row r="6986" spans="7:7">
      <c r="G6986" s="149"/>
    </row>
    <row r="6987" spans="7:7">
      <c r="G6987" s="149"/>
    </row>
    <row r="6988" spans="7:7">
      <c r="G6988" s="149"/>
    </row>
    <row r="6989" spans="7:7">
      <c r="G6989" s="149"/>
    </row>
    <row r="6990" spans="7:7">
      <c r="G6990" s="149"/>
    </row>
    <row r="6991" spans="7:7">
      <c r="G6991" s="149"/>
    </row>
    <row r="6992" spans="7:7">
      <c r="G6992" s="149"/>
    </row>
    <row r="6993" spans="7:7">
      <c r="G6993" s="149"/>
    </row>
    <row r="6994" spans="7:7">
      <c r="G6994" s="149"/>
    </row>
    <row r="6995" spans="7:7">
      <c r="G6995" s="149"/>
    </row>
    <row r="6996" spans="7:7">
      <c r="G6996" s="149"/>
    </row>
    <row r="6997" spans="7:7">
      <c r="G6997" s="149"/>
    </row>
    <row r="6998" spans="7:7">
      <c r="G6998" s="149"/>
    </row>
    <row r="6999" spans="7:7">
      <c r="G6999" s="149"/>
    </row>
    <row r="7000" spans="7:7">
      <c r="G7000" s="149"/>
    </row>
    <row r="7001" spans="7:7">
      <c r="G7001" s="149"/>
    </row>
    <row r="7002" spans="7:7">
      <c r="G7002" s="149"/>
    </row>
    <row r="7003" spans="7:7">
      <c r="G7003" s="149"/>
    </row>
    <row r="7004" spans="7:7">
      <c r="G7004" s="149"/>
    </row>
    <row r="7005" spans="7:7">
      <c r="G7005" s="149"/>
    </row>
    <row r="7006" spans="7:7">
      <c r="G7006" s="149"/>
    </row>
    <row r="7007" spans="7:7">
      <c r="G7007" s="149"/>
    </row>
    <row r="7008" spans="7:7">
      <c r="G7008" s="149"/>
    </row>
    <row r="7009" spans="7:7">
      <c r="G7009" s="149"/>
    </row>
    <row r="7010" spans="7:7">
      <c r="G7010" s="149"/>
    </row>
    <row r="7011" spans="7:7">
      <c r="G7011" s="149"/>
    </row>
    <row r="7012" spans="7:7">
      <c r="G7012" s="149"/>
    </row>
    <row r="7013" spans="7:7">
      <c r="G7013" s="149"/>
    </row>
    <row r="7014" spans="7:7">
      <c r="G7014" s="149"/>
    </row>
    <row r="7015" spans="7:7">
      <c r="G7015" s="149"/>
    </row>
    <row r="7016" spans="7:7">
      <c r="G7016" s="149"/>
    </row>
    <row r="7017" spans="7:7">
      <c r="G7017" s="149"/>
    </row>
    <row r="7018" spans="7:7">
      <c r="G7018" s="149"/>
    </row>
    <row r="7019" spans="7:7">
      <c r="G7019" s="149"/>
    </row>
    <row r="7020" spans="7:7">
      <c r="G7020" s="149"/>
    </row>
    <row r="7021" spans="7:7">
      <c r="G7021" s="149"/>
    </row>
    <row r="7022" spans="7:7">
      <c r="G7022" s="149"/>
    </row>
    <row r="7023" spans="7:7">
      <c r="G7023" s="149"/>
    </row>
    <row r="7024" spans="7:7">
      <c r="G7024" s="149"/>
    </row>
    <row r="7025" spans="7:7">
      <c r="G7025" s="149"/>
    </row>
    <row r="7026" spans="7:7">
      <c r="G7026" s="149"/>
    </row>
    <row r="7027" spans="7:7">
      <c r="G7027" s="149"/>
    </row>
    <row r="7028" spans="7:7">
      <c r="G7028" s="149"/>
    </row>
    <row r="7029" spans="7:7">
      <c r="G7029" s="149"/>
    </row>
    <row r="7030" spans="7:7">
      <c r="G7030" s="149"/>
    </row>
    <row r="7031" spans="7:7">
      <c r="G7031" s="149"/>
    </row>
    <row r="7032" spans="7:7">
      <c r="G7032" s="149"/>
    </row>
    <row r="7033" spans="7:7">
      <c r="G7033" s="149"/>
    </row>
    <row r="7034" spans="7:7">
      <c r="G7034" s="149"/>
    </row>
    <row r="7035" spans="7:7">
      <c r="G7035" s="149"/>
    </row>
    <row r="7036" spans="7:7">
      <c r="G7036" s="149"/>
    </row>
    <row r="7037" spans="7:7">
      <c r="G7037" s="149"/>
    </row>
    <row r="7038" spans="7:7">
      <c r="G7038" s="149"/>
    </row>
    <row r="7039" spans="7:7">
      <c r="G7039" s="149"/>
    </row>
    <row r="7040" spans="7:7">
      <c r="G7040" s="149"/>
    </row>
    <row r="7041" spans="7:7">
      <c r="G7041" s="149"/>
    </row>
    <row r="7042" spans="7:7">
      <c r="G7042" s="149"/>
    </row>
    <row r="7043" spans="7:7">
      <c r="G7043" s="149"/>
    </row>
    <row r="7044" spans="7:7">
      <c r="G7044" s="149"/>
    </row>
    <row r="7045" spans="7:7">
      <c r="G7045" s="149"/>
    </row>
    <row r="7046" spans="7:7">
      <c r="G7046" s="149"/>
    </row>
    <row r="7047" spans="7:7">
      <c r="G7047" s="149"/>
    </row>
    <row r="7048" spans="7:7">
      <c r="G7048" s="149"/>
    </row>
    <row r="7049" spans="7:7">
      <c r="G7049" s="149"/>
    </row>
    <row r="7050" spans="7:7">
      <c r="G7050" s="149"/>
    </row>
    <row r="7051" spans="7:7">
      <c r="G7051" s="149"/>
    </row>
    <row r="7052" spans="7:7">
      <c r="G7052" s="149"/>
    </row>
    <row r="7053" spans="7:7">
      <c r="G7053" s="149"/>
    </row>
    <row r="7054" spans="7:7">
      <c r="G7054" s="149"/>
    </row>
    <row r="7055" spans="7:7">
      <c r="G7055" s="149"/>
    </row>
    <row r="7056" spans="7:7">
      <c r="G7056" s="149"/>
    </row>
    <row r="7057" spans="7:7">
      <c r="G7057" s="149"/>
    </row>
    <row r="7058" spans="7:7">
      <c r="G7058" s="149"/>
    </row>
    <row r="7059" spans="7:7">
      <c r="G7059" s="149"/>
    </row>
    <row r="7060" spans="7:7">
      <c r="G7060" s="149"/>
    </row>
    <row r="7061" spans="7:7">
      <c r="G7061" s="149"/>
    </row>
    <row r="7062" spans="7:7">
      <c r="G7062" s="149"/>
    </row>
    <row r="7063" spans="7:7">
      <c r="G7063" s="149"/>
    </row>
    <row r="7064" spans="7:7">
      <c r="G7064" s="149"/>
    </row>
    <row r="7065" spans="7:7">
      <c r="G7065" s="149"/>
    </row>
    <row r="7066" spans="7:7">
      <c r="G7066" s="149"/>
    </row>
    <row r="7067" spans="7:7">
      <c r="G7067" s="149"/>
    </row>
    <row r="7068" spans="7:7">
      <c r="G7068" s="149"/>
    </row>
    <row r="7069" spans="7:7">
      <c r="G7069" s="149"/>
    </row>
    <row r="7070" spans="7:7">
      <c r="G7070" s="149"/>
    </row>
    <row r="7071" spans="7:7">
      <c r="G7071" s="149"/>
    </row>
    <row r="7072" spans="7:7">
      <c r="G7072" s="149"/>
    </row>
    <row r="7073" spans="7:7">
      <c r="G7073" s="149"/>
    </row>
    <row r="7074" spans="7:7">
      <c r="G7074" s="149"/>
    </row>
    <row r="7075" spans="7:7">
      <c r="G7075" s="149"/>
    </row>
    <row r="7076" spans="7:7">
      <c r="G7076" s="149"/>
    </row>
    <row r="7077" spans="7:7">
      <c r="G7077" s="149"/>
    </row>
    <row r="7078" spans="7:7">
      <c r="G7078" s="149"/>
    </row>
    <row r="7079" spans="7:7">
      <c r="G7079" s="149"/>
    </row>
    <row r="7080" spans="7:7">
      <c r="G7080" s="149"/>
    </row>
    <row r="7081" spans="7:7">
      <c r="G7081" s="149"/>
    </row>
    <row r="7082" spans="7:7">
      <c r="G7082" s="149"/>
    </row>
    <row r="7083" spans="7:7">
      <c r="G7083" s="149"/>
    </row>
    <row r="7084" spans="7:7">
      <c r="G7084" s="149"/>
    </row>
    <row r="7085" spans="7:7">
      <c r="G7085" s="149"/>
    </row>
    <row r="7086" spans="7:7">
      <c r="G7086" s="149"/>
    </row>
    <row r="7087" spans="7:7">
      <c r="G7087" s="149"/>
    </row>
    <row r="7088" spans="7:7">
      <c r="G7088" s="149"/>
    </row>
    <row r="7089" spans="7:7">
      <c r="G7089" s="149"/>
    </row>
    <row r="7090" spans="7:7">
      <c r="G7090" s="149"/>
    </row>
    <row r="7091" spans="7:7">
      <c r="G7091" s="149"/>
    </row>
    <row r="7092" spans="7:7">
      <c r="G7092" s="149"/>
    </row>
    <row r="7093" spans="7:7">
      <c r="G7093" s="149"/>
    </row>
    <row r="7094" spans="7:7">
      <c r="G7094" s="149"/>
    </row>
    <row r="7095" spans="7:7">
      <c r="G7095" s="149"/>
    </row>
    <row r="7096" spans="7:7">
      <c r="G7096" s="149"/>
    </row>
    <row r="7097" spans="7:7">
      <c r="G7097" s="149"/>
    </row>
    <row r="7098" spans="7:7">
      <c r="G7098" s="149"/>
    </row>
    <row r="7099" spans="7:7">
      <c r="G7099" s="149"/>
    </row>
    <row r="7100" spans="7:7">
      <c r="G7100" s="149"/>
    </row>
    <row r="7101" spans="7:7">
      <c r="G7101" s="149"/>
    </row>
    <row r="7102" spans="7:7">
      <c r="G7102" s="149"/>
    </row>
    <row r="7103" spans="7:7">
      <c r="G7103" s="149"/>
    </row>
    <row r="7104" spans="7:7">
      <c r="G7104" s="149"/>
    </row>
    <row r="7105" spans="7:7">
      <c r="G7105" s="149"/>
    </row>
    <row r="7106" spans="7:7">
      <c r="G7106" s="149"/>
    </row>
    <row r="7107" spans="7:7">
      <c r="G7107" s="149"/>
    </row>
    <row r="7108" spans="7:7">
      <c r="G7108" s="149"/>
    </row>
    <row r="7109" spans="7:7">
      <c r="G7109" s="149"/>
    </row>
    <row r="7110" spans="7:7">
      <c r="G7110" s="149"/>
    </row>
    <row r="7111" spans="7:7">
      <c r="G7111" s="149"/>
    </row>
    <row r="7112" spans="7:7">
      <c r="G7112" s="149"/>
    </row>
    <row r="7113" spans="7:7">
      <c r="G7113" s="149"/>
    </row>
    <row r="7114" spans="7:7">
      <c r="G7114" s="149"/>
    </row>
    <row r="7115" spans="7:7">
      <c r="G7115" s="149"/>
    </row>
    <row r="7116" spans="7:7">
      <c r="G7116" s="149"/>
    </row>
    <row r="7117" spans="7:7">
      <c r="G7117" s="149"/>
    </row>
    <row r="7118" spans="7:7">
      <c r="G7118" s="149"/>
    </row>
    <row r="7119" spans="7:7">
      <c r="G7119" s="149"/>
    </row>
    <row r="7120" spans="7:7">
      <c r="G7120" s="149"/>
    </row>
    <row r="7121" spans="7:7">
      <c r="G7121" s="149"/>
    </row>
    <row r="7122" spans="7:7">
      <c r="G7122" s="149"/>
    </row>
    <row r="7123" spans="7:7">
      <c r="G7123" s="149"/>
    </row>
    <row r="7124" spans="7:7">
      <c r="G7124" s="149"/>
    </row>
    <row r="7125" spans="7:7">
      <c r="G7125" s="149"/>
    </row>
    <row r="7126" spans="7:7">
      <c r="G7126" s="149"/>
    </row>
    <row r="7127" spans="7:7">
      <c r="G7127" s="149"/>
    </row>
    <row r="7128" spans="7:7">
      <c r="G7128" s="149"/>
    </row>
    <row r="7129" spans="7:7">
      <c r="G7129" s="149"/>
    </row>
    <row r="7130" spans="7:7">
      <c r="G7130" s="149"/>
    </row>
    <row r="7131" spans="7:7">
      <c r="G7131" s="149"/>
    </row>
    <row r="7132" spans="7:7">
      <c r="G7132" s="149"/>
    </row>
    <row r="7133" spans="7:7">
      <c r="G7133" s="149"/>
    </row>
    <row r="7134" spans="7:7">
      <c r="G7134" s="149"/>
    </row>
    <row r="7135" spans="7:7">
      <c r="G7135" s="149"/>
    </row>
    <row r="7136" spans="7:7">
      <c r="G7136" s="149"/>
    </row>
    <row r="7137" spans="7:7">
      <c r="G7137" s="149"/>
    </row>
    <row r="7138" spans="7:7">
      <c r="G7138" s="149"/>
    </row>
    <row r="7139" spans="7:7">
      <c r="G7139" s="149"/>
    </row>
    <row r="7140" spans="7:7">
      <c r="G7140" s="149"/>
    </row>
    <row r="7141" spans="7:7">
      <c r="G7141" s="149"/>
    </row>
    <row r="7142" spans="7:7">
      <c r="G7142" s="149"/>
    </row>
    <row r="7143" spans="7:7">
      <c r="G7143" s="149"/>
    </row>
    <row r="7144" spans="7:7">
      <c r="G7144" s="149"/>
    </row>
    <row r="7145" spans="7:7">
      <c r="G7145" s="149"/>
    </row>
    <row r="7146" spans="7:7">
      <c r="G7146" s="149"/>
    </row>
    <row r="7147" spans="7:7">
      <c r="G7147" s="149"/>
    </row>
    <row r="7148" spans="7:7">
      <c r="G7148" s="149"/>
    </row>
    <row r="7149" spans="7:7">
      <c r="G7149" s="149"/>
    </row>
    <row r="7150" spans="7:7">
      <c r="G7150" s="149"/>
    </row>
    <row r="7151" spans="7:7">
      <c r="G7151" s="149"/>
    </row>
    <row r="7152" spans="7:7">
      <c r="G7152" s="149"/>
    </row>
    <row r="7153" spans="7:7">
      <c r="G7153" s="149"/>
    </row>
    <row r="7154" spans="7:7">
      <c r="G7154" s="149"/>
    </row>
    <row r="7155" spans="7:7">
      <c r="G7155" s="149"/>
    </row>
    <row r="7156" spans="7:7">
      <c r="G7156" s="149"/>
    </row>
    <row r="7157" spans="7:7">
      <c r="G7157" s="149"/>
    </row>
    <row r="7158" spans="7:7">
      <c r="G7158" s="149"/>
    </row>
    <row r="7159" spans="7:7">
      <c r="G7159" s="149"/>
    </row>
    <row r="7160" spans="7:7">
      <c r="G7160" s="149"/>
    </row>
    <row r="7161" spans="7:7">
      <c r="G7161" s="149"/>
    </row>
    <row r="7162" spans="7:7">
      <c r="G7162" s="149"/>
    </row>
    <row r="7163" spans="7:7">
      <c r="G7163" s="149"/>
    </row>
    <row r="7164" spans="7:7">
      <c r="G7164" s="149"/>
    </row>
    <row r="7165" spans="7:7">
      <c r="G7165" s="149"/>
    </row>
    <row r="7166" spans="7:7">
      <c r="G7166" s="149"/>
    </row>
    <row r="7167" spans="7:7">
      <c r="G7167" s="149"/>
    </row>
    <row r="7168" spans="7:7">
      <c r="G7168" s="149"/>
    </row>
    <row r="7169" spans="7:7">
      <c r="G7169" s="149"/>
    </row>
    <row r="7170" spans="7:7">
      <c r="G7170" s="149"/>
    </row>
    <row r="7171" spans="7:7">
      <c r="G7171" s="149"/>
    </row>
    <row r="7172" spans="7:7">
      <c r="G7172" s="149"/>
    </row>
    <row r="7173" spans="7:7">
      <c r="G7173" s="149"/>
    </row>
    <row r="7174" spans="7:7">
      <c r="G7174" s="149"/>
    </row>
    <row r="7175" spans="7:7">
      <c r="G7175" s="149"/>
    </row>
    <row r="7176" spans="7:7">
      <c r="G7176" s="149"/>
    </row>
    <row r="7177" spans="7:7">
      <c r="G7177" s="149"/>
    </row>
    <row r="7178" spans="7:7">
      <c r="G7178" s="149"/>
    </row>
    <row r="7179" spans="7:7">
      <c r="G7179" s="149"/>
    </row>
    <row r="7180" spans="7:7">
      <c r="G7180" s="149"/>
    </row>
    <row r="7181" spans="7:7">
      <c r="G7181" s="149"/>
    </row>
    <row r="7182" spans="7:7">
      <c r="G7182" s="149"/>
    </row>
    <row r="7183" spans="7:7">
      <c r="G7183" s="149"/>
    </row>
    <row r="7184" spans="7:7">
      <c r="G7184" s="149"/>
    </row>
    <row r="7185" spans="7:7">
      <c r="G7185" s="149"/>
    </row>
    <row r="7186" spans="7:7">
      <c r="G7186" s="149"/>
    </row>
    <row r="7187" spans="7:7">
      <c r="G7187" s="149"/>
    </row>
    <row r="7188" spans="7:7">
      <c r="G7188" s="149"/>
    </row>
    <row r="7189" spans="7:7">
      <c r="G7189" s="149"/>
    </row>
    <row r="7190" spans="7:7">
      <c r="G7190" s="149"/>
    </row>
    <row r="7191" spans="7:7">
      <c r="G7191" s="149"/>
    </row>
    <row r="7192" spans="7:7">
      <c r="G7192" s="149"/>
    </row>
    <row r="7193" spans="7:7">
      <c r="G7193" s="149"/>
    </row>
    <row r="7194" spans="7:7">
      <c r="G7194" s="149"/>
    </row>
    <row r="7195" spans="7:7">
      <c r="G7195" s="149"/>
    </row>
    <row r="7196" spans="7:7">
      <c r="G7196" s="149"/>
    </row>
    <row r="7197" spans="7:7">
      <c r="G7197" s="149"/>
    </row>
    <row r="7198" spans="7:7">
      <c r="G7198" s="149"/>
    </row>
    <row r="7199" spans="7:7">
      <c r="G7199" s="149"/>
    </row>
    <row r="7200" spans="7:7">
      <c r="G7200" s="149"/>
    </row>
    <row r="7201" spans="7:7">
      <c r="G7201" s="149"/>
    </row>
    <row r="7202" spans="7:7">
      <c r="G7202" s="149"/>
    </row>
    <row r="7203" spans="7:7">
      <c r="G7203" s="149"/>
    </row>
    <row r="7204" spans="7:7">
      <c r="G7204" s="149"/>
    </row>
    <row r="7205" spans="7:7">
      <c r="G7205" s="149"/>
    </row>
    <row r="7206" spans="7:7">
      <c r="G7206" s="149"/>
    </row>
    <row r="7207" spans="7:7">
      <c r="G7207" s="149"/>
    </row>
    <row r="7208" spans="7:7">
      <c r="G7208" s="149"/>
    </row>
    <row r="7209" spans="7:7">
      <c r="G7209" s="149"/>
    </row>
    <row r="7210" spans="7:7">
      <c r="G7210" s="149"/>
    </row>
    <row r="7211" spans="7:7">
      <c r="G7211" s="149"/>
    </row>
    <row r="7212" spans="7:7">
      <c r="G7212" s="149"/>
    </row>
    <row r="7213" spans="7:7">
      <c r="G7213" s="149"/>
    </row>
    <row r="7214" spans="7:7">
      <c r="G7214" s="149"/>
    </row>
    <row r="7215" spans="7:7">
      <c r="G7215" s="149"/>
    </row>
    <row r="7216" spans="7:7">
      <c r="G7216" s="149"/>
    </row>
    <row r="7217" spans="7:7">
      <c r="G7217" s="149"/>
    </row>
    <row r="7218" spans="7:7">
      <c r="G7218" s="149"/>
    </row>
    <row r="7219" spans="7:7">
      <c r="G7219" s="149"/>
    </row>
    <row r="7220" spans="7:7">
      <c r="G7220" s="149"/>
    </row>
    <row r="7221" spans="7:7">
      <c r="G7221" s="149"/>
    </row>
    <row r="7222" spans="7:7">
      <c r="G7222" s="149"/>
    </row>
    <row r="7223" spans="7:7">
      <c r="G7223" s="149"/>
    </row>
    <row r="7224" spans="7:7">
      <c r="G7224" s="149"/>
    </row>
    <row r="7225" spans="7:7">
      <c r="G7225" s="149"/>
    </row>
    <row r="7226" spans="7:7">
      <c r="G7226" s="149"/>
    </row>
    <row r="7227" spans="7:7">
      <c r="G7227" s="149"/>
    </row>
    <row r="7228" spans="7:7">
      <c r="G7228" s="149"/>
    </row>
    <row r="7229" spans="7:7">
      <c r="G7229" s="149"/>
    </row>
    <row r="7230" spans="7:7">
      <c r="G7230" s="149"/>
    </row>
    <row r="7231" spans="7:7">
      <c r="G7231" s="149"/>
    </row>
    <row r="7232" spans="7:7">
      <c r="G7232" s="149"/>
    </row>
    <row r="7233" spans="7:7">
      <c r="G7233" s="149"/>
    </row>
    <row r="7234" spans="7:7">
      <c r="G7234" s="149"/>
    </row>
    <row r="7235" spans="7:7">
      <c r="G7235" s="149"/>
    </row>
    <row r="7236" spans="7:7">
      <c r="G7236" s="149"/>
    </row>
    <row r="7237" spans="7:7">
      <c r="G7237" s="149"/>
    </row>
    <row r="7238" spans="7:7">
      <c r="G7238" s="149"/>
    </row>
    <row r="7239" spans="7:7">
      <c r="G7239" s="149"/>
    </row>
    <row r="7240" spans="7:7">
      <c r="G7240" s="149"/>
    </row>
    <row r="7241" spans="7:7">
      <c r="G7241" s="149"/>
    </row>
    <row r="7242" spans="7:7">
      <c r="G7242" s="149"/>
    </row>
    <row r="7243" spans="7:7">
      <c r="G7243" s="149"/>
    </row>
    <row r="7244" spans="7:7">
      <c r="G7244" s="149"/>
    </row>
    <row r="7245" spans="7:7">
      <c r="G7245" s="149"/>
    </row>
    <row r="7246" spans="7:7">
      <c r="G7246" s="149"/>
    </row>
    <row r="7247" spans="7:7">
      <c r="G7247" s="149"/>
    </row>
    <row r="7248" spans="7:7">
      <c r="G7248" s="149"/>
    </row>
    <row r="7249" spans="7:7">
      <c r="G7249" s="149"/>
    </row>
    <row r="7250" spans="7:7">
      <c r="G7250" s="149"/>
    </row>
    <row r="7251" spans="7:7">
      <c r="G7251" s="149"/>
    </row>
    <row r="7252" spans="7:7">
      <c r="G7252" s="149"/>
    </row>
    <row r="7253" spans="7:7">
      <c r="G7253" s="149"/>
    </row>
    <row r="7254" spans="7:7">
      <c r="G7254" s="149"/>
    </row>
    <row r="7255" spans="7:7">
      <c r="G7255" s="149"/>
    </row>
    <row r="7256" spans="7:7">
      <c r="G7256" s="149"/>
    </row>
    <row r="7257" spans="7:7">
      <c r="G7257" s="149"/>
    </row>
    <row r="7258" spans="7:7">
      <c r="G7258" s="149"/>
    </row>
    <row r="7259" spans="7:7">
      <c r="G7259" s="149"/>
    </row>
    <row r="7260" spans="7:7">
      <c r="G7260" s="149"/>
    </row>
    <row r="7261" spans="7:7">
      <c r="G7261" s="149"/>
    </row>
    <row r="7262" spans="7:7">
      <c r="G7262" s="149"/>
    </row>
    <row r="7263" spans="7:7">
      <c r="G7263" s="149"/>
    </row>
    <row r="7264" spans="7:7">
      <c r="G7264" s="149"/>
    </row>
    <row r="7265" spans="7:7">
      <c r="G7265" s="149"/>
    </row>
    <row r="7266" spans="7:7">
      <c r="G7266" s="149"/>
    </row>
    <row r="7267" spans="7:7">
      <c r="G7267" s="149"/>
    </row>
    <row r="7268" spans="7:7">
      <c r="G7268" s="149"/>
    </row>
    <row r="7269" spans="7:7">
      <c r="G7269" s="149"/>
    </row>
    <row r="7270" spans="7:7">
      <c r="G7270" s="149"/>
    </row>
    <row r="7271" spans="7:7">
      <c r="G7271" s="149"/>
    </row>
    <row r="7272" spans="7:7">
      <c r="G7272" s="149"/>
    </row>
    <row r="7273" spans="7:7">
      <c r="G7273" s="149"/>
    </row>
    <row r="7274" spans="7:7">
      <c r="G7274" s="149"/>
    </row>
    <row r="7275" spans="7:7">
      <c r="G7275" s="149"/>
    </row>
    <row r="7276" spans="7:7">
      <c r="G7276" s="149"/>
    </row>
    <row r="7277" spans="7:7">
      <c r="G7277" s="149"/>
    </row>
    <row r="7278" spans="7:7">
      <c r="G7278" s="149"/>
    </row>
    <row r="7279" spans="7:7">
      <c r="G7279" s="149"/>
    </row>
    <row r="7280" spans="7:7">
      <c r="G7280" s="149"/>
    </row>
    <row r="7281" spans="7:7">
      <c r="G7281" s="149"/>
    </row>
    <row r="7282" spans="7:7">
      <c r="G7282" s="149"/>
    </row>
    <row r="7283" spans="7:7">
      <c r="G7283" s="149"/>
    </row>
    <row r="7284" spans="7:7">
      <c r="G7284" s="149"/>
    </row>
    <row r="7285" spans="7:7">
      <c r="G7285" s="149"/>
    </row>
    <row r="7286" spans="7:7">
      <c r="G7286" s="149"/>
    </row>
    <row r="7287" spans="7:7">
      <c r="G7287" s="149"/>
    </row>
    <row r="7288" spans="7:7">
      <c r="G7288" s="149"/>
    </row>
    <row r="7289" spans="7:7">
      <c r="G7289" s="149"/>
    </row>
    <row r="7290" spans="7:7">
      <c r="G7290" s="149"/>
    </row>
    <row r="7291" spans="7:7">
      <c r="G7291" s="149"/>
    </row>
    <row r="7292" spans="7:7">
      <c r="G7292" s="149"/>
    </row>
    <row r="7293" spans="7:7">
      <c r="G7293" s="149"/>
    </row>
    <row r="7294" spans="7:7">
      <c r="G7294" s="149"/>
    </row>
    <row r="7295" spans="7:7">
      <c r="G7295" s="149"/>
    </row>
    <row r="7296" spans="7:7">
      <c r="G7296" s="149"/>
    </row>
    <row r="7297" spans="7:7">
      <c r="G7297" s="149"/>
    </row>
    <row r="7298" spans="7:7">
      <c r="G7298" s="149"/>
    </row>
    <row r="7299" spans="7:7">
      <c r="G7299" s="149"/>
    </row>
    <row r="7300" spans="7:7">
      <c r="G7300" s="149"/>
    </row>
    <row r="7301" spans="7:7">
      <c r="G7301" s="149"/>
    </row>
    <row r="7302" spans="7:7">
      <c r="G7302" s="149"/>
    </row>
    <row r="7303" spans="7:7">
      <c r="G7303" s="149"/>
    </row>
    <row r="7304" spans="7:7">
      <c r="G7304" s="149"/>
    </row>
    <row r="7305" spans="7:7">
      <c r="G7305" s="149"/>
    </row>
    <row r="7306" spans="7:7">
      <c r="G7306" s="149"/>
    </row>
    <row r="7307" spans="7:7">
      <c r="G7307" s="149"/>
    </row>
    <row r="7308" spans="7:7">
      <c r="G7308" s="149"/>
    </row>
    <row r="7309" spans="7:7">
      <c r="G7309" s="149"/>
    </row>
    <row r="7310" spans="7:7">
      <c r="G7310" s="149"/>
    </row>
    <row r="7311" spans="7:7">
      <c r="G7311" s="149"/>
    </row>
    <row r="7312" spans="7:7">
      <c r="G7312" s="149"/>
    </row>
    <row r="7313" spans="7:7">
      <c r="G7313" s="149"/>
    </row>
    <row r="7314" spans="7:7">
      <c r="G7314" s="149"/>
    </row>
    <row r="7315" spans="7:7">
      <c r="G7315" s="149"/>
    </row>
    <row r="7316" spans="7:7">
      <c r="G7316" s="149"/>
    </row>
    <row r="7317" spans="7:7">
      <c r="G7317" s="149"/>
    </row>
    <row r="7318" spans="7:7">
      <c r="G7318" s="149"/>
    </row>
    <row r="7319" spans="7:7">
      <c r="G7319" s="149"/>
    </row>
    <row r="7320" spans="7:7">
      <c r="G7320" s="149"/>
    </row>
    <row r="7321" spans="7:7">
      <c r="G7321" s="149"/>
    </row>
    <row r="7322" spans="7:7">
      <c r="G7322" s="149"/>
    </row>
    <row r="7323" spans="7:7">
      <c r="G7323" s="149"/>
    </row>
    <row r="7324" spans="7:7">
      <c r="G7324" s="149"/>
    </row>
    <row r="7325" spans="7:7">
      <c r="G7325" s="149"/>
    </row>
    <row r="7326" spans="7:7">
      <c r="G7326" s="149"/>
    </row>
    <row r="7327" spans="7:7">
      <c r="G7327" s="149"/>
    </row>
    <row r="7328" spans="7:7">
      <c r="G7328" s="149"/>
    </row>
    <row r="7329" spans="7:7">
      <c r="G7329" s="149"/>
    </row>
    <row r="7330" spans="7:7">
      <c r="G7330" s="149"/>
    </row>
    <row r="7331" spans="7:7">
      <c r="G7331" s="149"/>
    </row>
    <row r="7332" spans="7:7">
      <c r="G7332" s="149"/>
    </row>
    <row r="7333" spans="7:7">
      <c r="G7333" s="149"/>
    </row>
    <row r="7334" spans="7:7">
      <c r="G7334" s="149"/>
    </row>
    <row r="7335" spans="7:7">
      <c r="G7335" s="149"/>
    </row>
    <row r="7336" spans="7:7">
      <c r="G7336" s="149"/>
    </row>
    <row r="7337" spans="7:7">
      <c r="G7337" s="149"/>
    </row>
    <row r="7338" spans="7:7">
      <c r="G7338" s="149"/>
    </row>
    <row r="7339" spans="7:7">
      <c r="G7339" s="149"/>
    </row>
    <row r="7340" spans="7:7">
      <c r="G7340" s="149"/>
    </row>
    <row r="7341" spans="7:7">
      <c r="G7341" s="149"/>
    </row>
    <row r="7342" spans="7:7">
      <c r="G7342" s="149"/>
    </row>
    <row r="7343" spans="7:7">
      <c r="G7343" s="149"/>
    </row>
    <row r="7344" spans="7:7">
      <c r="G7344" s="149"/>
    </row>
    <row r="7345" spans="7:7">
      <c r="G7345" s="149"/>
    </row>
    <row r="7346" spans="7:7">
      <c r="G7346" s="149"/>
    </row>
    <row r="7347" spans="7:7">
      <c r="G7347" s="149"/>
    </row>
    <row r="7348" spans="7:7">
      <c r="G7348" s="149"/>
    </row>
    <row r="7349" spans="7:7">
      <c r="G7349" s="149"/>
    </row>
    <row r="7350" spans="7:7">
      <c r="G7350" s="149"/>
    </row>
    <row r="7351" spans="7:7">
      <c r="G7351" s="149"/>
    </row>
    <row r="7352" spans="7:7">
      <c r="G7352" s="149"/>
    </row>
    <row r="7353" spans="7:7">
      <c r="G7353" s="149"/>
    </row>
    <row r="7354" spans="7:7">
      <c r="G7354" s="149"/>
    </row>
    <row r="7355" spans="7:7">
      <c r="G7355" s="149"/>
    </row>
    <row r="7356" spans="7:7">
      <c r="G7356" s="149"/>
    </row>
    <row r="7357" spans="7:7">
      <c r="G7357" s="149"/>
    </row>
    <row r="7358" spans="7:7">
      <c r="G7358" s="149"/>
    </row>
    <row r="7359" spans="7:7">
      <c r="G7359" s="149"/>
    </row>
    <row r="7360" spans="7:7">
      <c r="G7360" s="149"/>
    </row>
    <row r="7361" spans="7:7">
      <c r="G7361" s="149"/>
    </row>
    <row r="7362" spans="7:7">
      <c r="G7362" s="149"/>
    </row>
    <row r="7363" spans="7:7">
      <c r="G7363" s="149"/>
    </row>
    <row r="7364" spans="7:7">
      <c r="G7364" s="149"/>
    </row>
    <row r="7365" spans="7:7">
      <c r="G7365" s="149"/>
    </row>
    <row r="7366" spans="7:7">
      <c r="G7366" s="149"/>
    </row>
    <row r="7367" spans="7:7">
      <c r="G7367" s="149"/>
    </row>
    <row r="7368" spans="7:7">
      <c r="G7368" s="149"/>
    </row>
    <row r="7369" spans="7:7">
      <c r="G7369" s="149"/>
    </row>
    <row r="7370" spans="7:7">
      <c r="G7370" s="149"/>
    </row>
    <row r="7371" spans="7:7">
      <c r="G7371" s="149"/>
    </row>
    <row r="7372" spans="7:7">
      <c r="G7372" s="149"/>
    </row>
    <row r="7373" spans="7:7">
      <c r="G7373" s="149"/>
    </row>
    <row r="7374" spans="7:7">
      <c r="G7374" s="149"/>
    </row>
    <row r="7375" spans="7:7">
      <c r="G7375" s="149"/>
    </row>
    <row r="7376" spans="7:7">
      <c r="G7376" s="149"/>
    </row>
    <row r="7377" spans="7:7">
      <c r="G7377" s="149"/>
    </row>
    <row r="7378" spans="7:7">
      <c r="G7378" s="149"/>
    </row>
    <row r="7379" spans="7:7">
      <c r="G7379" s="149"/>
    </row>
    <row r="7380" spans="7:7">
      <c r="G7380" s="149"/>
    </row>
    <row r="7381" spans="7:7">
      <c r="G7381" s="149"/>
    </row>
    <row r="7382" spans="7:7">
      <c r="G7382" s="149"/>
    </row>
    <row r="7383" spans="7:7">
      <c r="G7383" s="149"/>
    </row>
    <row r="7384" spans="7:7">
      <c r="G7384" s="149"/>
    </row>
    <row r="7385" spans="7:7">
      <c r="G7385" s="149"/>
    </row>
    <row r="7386" spans="7:7">
      <c r="G7386" s="149"/>
    </row>
    <row r="7387" spans="7:7">
      <c r="G7387" s="149"/>
    </row>
    <row r="7388" spans="7:7">
      <c r="G7388" s="149"/>
    </row>
    <row r="7389" spans="7:7">
      <c r="G7389" s="149"/>
    </row>
    <row r="7390" spans="7:7">
      <c r="G7390" s="149"/>
    </row>
    <row r="7391" spans="7:7">
      <c r="G7391" s="149"/>
    </row>
    <row r="7392" spans="7:7">
      <c r="G7392" s="149"/>
    </row>
    <row r="7393" spans="7:7">
      <c r="G7393" s="149"/>
    </row>
    <row r="7394" spans="7:7">
      <c r="G7394" s="149"/>
    </row>
    <row r="7395" spans="7:7">
      <c r="G7395" s="149"/>
    </row>
    <row r="7396" spans="7:7">
      <c r="G7396" s="149"/>
    </row>
    <row r="7397" spans="7:7">
      <c r="G7397" s="149"/>
    </row>
    <row r="7398" spans="7:7">
      <c r="G7398" s="149"/>
    </row>
    <row r="7399" spans="7:7">
      <c r="G7399" s="149"/>
    </row>
    <row r="7400" spans="7:7">
      <c r="G7400" s="149"/>
    </row>
    <row r="7401" spans="7:7">
      <c r="G7401" s="149"/>
    </row>
    <row r="7402" spans="7:7">
      <c r="G7402" s="149"/>
    </row>
    <row r="7403" spans="7:7">
      <c r="G7403" s="149"/>
    </row>
    <row r="7404" spans="7:7">
      <c r="G7404" s="149"/>
    </row>
    <row r="7405" spans="7:7">
      <c r="G7405" s="149"/>
    </row>
    <row r="7406" spans="7:7">
      <c r="G7406" s="149"/>
    </row>
    <row r="7407" spans="7:7">
      <c r="G7407" s="149"/>
    </row>
    <row r="7408" spans="7:7">
      <c r="G7408" s="149"/>
    </row>
    <row r="7409" spans="7:7">
      <c r="G7409" s="149"/>
    </row>
    <row r="7410" spans="7:7">
      <c r="G7410" s="149"/>
    </row>
    <row r="7411" spans="7:7">
      <c r="G7411" s="149"/>
    </row>
    <row r="7412" spans="7:7">
      <c r="G7412" s="149"/>
    </row>
    <row r="7413" spans="7:7">
      <c r="G7413" s="149"/>
    </row>
    <row r="7414" spans="7:7">
      <c r="G7414" s="149"/>
    </row>
    <row r="7415" spans="7:7">
      <c r="G7415" s="149"/>
    </row>
    <row r="7416" spans="7:7">
      <c r="G7416" s="149"/>
    </row>
    <row r="7417" spans="7:7">
      <c r="G7417" s="149"/>
    </row>
    <row r="7418" spans="7:7">
      <c r="G7418" s="149"/>
    </row>
    <row r="7419" spans="7:7">
      <c r="G7419" s="149"/>
    </row>
    <row r="7420" spans="7:7">
      <c r="G7420" s="149"/>
    </row>
    <row r="7421" spans="7:7">
      <c r="G7421" s="149"/>
    </row>
    <row r="7422" spans="7:7">
      <c r="G7422" s="149"/>
    </row>
    <row r="7423" spans="7:7">
      <c r="G7423" s="149"/>
    </row>
    <row r="7424" spans="7:7">
      <c r="G7424" s="149"/>
    </row>
    <row r="7425" spans="7:7">
      <c r="G7425" s="149"/>
    </row>
    <row r="7426" spans="7:7">
      <c r="G7426" s="149"/>
    </row>
    <row r="7427" spans="7:7">
      <c r="G7427" s="149"/>
    </row>
    <row r="7428" spans="7:7">
      <c r="G7428" s="149"/>
    </row>
    <row r="7429" spans="7:7">
      <c r="G7429" s="149"/>
    </row>
    <row r="7430" spans="7:7">
      <c r="G7430" s="149"/>
    </row>
    <row r="7431" spans="7:7">
      <c r="G7431" s="149"/>
    </row>
    <row r="7432" spans="7:7">
      <c r="G7432" s="149"/>
    </row>
    <row r="7433" spans="7:7">
      <c r="G7433" s="149"/>
    </row>
    <row r="7434" spans="7:7">
      <c r="G7434" s="149"/>
    </row>
    <row r="7435" spans="7:7">
      <c r="G7435" s="149"/>
    </row>
    <row r="7436" spans="7:7">
      <c r="G7436" s="149"/>
    </row>
    <row r="7437" spans="7:7">
      <c r="G7437" s="149"/>
    </row>
    <row r="7438" spans="7:7">
      <c r="G7438" s="149"/>
    </row>
    <row r="7439" spans="7:7">
      <c r="G7439" s="149"/>
    </row>
    <row r="7440" spans="7:7">
      <c r="G7440" s="149"/>
    </row>
    <row r="7441" spans="7:7">
      <c r="G7441" s="149"/>
    </row>
    <row r="7442" spans="7:7">
      <c r="G7442" s="149"/>
    </row>
    <row r="7443" spans="7:7">
      <c r="G7443" s="149"/>
    </row>
    <row r="7444" spans="7:7">
      <c r="G7444" s="149"/>
    </row>
    <row r="7445" spans="7:7">
      <c r="G7445" s="149"/>
    </row>
    <row r="7446" spans="7:7">
      <c r="G7446" s="149"/>
    </row>
    <row r="7447" spans="7:7">
      <c r="G7447" s="149"/>
    </row>
    <row r="7448" spans="7:7">
      <c r="G7448" s="149"/>
    </row>
    <row r="7449" spans="7:7">
      <c r="G7449" s="149"/>
    </row>
    <row r="7450" spans="7:7">
      <c r="G7450" s="149"/>
    </row>
    <row r="7451" spans="7:7">
      <c r="G7451" s="149"/>
    </row>
    <row r="7452" spans="7:7">
      <c r="G7452" s="149"/>
    </row>
    <row r="7453" spans="7:7">
      <c r="G7453" s="149"/>
    </row>
    <row r="7454" spans="7:7">
      <c r="G7454" s="149"/>
    </row>
    <row r="7455" spans="7:7">
      <c r="G7455" s="149"/>
    </row>
    <row r="7456" spans="7:7">
      <c r="G7456" s="149"/>
    </row>
    <row r="7457" spans="7:7">
      <c r="G7457" s="149"/>
    </row>
    <row r="7458" spans="7:7">
      <c r="G7458" s="149"/>
    </row>
    <row r="7459" spans="7:7">
      <c r="G7459" s="149"/>
    </row>
    <row r="7460" spans="7:7">
      <c r="G7460" s="149"/>
    </row>
    <row r="7461" spans="7:7">
      <c r="G7461" s="149"/>
    </row>
    <row r="7462" spans="7:7">
      <c r="G7462" s="149"/>
    </row>
    <row r="7463" spans="7:7">
      <c r="G7463" s="149"/>
    </row>
    <row r="7464" spans="7:7">
      <c r="G7464" s="149"/>
    </row>
    <row r="7465" spans="7:7">
      <c r="G7465" s="149"/>
    </row>
    <row r="7466" spans="7:7">
      <c r="G7466" s="149"/>
    </row>
    <row r="7467" spans="7:7">
      <c r="G7467" s="149"/>
    </row>
    <row r="7468" spans="7:7">
      <c r="G7468" s="149"/>
    </row>
    <row r="7469" spans="7:7">
      <c r="G7469" s="149"/>
    </row>
    <row r="7470" spans="7:7">
      <c r="G7470" s="149"/>
    </row>
    <row r="7471" spans="7:7">
      <c r="G7471" s="149"/>
    </row>
    <row r="7472" spans="7:7">
      <c r="G7472" s="149"/>
    </row>
    <row r="7473" spans="7:7">
      <c r="G7473" s="149"/>
    </row>
    <row r="7474" spans="7:7">
      <c r="G7474" s="149"/>
    </row>
    <row r="7475" spans="7:7">
      <c r="G7475" s="149"/>
    </row>
    <row r="7476" spans="7:7">
      <c r="G7476" s="149"/>
    </row>
    <row r="7477" spans="7:7">
      <c r="G7477" s="149"/>
    </row>
    <row r="7478" spans="7:7">
      <c r="G7478" s="149"/>
    </row>
    <row r="7479" spans="7:7">
      <c r="G7479" s="149"/>
    </row>
    <row r="7480" spans="7:7">
      <c r="G7480" s="149"/>
    </row>
    <row r="7481" spans="7:7">
      <c r="G7481" s="149"/>
    </row>
    <row r="7482" spans="7:7">
      <c r="G7482" s="149"/>
    </row>
    <row r="7483" spans="7:7">
      <c r="G7483" s="149"/>
    </row>
    <row r="7484" spans="7:7">
      <c r="G7484" s="149"/>
    </row>
    <row r="7485" spans="7:7">
      <c r="G7485" s="149"/>
    </row>
    <row r="7486" spans="7:7">
      <c r="G7486" s="149"/>
    </row>
    <row r="7487" spans="7:7">
      <c r="G7487" s="149"/>
    </row>
    <row r="7488" spans="7:7">
      <c r="G7488" s="149"/>
    </row>
    <row r="7489" spans="7:7">
      <c r="G7489" s="149"/>
    </row>
    <row r="7490" spans="7:7">
      <c r="G7490" s="149"/>
    </row>
    <row r="7491" spans="7:7">
      <c r="G7491" s="149"/>
    </row>
    <row r="7492" spans="7:7">
      <c r="G7492" s="149"/>
    </row>
    <row r="7493" spans="7:7">
      <c r="G7493" s="149"/>
    </row>
    <row r="7494" spans="7:7">
      <c r="G7494" s="149"/>
    </row>
    <row r="7495" spans="7:7">
      <c r="G7495" s="149"/>
    </row>
    <row r="7496" spans="7:7">
      <c r="G7496" s="149"/>
    </row>
    <row r="7497" spans="7:7">
      <c r="G7497" s="149"/>
    </row>
    <row r="7498" spans="7:7">
      <c r="G7498" s="149"/>
    </row>
    <row r="7499" spans="7:7">
      <c r="G7499" s="149"/>
    </row>
    <row r="7500" spans="7:7">
      <c r="G7500" s="149"/>
    </row>
    <row r="7501" spans="7:7">
      <c r="G7501" s="149"/>
    </row>
    <row r="7502" spans="7:7">
      <c r="G7502" s="149"/>
    </row>
    <row r="7503" spans="7:7">
      <c r="G7503" s="149"/>
    </row>
    <row r="7504" spans="7:7">
      <c r="G7504" s="149"/>
    </row>
    <row r="7505" spans="7:7">
      <c r="G7505" s="149"/>
    </row>
    <row r="7506" spans="7:7">
      <c r="G7506" s="149"/>
    </row>
    <row r="7507" spans="7:7">
      <c r="G7507" s="149"/>
    </row>
    <row r="7508" spans="7:7">
      <c r="G7508" s="149"/>
    </row>
    <row r="7509" spans="7:7">
      <c r="G7509" s="149"/>
    </row>
    <row r="7510" spans="7:7">
      <c r="G7510" s="149"/>
    </row>
    <row r="7511" spans="7:7">
      <c r="G7511" s="149"/>
    </row>
    <row r="7512" spans="7:7">
      <c r="G7512" s="149"/>
    </row>
    <row r="7513" spans="7:7">
      <c r="G7513" s="149"/>
    </row>
    <row r="7514" spans="7:7">
      <c r="G7514" s="149"/>
    </row>
    <row r="7515" spans="7:7">
      <c r="G7515" s="149"/>
    </row>
    <row r="7516" spans="7:7">
      <c r="G7516" s="149"/>
    </row>
    <row r="7517" spans="7:7">
      <c r="G7517" s="149"/>
    </row>
    <row r="7518" spans="7:7">
      <c r="G7518" s="149"/>
    </row>
    <row r="7519" spans="7:7">
      <c r="G7519" s="149"/>
    </row>
    <row r="7520" spans="7:7">
      <c r="G7520" s="149"/>
    </row>
    <row r="7521" spans="7:7">
      <c r="G7521" s="149"/>
    </row>
    <row r="7522" spans="7:7">
      <c r="G7522" s="149"/>
    </row>
    <row r="7523" spans="7:7">
      <c r="G7523" s="149"/>
    </row>
    <row r="7524" spans="7:7">
      <c r="G7524" s="149"/>
    </row>
    <row r="7525" spans="7:7">
      <c r="G7525" s="149"/>
    </row>
    <row r="7526" spans="7:7">
      <c r="G7526" s="149"/>
    </row>
    <row r="7527" spans="7:7">
      <c r="G7527" s="149"/>
    </row>
    <row r="7528" spans="7:7">
      <c r="G7528" s="149"/>
    </row>
    <row r="7529" spans="7:7">
      <c r="G7529" s="149"/>
    </row>
    <row r="7530" spans="7:7">
      <c r="G7530" s="149"/>
    </row>
    <row r="7531" spans="7:7">
      <c r="G7531" s="149"/>
    </row>
    <row r="7532" spans="7:7">
      <c r="G7532" s="149"/>
    </row>
    <row r="7533" spans="7:7">
      <c r="G7533" s="149"/>
    </row>
    <row r="7534" spans="7:7">
      <c r="G7534" s="149"/>
    </row>
    <row r="7535" spans="7:7">
      <c r="G7535" s="149"/>
    </row>
    <row r="7536" spans="7:7">
      <c r="G7536" s="149"/>
    </row>
    <row r="7537" spans="7:7">
      <c r="G7537" s="149"/>
    </row>
    <row r="7538" spans="7:7">
      <c r="G7538" s="149"/>
    </row>
    <row r="7539" spans="7:7">
      <c r="G7539" s="149"/>
    </row>
    <row r="7540" spans="7:7">
      <c r="G7540" s="149"/>
    </row>
    <row r="7541" spans="7:7">
      <c r="G7541" s="149"/>
    </row>
    <row r="7542" spans="7:7">
      <c r="G7542" s="149"/>
    </row>
    <row r="7543" spans="7:7">
      <c r="G7543" s="149"/>
    </row>
    <row r="7544" spans="7:7">
      <c r="G7544" s="149"/>
    </row>
    <row r="7545" spans="7:7">
      <c r="G7545" s="149"/>
    </row>
    <row r="7546" spans="7:7">
      <c r="G7546" s="149"/>
    </row>
    <row r="7547" spans="7:7">
      <c r="G7547" s="149"/>
    </row>
    <row r="7548" spans="7:7">
      <c r="G7548" s="149"/>
    </row>
    <row r="7549" spans="7:7">
      <c r="G7549" s="149"/>
    </row>
    <row r="7550" spans="7:7">
      <c r="G7550" s="149"/>
    </row>
    <row r="7551" spans="7:7">
      <c r="G7551" s="149"/>
    </row>
    <row r="7552" spans="7:7">
      <c r="G7552" s="149"/>
    </row>
    <row r="7553" spans="7:7">
      <c r="G7553" s="149"/>
    </row>
    <row r="7554" spans="7:7">
      <c r="G7554" s="149"/>
    </row>
    <row r="7555" spans="7:7">
      <c r="G7555" s="149"/>
    </row>
    <row r="7556" spans="7:7">
      <c r="G7556" s="149"/>
    </row>
    <row r="7557" spans="7:7">
      <c r="G7557" s="149"/>
    </row>
    <row r="7558" spans="7:7">
      <c r="G7558" s="149"/>
    </row>
    <row r="7559" spans="7:7">
      <c r="G7559" s="149"/>
    </row>
    <row r="7560" spans="7:7">
      <c r="G7560" s="149"/>
    </row>
    <row r="7561" spans="7:7">
      <c r="G7561" s="149"/>
    </row>
    <row r="7562" spans="7:7">
      <c r="G7562" s="149"/>
    </row>
    <row r="7563" spans="7:7">
      <c r="G7563" s="149"/>
    </row>
    <row r="7564" spans="7:7">
      <c r="G7564" s="149"/>
    </row>
    <row r="7565" spans="7:7">
      <c r="G7565" s="149"/>
    </row>
    <row r="7566" spans="7:7">
      <c r="G7566" s="149"/>
    </row>
    <row r="7567" spans="7:7">
      <c r="G7567" s="149"/>
    </row>
    <row r="7568" spans="7:7">
      <c r="G7568" s="149"/>
    </row>
    <row r="7569" spans="7:7">
      <c r="G7569" s="149"/>
    </row>
    <row r="7570" spans="7:7">
      <c r="G7570" s="149"/>
    </row>
    <row r="7571" spans="7:7">
      <c r="G7571" s="149"/>
    </row>
    <row r="7572" spans="7:7">
      <c r="G7572" s="149"/>
    </row>
    <row r="7573" spans="7:7">
      <c r="G7573" s="149"/>
    </row>
    <row r="7574" spans="7:7">
      <c r="G7574" s="149"/>
    </row>
    <row r="7575" spans="7:7">
      <c r="G7575" s="149"/>
    </row>
    <row r="7576" spans="7:7">
      <c r="G7576" s="149"/>
    </row>
    <row r="7577" spans="7:7">
      <c r="G7577" s="149"/>
    </row>
    <row r="7578" spans="7:7">
      <c r="G7578" s="149"/>
    </row>
    <row r="7579" spans="7:7">
      <c r="G7579" s="149"/>
    </row>
    <row r="7580" spans="7:7">
      <c r="G7580" s="149"/>
    </row>
    <row r="7581" spans="7:7">
      <c r="G7581" s="149"/>
    </row>
    <row r="7582" spans="7:7">
      <c r="G7582" s="149"/>
    </row>
    <row r="7583" spans="7:7">
      <c r="G7583" s="149"/>
    </row>
    <row r="7584" spans="7:7">
      <c r="G7584" s="149"/>
    </row>
    <row r="7585" spans="7:7">
      <c r="G7585" s="149"/>
    </row>
    <row r="7586" spans="7:7">
      <c r="G7586" s="149"/>
    </row>
    <row r="7587" spans="7:7">
      <c r="G7587" s="149"/>
    </row>
    <row r="7588" spans="7:7">
      <c r="G7588" s="149"/>
    </row>
    <row r="7589" spans="7:7">
      <c r="G7589" s="149"/>
    </row>
    <row r="7590" spans="7:7">
      <c r="G7590" s="149"/>
    </row>
    <row r="7591" spans="7:7">
      <c r="G7591" s="149"/>
    </row>
    <row r="7592" spans="7:7">
      <c r="G7592" s="149"/>
    </row>
    <row r="7593" spans="7:7">
      <c r="G7593" s="149"/>
    </row>
    <row r="7594" spans="7:7">
      <c r="G7594" s="149"/>
    </row>
    <row r="7595" spans="7:7">
      <c r="G7595" s="149"/>
    </row>
    <row r="7596" spans="7:7">
      <c r="G7596" s="149"/>
    </row>
    <row r="7597" spans="7:7">
      <c r="G7597" s="149"/>
    </row>
    <row r="7598" spans="7:7">
      <c r="G7598" s="149"/>
    </row>
    <row r="7599" spans="7:7">
      <c r="G7599" s="149"/>
    </row>
    <row r="7600" spans="7:7">
      <c r="G7600" s="149"/>
    </row>
    <row r="7601" spans="7:7">
      <c r="G7601" s="149"/>
    </row>
    <row r="7602" spans="7:7">
      <c r="G7602" s="149"/>
    </row>
    <row r="7603" spans="7:7">
      <c r="G7603" s="149"/>
    </row>
    <row r="7604" spans="7:7">
      <c r="G7604" s="149"/>
    </row>
    <row r="7605" spans="7:7">
      <c r="G7605" s="149"/>
    </row>
    <row r="7606" spans="7:7">
      <c r="G7606" s="149"/>
    </row>
    <row r="7607" spans="7:7">
      <c r="G7607" s="149"/>
    </row>
    <row r="7608" spans="7:7">
      <c r="G7608" s="149"/>
    </row>
    <row r="7609" spans="7:7">
      <c r="G7609" s="149"/>
    </row>
    <row r="7610" spans="7:7">
      <c r="G7610" s="149"/>
    </row>
    <row r="7611" spans="7:7">
      <c r="G7611" s="149"/>
    </row>
    <row r="7612" spans="7:7">
      <c r="G7612" s="149"/>
    </row>
    <row r="7613" spans="7:7">
      <c r="G7613" s="149"/>
    </row>
    <row r="7614" spans="7:7">
      <c r="G7614" s="149"/>
    </row>
    <row r="7615" spans="7:7">
      <c r="G7615" s="149"/>
    </row>
    <row r="7616" spans="7:7">
      <c r="G7616" s="149"/>
    </row>
    <row r="7617" spans="7:7">
      <c r="G7617" s="149"/>
    </row>
    <row r="7618" spans="7:7">
      <c r="G7618" s="149"/>
    </row>
    <row r="7619" spans="7:7">
      <c r="G7619" s="149"/>
    </row>
    <row r="7620" spans="7:7">
      <c r="G7620" s="149"/>
    </row>
    <row r="7621" spans="7:7">
      <c r="G7621" s="149"/>
    </row>
    <row r="7622" spans="7:7">
      <c r="G7622" s="149"/>
    </row>
    <row r="7623" spans="7:7">
      <c r="G7623" s="149"/>
    </row>
    <row r="7624" spans="7:7">
      <c r="G7624" s="149"/>
    </row>
    <row r="7625" spans="7:7">
      <c r="G7625" s="149"/>
    </row>
    <row r="7626" spans="7:7">
      <c r="G7626" s="149"/>
    </row>
    <row r="7627" spans="7:7">
      <c r="G7627" s="149"/>
    </row>
    <row r="7628" spans="7:7">
      <c r="G7628" s="149"/>
    </row>
    <row r="7629" spans="7:7">
      <c r="G7629" s="149"/>
    </row>
    <row r="7630" spans="7:7">
      <c r="G7630" s="149"/>
    </row>
    <row r="7631" spans="7:7">
      <c r="G7631" s="149"/>
    </row>
    <row r="7632" spans="7:7">
      <c r="G7632" s="149"/>
    </row>
    <row r="7633" spans="7:7">
      <c r="G7633" s="149"/>
    </row>
    <row r="7634" spans="7:7">
      <c r="G7634" s="149"/>
    </row>
    <row r="7635" spans="7:7">
      <c r="G7635" s="149"/>
    </row>
    <row r="7636" spans="7:7">
      <c r="G7636" s="149"/>
    </row>
    <row r="7637" spans="7:7">
      <c r="G7637" s="149"/>
    </row>
    <row r="7638" spans="7:7">
      <c r="G7638" s="149"/>
    </row>
    <row r="7639" spans="7:7">
      <c r="G7639" s="149"/>
    </row>
    <row r="7640" spans="7:7">
      <c r="G7640" s="149"/>
    </row>
    <row r="7641" spans="7:7">
      <c r="G7641" s="149"/>
    </row>
    <row r="7642" spans="7:7">
      <c r="G7642" s="149"/>
    </row>
    <row r="7643" spans="7:7">
      <c r="G7643" s="149"/>
    </row>
    <row r="7644" spans="7:7">
      <c r="G7644" s="149"/>
    </row>
    <row r="7645" spans="7:7">
      <c r="G7645" s="149"/>
    </row>
    <row r="7646" spans="7:7">
      <c r="G7646" s="149"/>
    </row>
    <row r="7647" spans="7:7">
      <c r="G7647" s="149"/>
    </row>
    <row r="7648" spans="7:7">
      <c r="G7648" s="149"/>
    </row>
    <row r="7649" spans="7:7">
      <c r="G7649" s="149"/>
    </row>
    <row r="7650" spans="7:7">
      <c r="G7650" s="149"/>
    </row>
    <row r="7651" spans="7:7">
      <c r="G7651" s="149"/>
    </row>
    <row r="7652" spans="7:7">
      <c r="G7652" s="149"/>
    </row>
    <row r="7653" spans="7:7">
      <c r="G7653" s="149"/>
    </row>
    <row r="7654" spans="7:7">
      <c r="G7654" s="149"/>
    </row>
    <row r="7655" spans="7:7">
      <c r="G7655" s="149"/>
    </row>
    <row r="7656" spans="7:7">
      <c r="G7656" s="149"/>
    </row>
    <row r="7657" spans="7:7">
      <c r="G7657" s="149"/>
    </row>
    <row r="7658" spans="7:7">
      <c r="G7658" s="149"/>
    </row>
    <row r="7659" spans="7:7">
      <c r="G7659" s="149"/>
    </row>
    <row r="7660" spans="7:7">
      <c r="G7660" s="149"/>
    </row>
    <row r="7661" spans="7:7">
      <c r="G7661" s="149"/>
    </row>
    <row r="7662" spans="7:7">
      <c r="G7662" s="149"/>
    </row>
    <row r="7663" spans="7:7">
      <c r="G7663" s="149"/>
    </row>
    <row r="7664" spans="7:7">
      <c r="G7664" s="149"/>
    </row>
    <row r="7665" spans="7:7">
      <c r="G7665" s="149"/>
    </row>
    <row r="7666" spans="7:7">
      <c r="G7666" s="149"/>
    </row>
    <row r="7667" spans="7:7">
      <c r="G7667" s="149"/>
    </row>
    <row r="7668" spans="7:7">
      <c r="G7668" s="149"/>
    </row>
    <row r="7669" spans="7:7">
      <c r="G7669" s="149"/>
    </row>
    <row r="7670" spans="7:7">
      <c r="G7670" s="149"/>
    </row>
    <row r="7671" spans="7:7">
      <c r="G7671" s="149"/>
    </row>
    <row r="7672" spans="7:7">
      <c r="G7672" s="149"/>
    </row>
    <row r="7673" spans="7:7">
      <c r="G7673" s="149"/>
    </row>
    <row r="7674" spans="7:7">
      <c r="G7674" s="149"/>
    </row>
    <row r="7675" spans="7:7">
      <c r="G7675" s="149"/>
    </row>
    <row r="7676" spans="7:7">
      <c r="G7676" s="149"/>
    </row>
    <row r="7677" spans="7:7">
      <c r="G7677" s="149"/>
    </row>
    <row r="7678" spans="7:7">
      <c r="G7678" s="149"/>
    </row>
    <row r="7679" spans="7:7">
      <c r="G7679" s="149"/>
    </row>
    <row r="7680" spans="7:7">
      <c r="G7680" s="149"/>
    </row>
    <row r="7681" spans="7:7">
      <c r="G7681" s="149"/>
    </row>
    <row r="7682" spans="7:7">
      <c r="G7682" s="149"/>
    </row>
    <row r="7683" spans="7:7">
      <c r="G7683" s="149"/>
    </row>
    <row r="7684" spans="7:7">
      <c r="G7684" s="149"/>
    </row>
    <row r="7685" spans="7:7">
      <c r="G7685" s="149"/>
    </row>
    <row r="7686" spans="7:7">
      <c r="G7686" s="149"/>
    </row>
    <row r="7687" spans="7:7">
      <c r="G7687" s="149"/>
    </row>
    <row r="7688" spans="7:7">
      <c r="G7688" s="149"/>
    </row>
    <row r="7689" spans="7:7">
      <c r="G7689" s="149"/>
    </row>
    <row r="7690" spans="7:7">
      <c r="G7690" s="149"/>
    </row>
    <row r="7691" spans="7:7">
      <c r="G7691" s="149"/>
    </row>
    <row r="7692" spans="7:7">
      <c r="G7692" s="149"/>
    </row>
    <row r="7693" spans="7:7">
      <c r="G7693" s="149"/>
    </row>
    <row r="7694" spans="7:7">
      <c r="G7694" s="149"/>
    </row>
    <row r="7695" spans="7:7">
      <c r="G7695" s="149"/>
    </row>
    <row r="7696" spans="7:7">
      <c r="G7696" s="149"/>
    </row>
    <row r="7697" spans="7:7">
      <c r="G7697" s="149"/>
    </row>
    <row r="7698" spans="7:7">
      <c r="G7698" s="149"/>
    </row>
    <row r="7699" spans="7:7">
      <c r="G7699" s="149"/>
    </row>
    <row r="7700" spans="7:7">
      <c r="G7700" s="149"/>
    </row>
    <row r="7701" spans="7:7">
      <c r="G7701" s="149"/>
    </row>
    <row r="7702" spans="7:7">
      <c r="G7702" s="149"/>
    </row>
    <row r="7703" spans="7:7">
      <c r="G7703" s="149"/>
    </row>
    <row r="7704" spans="7:7">
      <c r="G7704" s="149"/>
    </row>
    <row r="7705" spans="7:7">
      <c r="G7705" s="149"/>
    </row>
    <row r="7706" spans="7:7">
      <c r="G7706" s="149"/>
    </row>
    <row r="7707" spans="7:7">
      <c r="G7707" s="149"/>
    </row>
    <row r="7708" spans="7:7">
      <c r="G7708" s="149"/>
    </row>
    <row r="7709" spans="7:7">
      <c r="G7709" s="149"/>
    </row>
    <row r="7710" spans="7:7">
      <c r="G7710" s="149"/>
    </row>
    <row r="7711" spans="7:7">
      <c r="G7711" s="149"/>
    </row>
    <row r="7712" spans="7:7">
      <c r="G7712" s="149"/>
    </row>
    <row r="7713" spans="7:7">
      <c r="G7713" s="149"/>
    </row>
    <row r="7714" spans="7:7">
      <c r="G7714" s="149"/>
    </row>
    <row r="7715" spans="7:7">
      <c r="G7715" s="149"/>
    </row>
    <row r="7716" spans="7:7">
      <c r="G7716" s="149"/>
    </row>
    <row r="7717" spans="7:7">
      <c r="G7717" s="149"/>
    </row>
    <row r="7718" spans="7:7">
      <c r="G7718" s="149"/>
    </row>
    <row r="7719" spans="7:7">
      <c r="G7719" s="149"/>
    </row>
    <row r="7720" spans="7:7">
      <c r="G7720" s="149"/>
    </row>
    <row r="7721" spans="7:7">
      <c r="G7721" s="149"/>
    </row>
    <row r="7722" spans="7:7">
      <c r="G7722" s="149"/>
    </row>
    <row r="7723" spans="7:7">
      <c r="G7723" s="149"/>
    </row>
    <row r="7724" spans="7:7">
      <c r="G7724" s="149"/>
    </row>
    <row r="7725" spans="7:7">
      <c r="G7725" s="149"/>
    </row>
    <row r="7726" spans="7:7">
      <c r="G7726" s="149"/>
    </row>
    <row r="7727" spans="7:7">
      <c r="G7727" s="149"/>
    </row>
    <row r="7728" spans="7:7">
      <c r="G7728" s="149"/>
    </row>
    <row r="7729" spans="7:7">
      <c r="G7729" s="149"/>
    </row>
    <row r="7730" spans="7:7">
      <c r="G7730" s="149"/>
    </row>
    <row r="7731" spans="7:7">
      <c r="G7731" s="149"/>
    </row>
    <row r="7732" spans="7:7">
      <c r="G7732" s="149"/>
    </row>
    <row r="7733" spans="7:7">
      <c r="G7733" s="149"/>
    </row>
    <row r="7734" spans="7:7">
      <c r="G7734" s="149"/>
    </row>
    <row r="7735" spans="7:7">
      <c r="G7735" s="149"/>
    </row>
    <row r="7736" spans="7:7">
      <c r="G7736" s="149"/>
    </row>
    <row r="7737" spans="7:7">
      <c r="G7737" s="149"/>
    </row>
    <row r="7738" spans="7:7">
      <c r="G7738" s="149"/>
    </row>
    <row r="7739" spans="7:7">
      <c r="G7739" s="149"/>
    </row>
    <row r="7740" spans="7:7">
      <c r="G7740" s="149"/>
    </row>
    <row r="7741" spans="7:7">
      <c r="G7741" s="149"/>
    </row>
    <row r="7742" spans="7:7">
      <c r="G7742" s="149"/>
    </row>
    <row r="7743" spans="7:7">
      <c r="G7743" s="149"/>
    </row>
    <row r="7744" spans="7:7">
      <c r="G7744" s="149"/>
    </row>
    <row r="7745" spans="7:7">
      <c r="G7745" s="149"/>
    </row>
    <row r="7746" spans="7:7">
      <c r="G7746" s="149"/>
    </row>
    <row r="7747" spans="7:7">
      <c r="G7747" s="149"/>
    </row>
    <row r="7748" spans="7:7">
      <c r="G7748" s="149"/>
    </row>
    <row r="7749" spans="7:7">
      <c r="G7749" s="149"/>
    </row>
    <row r="7750" spans="7:7">
      <c r="G7750" s="149"/>
    </row>
    <row r="7751" spans="7:7">
      <c r="G7751" s="149"/>
    </row>
    <row r="7752" spans="7:7">
      <c r="G7752" s="149"/>
    </row>
    <row r="7753" spans="7:7">
      <c r="G7753" s="149"/>
    </row>
    <row r="7754" spans="7:7">
      <c r="G7754" s="149"/>
    </row>
    <row r="7755" spans="7:7">
      <c r="G7755" s="149"/>
    </row>
    <row r="7756" spans="7:7">
      <c r="G7756" s="149"/>
    </row>
    <row r="7757" spans="7:7">
      <c r="G7757" s="149"/>
    </row>
    <row r="7758" spans="7:7">
      <c r="G7758" s="149"/>
    </row>
    <row r="7759" spans="7:7">
      <c r="G7759" s="149"/>
    </row>
    <row r="7760" spans="7:7">
      <c r="G7760" s="149"/>
    </row>
    <row r="7761" spans="7:7">
      <c r="G7761" s="149"/>
    </row>
    <row r="7762" spans="7:7">
      <c r="G7762" s="149"/>
    </row>
    <row r="7763" spans="7:7">
      <c r="G7763" s="149"/>
    </row>
    <row r="7764" spans="7:7">
      <c r="G7764" s="149"/>
    </row>
    <row r="7765" spans="7:7">
      <c r="G7765" s="149"/>
    </row>
    <row r="7766" spans="7:7">
      <c r="G7766" s="149"/>
    </row>
    <row r="7767" spans="7:7">
      <c r="G7767" s="149"/>
    </row>
    <row r="7768" spans="7:7">
      <c r="G7768" s="149"/>
    </row>
    <row r="7769" spans="7:7">
      <c r="G7769" s="149"/>
    </row>
    <row r="7770" spans="7:7">
      <c r="G7770" s="149"/>
    </row>
    <row r="7771" spans="7:7">
      <c r="G7771" s="149"/>
    </row>
    <row r="7772" spans="7:7">
      <c r="G7772" s="149"/>
    </row>
    <row r="7773" spans="7:7">
      <c r="G7773" s="149"/>
    </row>
    <row r="7774" spans="7:7">
      <c r="G7774" s="149"/>
    </row>
    <row r="7775" spans="7:7">
      <c r="G7775" s="149"/>
    </row>
    <row r="7776" spans="7:7">
      <c r="G7776" s="149"/>
    </row>
    <row r="7777" spans="7:7">
      <c r="G7777" s="149"/>
    </row>
    <row r="7778" spans="7:7">
      <c r="G7778" s="149"/>
    </row>
    <row r="7779" spans="7:7">
      <c r="G7779" s="149"/>
    </row>
    <row r="7780" spans="7:7">
      <c r="G7780" s="149"/>
    </row>
    <row r="7781" spans="7:7">
      <c r="G7781" s="149"/>
    </row>
    <row r="7782" spans="7:7">
      <c r="G7782" s="149"/>
    </row>
    <row r="7783" spans="7:7">
      <c r="G7783" s="149"/>
    </row>
    <row r="7784" spans="7:7">
      <c r="G7784" s="149"/>
    </row>
    <row r="7785" spans="7:7">
      <c r="G7785" s="149"/>
    </row>
    <row r="7786" spans="7:7">
      <c r="G7786" s="149"/>
    </row>
    <row r="7787" spans="7:7">
      <c r="G7787" s="149"/>
    </row>
    <row r="7788" spans="7:7">
      <c r="G7788" s="149"/>
    </row>
    <row r="7789" spans="7:7">
      <c r="G7789" s="149"/>
    </row>
    <row r="7790" spans="7:7">
      <c r="G7790" s="149"/>
    </row>
    <row r="7791" spans="7:7">
      <c r="G7791" s="149"/>
    </row>
    <row r="7792" spans="7:7">
      <c r="G7792" s="149"/>
    </row>
    <row r="7793" spans="7:7">
      <c r="G7793" s="149"/>
    </row>
    <row r="7794" spans="7:7">
      <c r="G7794" s="149"/>
    </row>
    <row r="7795" spans="7:7">
      <c r="G7795" s="149"/>
    </row>
    <row r="7796" spans="7:7">
      <c r="G7796" s="149"/>
    </row>
    <row r="7797" spans="7:7">
      <c r="G7797" s="149"/>
    </row>
    <row r="7798" spans="7:7">
      <c r="G7798" s="149"/>
    </row>
    <row r="7799" spans="7:7">
      <c r="G7799" s="149"/>
    </row>
    <row r="7800" spans="7:7">
      <c r="G7800" s="149"/>
    </row>
    <row r="7801" spans="7:7">
      <c r="G7801" s="149"/>
    </row>
    <row r="7802" spans="7:7">
      <c r="G7802" s="149"/>
    </row>
    <row r="7803" spans="7:7">
      <c r="G7803" s="149"/>
    </row>
    <row r="7804" spans="7:7">
      <c r="G7804" s="149"/>
    </row>
    <row r="7805" spans="7:7">
      <c r="G7805" s="149"/>
    </row>
    <row r="7806" spans="7:7">
      <c r="G7806" s="149"/>
    </row>
    <row r="7807" spans="7:7">
      <c r="G7807" s="149"/>
    </row>
    <row r="7808" spans="7:7">
      <c r="G7808" s="149"/>
    </row>
    <row r="7809" spans="7:7">
      <c r="G7809" s="149"/>
    </row>
    <row r="7810" spans="7:7">
      <c r="G7810" s="149"/>
    </row>
    <row r="7811" spans="7:7">
      <c r="G7811" s="149"/>
    </row>
    <row r="7812" spans="7:7">
      <c r="G7812" s="149"/>
    </row>
    <row r="7813" spans="7:7">
      <c r="G7813" s="149"/>
    </row>
    <row r="7814" spans="7:7">
      <c r="G7814" s="149"/>
    </row>
    <row r="7815" spans="7:7">
      <c r="G7815" s="149"/>
    </row>
    <row r="7816" spans="7:7">
      <c r="G7816" s="149"/>
    </row>
    <row r="7817" spans="7:7">
      <c r="G7817" s="149"/>
    </row>
    <row r="7818" spans="7:7">
      <c r="G7818" s="149"/>
    </row>
    <row r="7819" spans="7:7">
      <c r="G7819" s="149"/>
    </row>
    <row r="7820" spans="7:7">
      <c r="G7820" s="149"/>
    </row>
    <row r="7821" spans="7:7">
      <c r="G7821" s="149"/>
    </row>
    <row r="7822" spans="7:7">
      <c r="G7822" s="149"/>
    </row>
    <row r="7823" spans="7:7">
      <c r="G7823" s="149"/>
    </row>
    <row r="7824" spans="7:7">
      <c r="G7824" s="149"/>
    </row>
    <row r="7825" spans="7:7">
      <c r="G7825" s="149"/>
    </row>
    <row r="7826" spans="7:7">
      <c r="G7826" s="149"/>
    </row>
    <row r="7827" spans="7:7">
      <c r="G7827" s="149"/>
    </row>
    <row r="7828" spans="7:7">
      <c r="G7828" s="149"/>
    </row>
    <row r="7829" spans="7:7">
      <c r="G7829" s="149"/>
    </row>
    <row r="7830" spans="7:7">
      <c r="G7830" s="149"/>
    </row>
    <row r="7831" spans="7:7">
      <c r="G7831" s="149"/>
    </row>
    <row r="7832" spans="7:7">
      <c r="G7832" s="149"/>
    </row>
    <row r="7833" spans="7:7">
      <c r="G7833" s="149"/>
    </row>
    <row r="7834" spans="7:7">
      <c r="G7834" s="149"/>
    </row>
    <row r="7835" spans="7:7">
      <c r="G7835" s="149"/>
    </row>
    <row r="7836" spans="7:7">
      <c r="G7836" s="149"/>
    </row>
    <row r="7837" spans="7:7">
      <c r="G7837" s="149"/>
    </row>
    <row r="7838" spans="7:7">
      <c r="G7838" s="149"/>
    </row>
    <row r="7839" spans="7:7">
      <c r="G7839" s="149"/>
    </row>
    <row r="7840" spans="7:7">
      <c r="G7840" s="149"/>
    </row>
    <row r="7841" spans="7:7">
      <c r="G7841" s="149"/>
    </row>
    <row r="7842" spans="7:7">
      <c r="G7842" s="149"/>
    </row>
    <row r="7843" spans="7:7">
      <c r="G7843" s="149"/>
    </row>
    <row r="7844" spans="7:7">
      <c r="G7844" s="149"/>
    </row>
    <row r="7845" spans="7:7">
      <c r="G7845" s="149"/>
    </row>
    <row r="7846" spans="7:7">
      <c r="G7846" s="149"/>
    </row>
    <row r="7847" spans="7:7">
      <c r="G7847" s="149"/>
    </row>
    <row r="7848" spans="7:7">
      <c r="G7848" s="149"/>
    </row>
    <row r="7849" spans="7:7">
      <c r="G7849" s="149"/>
    </row>
    <row r="7850" spans="7:7">
      <c r="G7850" s="149"/>
    </row>
    <row r="7851" spans="7:7">
      <c r="G7851" s="149"/>
    </row>
    <row r="7852" spans="7:7">
      <c r="G7852" s="149"/>
    </row>
    <row r="7853" spans="7:7">
      <c r="G7853" s="149"/>
    </row>
    <row r="7854" spans="7:7">
      <c r="G7854" s="149"/>
    </row>
    <row r="7855" spans="7:7">
      <c r="G7855" s="149"/>
    </row>
    <row r="7856" spans="7:7">
      <c r="G7856" s="149"/>
    </row>
    <row r="7857" spans="7:7">
      <c r="G7857" s="149"/>
    </row>
    <row r="7858" spans="7:7">
      <c r="G7858" s="149"/>
    </row>
    <row r="7859" spans="7:7">
      <c r="G7859" s="149"/>
    </row>
    <row r="7860" spans="7:7">
      <c r="G7860" s="149"/>
    </row>
    <row r="7861" spans="7:7">
      <c r="G7861" s="149"/>
    </row>
    <row r="7862" spans="7:7">
      <c r="G7862" s="149"/>
    </row>
    <row r="7863" spans="7:7">
      <c r="G7863" s="149"/>
    </row>
    <row r="7864" spans="7:7">
      <c r="G7864" s="149"/>
    </row>
    <row r="7865" spans="7:7">
      <c r="G7865" s="149"/>
    </row>
    <row r="7866" spans="7:7">
      <c r="G7866" s="149"/>
    </row>
    <row r="7867" spans="7:7">
      <c r="G7867" s="149"/>
    </row>
    <row r="7868" spans="7:7">
      <c r="G7868" s="149"/>
    </row>
    <row r="7869" spans="7:7">
      <c r="G7869" s="149"/>
    </row>
    <row r="7870" spans="7:7">
      <c r="G7870" s="149"/>
    </row>
    <row r="7871" spans="7:7">
      <c r="G7871" s="149"/>
    </row>
    <row r="7872" spans="7:7">
      <c r="G7872" s="149"/>
    </row>
    <row r="7873" spans="7:7">
      <c r="G7873" s="149"/>
    </row>
    <row r="7874" spans="7:7">
      <c r="G7874" s="149"/>
    </row>
    <row r="7875" spans="7:7">
      <c r="G7875" s="149"/>
    </row>
    <row r="7876" spans="7:7">
      <c r="G7876" s="149"/>
    </row>
    <row r="7877" spans="7:7">
      <c r="G7877" s="149"/>
    </row>
    <row r="7878" spans="7:7">
      <c r="G7878" s="149"/>
    </row>
    <row r="7879" spans="7:7">
      <c r="G7879" s="149"/>
    </row>
    <row r="7880" spans="7:7">
      <c r="G7880" s="149"/>
    </row>
    <row r="7881" spans="7:7">
      <c r="G7881" s="149"/>
    </row>
    <row r="7882" spans="7:7">
      <c r="G7882" s="149"/>
    </row>
    <row r="7883" spans="7:7">
      <c r="G7883" s="149"/>
    </row>
    <row r="7884" spans="7:7">
      <c r="G7884" s="149"/>
    </row>
    <row r="7885" spans="7:7">
      <c r="G7885" s="149"/>
    </row>
    <row r="7886" spans="7:7">
      <c r="G7886" s="149"/>
    </row>
    <row r="7887" spans="7:7">
      <c r="G7887" s="149"/>
    </row>
    <row r="7888" spans="7:7">
      <c r="G7888" s="149"/>
    </row>
    <row r="7889" spans="7:7">
      <c r="G7889" s="149"/>
    </row>
    <row r="7890" spans="7:7">
      <c r="G7890" s="149"/>
    </row>
    <row r="7891" spans="7:7">
      <c r="G7891" s="149"/>
    </row>
    <row r="7892" spans="7:7">
      <c r="G7892" s="149"/>
    </row>
    <row r="7893" spans="7:7">
      <c r="G7893" s="149"/>
    </row>
    <row r="7894" spans="7:7">
      <c r="G7894" s="149"/>
    </row>
    <row r="7895" spans="7:7">
      <c r="G7895" s="149"/>
    </row>
    <row r="7896" spans="7:7">
      <c r="G7896" s="149"/>
    </row>
    <row r="7897" spans="7:7">
      <c r="G7897" s="149"/>
    </row>
    <row r="7898" spans="7:7">
      <c r="G7898" s="149"/>
    </row>
    <row r="7899" spans="7:7">
      <c r="G7899" s="149"/>
    </row>
    <row r="7900" spans="7:7">
      <c r="G7900" s="149"/>
    </row>
    <row r="7901" spans="7:7">
      <c r="G7901" s="149"/>
    </row>
    <row r="7902" spans="7:7">
      <c r="G7902" s="149"/>
    </row>
    <row r="7903" spans="7:7">
      <c r="G7903" s="149"/>
    </row>
    <row r="7904" spans="7:7">
      <c r="G7904" s="149"/>
    </row>
    <row r="7905" spans="7:7">
      <c r="G7905" s="149"/>
    </row>
    <row r="7906" spans="7:7">
      <c r="G7906" s="149"/>
    </row>
    <row r="7907" spans="7:7">
      <c r="G7907" s="149"/>
    </row>
    <row r="7908" spans="7:7">
      <c r="G7908" s="149"/>
    </row>
    <row r="7909" spans="7:7">
      <c r="G7909" s="149"/>
    </row>
    <row r="7910" spans="7:7">
      <c r="G7910" s="149"/>
    </row>
    <row r="7911" spans="7:7">
      <c r="G7911" s="149"/>
    </row>
    <row r="7912" spans="7:7">
      <c r="G7912" s="149"/>
    </row>
    <row r="7913" spans="7:7">
      <c r="G7913" s="149"/>
    </row>
    <row r="7914" spans="7:7">
      <c r="G7914" s="149"/>
    </row>
    <row r="7915" spans="7:7">
      <c r="G7915" s="149"/>
    </row>
    <row r="7916" spans="7:7">
      <c r="G7916" s="149"/>
    </row>
    <row r="7917" spans="7:7">
      <c r="G7917" s="149"/>
    </row>
    <row r="7918" spans="7:7">
      <c r="G7918" s="149"/>
    </row>
    <row r="7919" spans="7:7">
      <c r="G7919" s="149"/>
    </row>
    <row r="7920" spans="7:7">
      <c r="G7920" s="149"/>
    </row>
    <row r="7921" spans="7:7">
      <c r="G7921" s="149"/>
    </row>
    <row r="7922" spans="7:7">
      <c r="G7922" s="149"/>
    </row>
    <row r="7923" spans="7:7">
      <c r="G7923" s="149"/>
    </row>
    <row r="7924" spans="7:7">
      <c r="G7924" s="149"/>
    </row>
    <row r="7925" spans="7:7">
      <c r="G7925" s="149"/>
    </row>
    <row r="7926" spans="7:7">
      <c r="G7926" s="149"/>
    </row>
    <row r="7927" spans="7:7">
      <c r="G7927" s="149"/>
    </row>
    <row r="7928" spans="7:7">
      <c r="G7928" s="149"/>
    </row>
    <row r="7929" spans="7:7">
      <c r="G7929" s="149"/>
    </row>
    <row r="7930" spans="7:7">
      <c r="G7930" s="149"/>
    </row>
    <row r="7931" spans="7:7">
      <c r="G7931" s="149"/>
    </row>
    <row r="7932" spans="7:7">
      <c r="G7932" s="149"/>
    </row>
    <row r="7933" spans="7:7">
      <c r="G7933" s="149"/>
    </row>
    <row r="7934" spans="7:7">
      <c r="G7934" s="149"/>
    </row>
    <row r="7935" spans="7:7">
      <c r="G7935" s="149"/>
    </row>
    <row r="7936" spans="7:7">
      <c r="G7936" s="149"/>
    </row>
    <row r="7937" spans="7:7">
      <c r="G7937" s="149"/>
    </row>
    <row r="7938" spans="7:7">
      <c r="G7938" s="149"/>
    </row>
    <row r="7939" spans="7:7">
      <c r="G7939" s="149"/>
    </row>
    <row r="7940" spans="7:7">
      <c r="G7940" s="149"/>
    </row>
    <row r="7941" spans="7:7">
      <c r="G7941" s="149"/>
    </row>
    <row r="7942" spans="7:7">
      <c r="G7942" s="149"/>
    </row>
    <row r="7943" spans="7:7">
      <c r="G7943" s="149"/>
    </row>
    <row r="7944" spans="7:7">
      <c r="G7944" s="149"/>
    </row>
    <row r="7945" spans="7:7">
      <c r="G7945" s="149"/>
    </row>
    <row r="7946" spans="7:7">
      <c r="G7946" s="149"/>
    </row>
    <row r="7947" spans="7:7">
      <c r="G7947" s="149"/>
    </row>
    <row r="7948" spans="7:7">
      <c r="G7948" s="149"/>
    </row>
    <row r="7949" spans="7:7">
      <c r="G7949" s="149"/>
    </row>
    <row r="7950" spans="7:7">
      <c r="G7950" s="149"/>
    </row>
    <row r="7951" spans="7:7">
      <c r="G7951" s="149"/>
    </row>
    <row r="7952" spans="7:7">
      <c r="G7952" s="149"/>
    </row>
    <row r="7953" spans="7:7">
      <c r="G7953" s="149"/>
    </row>
    <row r="7954" spans="7:7">
      <c r="G7954" s="149"/>
    </row>
    <row r="7955" spans="7:7">
      <c r="G7955" s="149"/>
    </row>
    <row r="7956" spans="7:7">
      <c r="G7956" s="149"/>
    </row>
    <row r="7957" spans="7:7">
      <c r="G7957" s="149"/>
    </row>
    <row r="7958" spans="7:7">
      <c r="G7958" s="149"/>
    </row>
    <row r="7959" spans="7:7">
      <c r="G7959" s="149"/>
    </row>
    <row r="7960" spans="7:7">
      <c r="G7960" s="149"/>
    </row>
    <row r="7961" spans="7:7">
      <c r="G7961" s="149"/>
    </row>
    <row r="7962" spans="7:7">
      <c r="G7962" s="149"/>
    </row>
    <row r="7963" spans="7:7">
      <c r="G7963" s="149"/>
    </row>
    <row r="7964" spans="7:7">
      <c r="G7964" s="149"/>
    </row>
    <row r="7965" spans="7:7">
      <c r="G7965" s="149"/>
    </row>
    <row r="7966" spans="7:7">
      <c r="G7966" s="149"/>
    </row>
    <row r="7967" spans="7:7">
      <c r="G7967" s="149"/>
    </row>
    <row r="7968" spans="7:7">
      <c r="G7968" s="149"/>
    </row>
    <row r="7969" spans="7:7">
      <c r="G7969" s="149"/>
    </row>
    <row r="7970" spans="7:7">
      <c r="G7970" s="149"/>
    </row>
    <row r="7971" spans="7:7">
      <c r="G7971" s="149"/>
    </row>
    <row r="7972" spans="7:7">
      <c r="G7972" s="149"/>
    </row>
    <row r="7973" spans="7:7">
      <c r="G7973" s="149"/>
    </row>
    <row r="7974" spans="7:7">
      <c r="G7974" s="149"/>
    </row>
    <row r="7975" spans="7:7">
      <c r="G7975" s="149"/>
    </row>
    <row r="7976" spans="7:7">
      <c r="G7976" s="149"/>
    </row>
    <row r="7977" spans="7:7">
      <c r="G7977" s="149"/>
    </row>
    <row r="7978" spans="7:7">
      <c r="G7978" s="149"/>
    </row>
    <row r="7979" spans="7:7">
      <c r="G7979" s="149"/>
    </row>
    <row r="7980" spans="7:7">
      <c r="G7980" s="149"/>
    </row>
    <row r="7981" spans="7:7">
      <c r="G7981" s="149"/>
    </row>
    <row r="7982" spans="7:7">
      <c r="G7982" s="149"/>
    </row>
    <row r="7983" spans="7:7">
      <c r="G7983" s="149"/>
    </row>
    <row r="7984" spans="7:7">
      <c r="G7984" s="149"/>
    </row>
    <row r="7985" spans="7:7">
      <c r="G7985" s="149"/>
    </row>
    <row r="7986" spans="7:7">
      <c r="G7986" s="149"/>
    </row>
    <row r="7987" spans="7:7">
      <c r="G7987" s="149"/>
    </row>
    <row r="7988" spans="7:7">
      <c r="G7988" s="149"/>
    </row>
    <row r="7989" spans="7:7">
      <c r="G7989" s="149"/>
    </row>
    <row r="7990" spans="7:7">
      <c r="G7990" s="149"/>
    </row>
    <row r="7991" spans="7:7">
      <c r="G7991" s="149"/>
    </row>
    <row r="7992" spans="7:7">
      <c r="G7992" s="149"/>
    </row>
    <row r="7993" spans="7:7">
      <c r="G7993" s="149"/>
    </row>
    <row r="7994" spans="7:7">
      <c r="G7994" s="149"/>
    </row>
    <row r="7995" spans="7:7">
      <c r="G7995" s="149"/>
    </row>
    <row r="7996" spans="7:7">
      <c r="G7996" s="149"/>
    </row>
    <row r="7997" spans="7:7">
      <c r="G7997" s="149"/>
    </row>
    <row r="7998" spans="7:7">
      <c r="G7998" s="149"/>
    </row>
    <row r="7999" spans="7:7">
      <c r="G7999" s="149"/>
    </row>
    <row r="8000" spans="7:7">
      <c r="G8000" s="149"/>
    </row>
    <row r="8001" spans="7:7">
      <c r="G8001" s="149"/>
    </row>
    <row r="8002" spans="7:7">
      <c r="G8002" s="149"/>
    </row>
    <row r="8003" spans="7:7">
      <c r="G8003" s="149"/>
    </row>
    <row r="8004" spans="7:7">
      <c r="G8004" s="149"/>
    </row>
    <row r="8005" spans="7:7">
      <c r="G8005" s="149"/>
    </row>
    <row r="8006" spans="7:7">
      <c r="G8006" s="149"/>
    </row>
    <row r="8007" spans="7:7">
      <c r="G8007" s="149"/>
    </row>
    <row r="8008" spans="7:7">
      <c r="G8008" s="149"/>
    </row>
    <row r="8009" spans="7:7">
      <c r="G8009" s="149"/>
    </row>
    <row r="8010" spans="7:7">
      <c r="G8010" s="149"/>
    </row>
    <row r="8011" spans="7:7">
      <c r="G8011" s="149"/>
    </row>
    <row r="8012" spans="7:7">
      <c r="G8012" s="149"/>
    </row>
    <row r="8013" spans="7:7">
      <c r="G8013" s="149"/>
    </row>
    <row r="8014" spans="7:7">
      <c r="G8014" s="149"/>
    </row>
    <row r="8015" spans="7:7">
      <c r="G8015" s="149"/>
    </row>
    <row r="8016" spans="7:7">
      <c r="G8016" s="149"/>
    </row>
    <row r="8017" spans="7:7">
      <c r="G8017" s="149"/>
    </row>
    <row r="8018" spans="7:7">
      <c r="G8018" s="149"/>
    </row>
    <row r="8019" spans="7:7">
      <c r="G8019" s="149"/>
    </row>
    <row r="8020" spans="7:7">
      <c r="G8020" s="149"/>
    </row>
    <row r="8021" spans="7:7">
      <c r="G8021" s="149"/>
    </row>
    <row r="8022" spans="7:7">
      <c r="G8022" s="149"/>
    </row>
    <row r="8023" spans="7:7">
      <c r="G8023" s="149"/>
    </row>
    <row r="8024" spans="7:7">
      <c r="G8024" s="149"/>
    </row>
    <row r="8025" spans="7:7">
      <c r="G8025" s="149"/>
    </row>
    <row r="8026" spans="7:7">
      <c r="G8026" s="149"/>
    </row>
    <row r="8027" spans="7:7">
      <c r="G8027" s="149"/>
    </row>
    <row r="8028" spans="7:7">
      <c r="G8028" s="149"/>
    </row>
    <row r="8029" spans="7:7">
      <c r="G8029" s="149"/>
    </row>
    <row r="8030" spans="7:7">
      <c r="G8030" s="149"/>
    </row>
    <row r="8031" spans="7:7">
      <c r="G8031" s="149"/>
    </row>
    <row r="8032" spans="7:7">
      <c r="G8032" s="149"/>
    </row>
    <row r="8033" spans="7:7">
      <c r="G8033" s="149"/>
    </row>
    <row r="8034" spans="7:7">
      <c r="G8034" s="149"/>
    </row>
    <row r="8035" spans="7:7">
      <c r="G8035" s="149"/>
    </row>
    <row r="8036" spans="7:7">
      <c r="G8036" s="149"/>
    </row>
    <row r="8037" spans="7:7">
      <c r="G8037" s="149"/>
    </row>
    <row r="8038" spans="7:7">
      <c r="G8038" s="149"/>
    </row>
    <row r="8039" spans="7:7">
      <c r="G8039" s="149"/>
    </row>
    <row r="8040" spans="7:7">
      <c r="G8040" s="149"/>
    </row>
    <row r="8041" spans="7:7">
      <c r="G8041" s="149"/>
    </row>
    <row r="8042" spans="7:7">
      <c r="G8042" s="149"/>
    </row>
    <row r="8043" spans="7:7">
      <c r="G8043" s="149"/>
    </row>
    <row r="8044" spans="7:7">
      <c r="G8044" s="149"/>
    </row>
    <row r="8045" spans="7:7">
      <c r="G8045" s="149"/>
    </row>
    <row r="8046" spans="7:7">
      <c r="G8046" s="149"/>
    </row>
    <row r="8047" spans="7:7">
      <c r="G8047" s="149"/>
    </row>
    <row r="8048" spans="7:7">
      <c r="G8048" s="149"/>
    </row>
    <row r="8049" spans="7:7">
      <c r="G8049" s="149"/>
    </row>
    <row r="8050" spans="7:7">
      <c r="G8050" s="149"/>
    </row>
    <row r="8051" spans="7:7">
      <c r="G8051" s="149"/>
    </row>
    <row r="8052" spans="7:7">
      <c r="G8052" s="149"/>
    </row>
    <row r="8053" spans="7:7">
      <c r="G8053" s="149"/>
    </row>
    <row r="8054" spans="7:7">
      <c r="G8054" s="149"/>
    </row>
    <row r="8055" spans="7:7">
      <c r="G8055" s="149"/>
    </row>
    <row r="8056" spans="7:7">
      <c r="G8056" s="149"/>
    </row>
    <row r="8057" spans="7:7">
      <c r="G8057" s="149"/>
    </row>
    <row r="8058" spans="7:7">
      <c r="G8058" s="149"/>
    </row>
    <row r="8059" spans="7:7">
      <c r="G8059" s="149"/>
    </row>
    <row r="8060" spans="7:7">
      <c r="G8060" s="149"/>
    </row>
    <row r="8061" spans="7:7">
      <c r="G8061" s="149"/>
    </row>
    <row r="8062" spans="7:7">
      <c r="G8062" s="149"/>
    </row>
    <row r="8063" spans="7:7">
      <c r="G8063" s="149"/>
    </row>
    <row r="8064" spans="7:7">
      <c r="G8064" s="149"/>
    </row>
    <row r="8065" spans="7:7">
      <c r="G8065" s="149"/>
    </row>
    <row r="8066" spans="7:7">
      <c r="G8066" s="149"/>
    </row>
    <row r="8067" spans="7:7">
      <c r="G8067" s="149"/>
    </row>
    <row r="8068" spans="7:7">
      <c r="G8068" s="149"/>
    </row>
    <row r="8069" spans="7:7">
      <c r="G8069" s="149"/>
    </row>
    <row r="8070" spans="7:7">
      <c r="G8070" s="149"/>
    </row>
    <row r="8071" spans="7:7">
      <c r="G8071" s="149"/>
    </row>
    <row r="8072" spans="7:7">
      <c r="G8072" s="149"/>
    </row>
    <row r="8073" spans="7:7">
      <c r="G8073" s="149"/>
    </row>
    <row r="8074" spans="7:7">
      <c r="G8074" s="149"/>
    </row>
    <row r="8075" spans="7:7">
      <c r="G8075" s="149"/>
    </row>
    <row r="8076" spans="7:7">
      <c r="G8076" s="149"/>
    </row>
    <row r="8077" spans="7:7">
      <c r="G8077" s="149"/>
    </row>
    <row r="8078" spans="7:7">
      <c r="G8078" s="149"/>
    </row>
    <row r="8079" spans="7:7">
      <c r="G8079" s="149"/>
    </row>
    <row r="8080" spans="7:7">
      <c r="G8080" s="149"/>
    </row>
    <row r="8081" spans="7:7">
      <c r="G8081" s="149"/>
    </row>
    <row r="8082" spans="7:7">
      <c r="G8082" s="149"/>
    </row>
    <row r="8083" spans="7:7">
      <c r="G8083" s="149"/>
    </row>
    <row r="8084" spans="7:7">
      <c r="G8084" s="149"/>
    </row>
    <row r="8085" spans="7:7">
      <c r="G8085" s="149"/>
    </row>
    <row r="8086" spans="7:7">
      <c r="G8086" s="149"/>
    </row>
    <row r="8087" spans="7:7">
      <c r="G8087" s="149"/>
    </row>
    <row r="8088" spans="7:7">
      <c r="G8088" s="149"/>
    </row>
    <row r="8089" spans="7:7">
      <c r="G8089" s="149"/>
    </row>
    <row r="8090" spans="7:7">
      <c r="G8090" s="149"/>
    </row>
    <row r="8091" spans="7:7">
      <c r="G8091" s="149"/>
    </row>
    <row r="8092" spans="7:7">
      <c r="G8092" s="149"/>
    </row>
    <row r="8093" spans="7:7">
      <c r="G8093" s="149"/>
    </row>
    <row r="8094" spans="7:7">
      <c r="G8094" s="149"/>
    </row>
    <row r="8095" spans="7:7">
      <c r="G8095" s="149"/>
    </row>
    <row r="8096" spans="7:7">
      <c r="G8096" s="149"/>
    </row>
    <row r="8097" spans="7:7">
      <c r="G8097" s="149"/>
    </row>
    <row r="8098" spans="7:7">
      <c r="G8098" s="149"/>
    </row>
    <row r="8099" spans="7:7">
      <c r="G8099" s="149"/>
    </row>
    <row r="8100" spans="7:7">
      <c r="G8100" s="149"/>
    </row>
    <row r="8101" spans="7:7">
      <c r="G8101" s="149"/>
    </row>
    <row r="8102" spans="7:7">
      <c r="G8102" s="149"/>
    </row>
    <row r="8103" spans="7:7">
      <c r="G8103" s="149"/>
    </row>
    <row r="8104" spans="7:7">
      <c r="G8104" s="149"/>
    </row>
    <row r="8105" spans="7:7">
      <c r="G8105" s="149"/>
    </row>
    <row r="8106" spans="7:7">
      <c r="G8106" s="149"/>
    </row>
    <row r="8107" spans="7:7">
      <c r="G8107" s="149"/>
    </row>
    <row r="8108" spans="7:7">
      <c r="G8108" s="149"/>
    </row>
    <row r="8109" spans="7:7">
      <c r="G8109" s="149"/>
    </row>
    <row r="8110" spans="7:7">
      <c r="G8110" s="149"/>
    </row>
    <row r="8111" spans="7:7">
      <c r="G8111" s="149"/>
    </row>
    <row r="8112" spans="7:7">
      <c r="G8112" s="149"/>
    </row>
    <row r="8113" spans="7:7">
      <c r="G8113" s="149"/>
    </row>
    <row r="8114" spans="7:7">
      <c r="G8114" s="149"/>
    </row>
    <row r="8115" spans="7:7">
      <c r="G8115" s="149"/>
    </row>
    <row r="8116" spans="7:7">
      <c r="G8116" s="149"/>
    </row>
    <row r="8117" spans="7:7">
      <c r="G8117" s="149"/>
    </row>
    <row r="8118" spans="7:7">
      <c r="G8118" s="149"/>
    </row>
    <row r="8119" spans="7:7">
      <c r="G8119" s="149"/>
    </row>
    <row r="8120" spans="7:7">
      <c r="G8120" s="149"/>
    </row>
    <row r="8121" spans="7:7">
      <c r="G8121" s="149"/>
    </row>
    <row r="8122" spans="7:7">
      <c r="G8122" s="149"/>
    </row>
    <row r="8123" spans="7:7">
      <c r="G8123" s="149"/>
    </row>
    <row r="8124" spans="7:7">
      <c r="G8124" s="149"/>
    </row>
    <row r="8125" spans="7:7">
      <c r="G8125" s="149"/>
    </row>
    <row r="8126" spans="7:7">
      <c r="G8126" s="149"/>
    </row>
    <row r="8127" spans="7:7">
      <c r="G8127" s="149"/>
    </row>
    <row r="8128" spans="7:7">
      <c r="G8128" s="149"/>
    </row>
    <row r="8129" spans="7:7">
      <c r="G8129" s="149"/>
    </row>
    <row r="8130" spans="7:7">
      <c r="G8130" s="149"/>
    </row>
    <row r="8131" spans="7:7">
      <c r="G8131" s="149"/>
    </row>
    <row r="8132" spans="7:7">
      <c r="G8132" s="149"/>
    </row>
    <row r="8133" spans="7:7">
      <c r="G8133" s="149"/>
    </row>
    <row r="8134" spans="7:7">
      <c r="G8134" s="149"/>
    </row>
    <row r="8135" spans="7:7">
      <c r="G8135" s="149"/>
    </row>
    <row r="8136" spans="7:7">
      <c r="G8136" s="149"/>
    </row>
    <row r="8137" spans="7:7">
      <c r="G8137" s="149"/>
    </row>
    <row r="8138" spans="7:7">
      <c r="G8138" s="149"/>
    </row>
    <row r="8139" spans="7:7">
      <c r="G8139" s="149"/>
    </row>
    <row r="8140" spans="7:7">
      <c r="G8140" s="149"/>
    </row>
    <row r="8141" spans="7:7">
      <c r="G8141" s="149"/>
    </row>
    <row r="8142" spans="7:7">
      <c r="G8142" s="149"/>
    </row>
    <row r="8143" spans="7:7">
      <c r="G8143" s="149"/>
    </row>
    <row r="8144" spans="7:7">
      <c r="G8144" s="149"/>
    </row>
    <row r="8145" spans="7:7">
      <c r="G8145" s="149"/>
    </row>
    <row r="8146" spans="7:7">
      <c r="G8146" s="149"/>
    </row>
    <row r="8147" spans="7:7">
      <c r="G8147" s="149"/>
    </row>
    <row r="8148" spans="7:7">
      <c r="G8148" s="149"/>
    </row>
    <row r="8149" spans="7:7">
      <c r="G8149" s="149"/>
    </row>
    <row r="8150" spans="7:7">
      <c r="G8150" s="149"/>
    </row>
    <row r="8151" spans="7:7">
      <c r="G8151" s="149"/>
    </row>
    <row r="8152" spans="7:7">
      <c r="G8152" s="149"/>
    </row>
    <row r="8153" spans="7:7">
      <c r="G8153" s="149"/>
    </row>
    <row r="8154" spans="7:7">
      <c r="G8154" s="149"/>
    </row>
    <row r="8155" spans="7:7">
      <c r="G8155" s="149"/>
    </row>
    <row r="8156" spans="7:7">
      <c r="G8156" s="149"/>
    </row>
    <row r="8157" spans="7:7">
      <c r="G8157" s="149"/>
    </row>
    <row r="8158" spans="7:7">
      <c r="G8158" s="149"/>
    </row>
    <row r="8159" spans="7:7">
      <c r="G8159" s="149"/>
    </row>
    <row r="8160" spans="7:7">
      <c r="G8160" s="149"/>
    </row>
    <row r="8161" spans="7:7">
      <c r="G8161" s="149"/>
    </row>
    <row r="8162" spans="7:7">
      <c r="G8162" s="149"/>
    </row>
    <row r="8163" spans="7:7">
      <c r="G8163" s="149"/>
    </row>
    <row r="8164" spans="7:7">
      <c r="G8164" s="149"/>
    </row>
    <row r="8165" spans="7:7">
      <c r="G8165" s="149"/>
    </row>
    <row r="8166" spans="7:7">
      <c r="G8166" s="149"/>
    </row>
    <row r="8167" spans="7:7">
      <c r="G8167" s="149"/>
    </row>
    <row r="8168" spans="7:7">
      <c r="G8168" s="149"/>
    </row>
    <row r="8169" spans="7:7">
      <c r="G8169" s="149"/>
    </row>
    <row r="8170" spans="7:7">
      <c r="G8170" s="149"/>
    </row>
    <row r="8171" spans="7:7">
      <c r="G8171" s="149"/>
    </row>
    <row r="8172" spans="7:7">
      <c r="G8172" s="149"/>
    </row>
    <row r="8173" spans="7:7">
      <c r="G8173" s="149"/>
    </row>
    <row r="8174" spans="7:7">
      <c r="G8174" s="149"/>
    </row>
    <row r="8175" spans="7:7">
      <c r="G8175" s="149"/>
    </row>
    <row r="8176" spans="7:7">
      <c r="G8176" s="149"/>
    </row>
    <row r="8177" spans="7:7">
      <c r="G8177" s="149"/>
    </row>
    <row r="8178" spans="7:7">
      <c r="G8178" s="149"/>
    </row>
    <row r="8179" spans="7:7">
      <c r="G8179" s="149"/>
    </row>
    <row r="8180" spans="7:7">
      <c r="G8180" s="149"/>
    </row>
    <row r="8181" spans="7:7">
      <c r="G8181" s="149"/>
    </row>
    <row r="8182" spans="7:7">
      <c r="G8182" s="149"/>
    </row>
    <row r="8183" spans="7:7">
      <c r="G8183" s="149"/>
    </row>
    <row r="8184" spans="7:7">
      <c r="G8184" s="149"/>
    </row>
    <row r="8185" spans="7:7">
      <c r="G8185" s="149"/>
    </row>
    <row r="8186" spans="7:7">
      <c r="G8186" s="149"/>
    </row>
    <row r="8187" spans="7:7">
      <c r="G8187" s="149"/>
    </row>
    <row r="8188" spans="7:7">
      <c r="G8188" s="149"/>
    </row>
    <row r="8189" spans="7:7">
      <c r="G8189" s="149"/>
    </row>
    <row r="8190" spans="7:7">
      <c r="G8190" s="149"/>
    </row>
    <row r="8191" spans="7:7">
      <c r="G8191" s="149"/>
    </row>
    <row r="8192" spans="7:7">
      <c r="G8192" s="149"/>
    </row>
    <row r="8193" spans="7:7">
      <c r="G8193" s="149"/>
    </row>
    <row r="8194" spans="7:7">
      <c r="G8194" s="149"/>
    </row>
    <row r="8195" spans="7:7">
      <c r="G8195" s="149"/>
    </row>
    <row r="8196" spans="7:7">
      <c r="G8196" s="149"/>
    </row>
    <row r="8197" spans="7:7">
      <c r="G8197" s="149"/>
    </row>
    <row r="8198" spans="7:7">
      <c r="G8198" s="149"/>
    </row>
    <row r="8199" spans="7:7">
      <c r="G8199" s="149"/>
    </row>
    <row r="8200" spans="7:7">
      <c r="G8200" s="149"/>
    </row>
    <row r="8201" spans="7:7">
      <c r="G8201" s="149"/>
    </row>
    <row r="8202" spans="7:7">
      <c r="G8202" s="149"/>
    </row>
    <row r="8203" spans="7:7">
      <c r="G8203" s="149"/>
    </row>
    <row r="8204" spans="7:7">
      <c r="G8204" s="149"/>
    </row>
    <row r="8205" spans="7:7">
      <c r="G8205" s="149"/>
    </row>
    <row r="8206" spans="7:7">
      <c r="G8206" s="149"/>
    </row>
    <row r="8207" spans="7:7">
      <c r="G8207" s="149"/>
    </row>
    <row r="8208" spans="7:7">
      <c r="G8208" s="149"/>
    </row>
    <row r="8209" spans="7:7">
      <c r="G8209" s="149"/>
    </row>
    <row r="8210" spans="7:7">
      <c r="G8210" s="149"/>
    </row>
    <row r="8211" spans="7:7">
      <c r="G8211" s="149"/>
    </row>
    <row r="8212" spans="7:7">
      <c r="G8212" s="149"/>
    </row>
    <row r="8213" spans="7:7">
      <c r="G8213" s="149"/>
    </row>
    <row r="8214" spans="7:7">
      <c r="G8214" s="149"/>
    </row>
    <row r="8215" spans="7:7">
      <c r="G8215" s="149"/>
    </row>
    <row r="8216" spans="7:7">
      <c r="G8216" s="149"/>
    </row>
    <row r="8217" spans="7:7">
      <c r="G8217" s="149"/>
    </row>
    <row r="8218" spans="7:7">
      <c r="G8218" s="149"/>
    </row>
    <row r="8219" spans="7:7">
      <c r="G8219" s="149"/>
    </row>
    <row r="8220" spans="7:7">
      <c r="G8220" s="149"/>
    </row>
    <row r="8221" spans="7:7">
      <c r="G8221" s="149"/>
    </row>
    <row r="8222" spans="7:7">
      <c r="G8222" s="149"/>
    </row>
    <row r="8223" spans="7:7">
      <c r="G8223" s="149"/>
    </row>
    <row r="8224" spans="7:7">
      <c r="G8224" s="149"/>
    </row>
    <row r="8225" spans="7:7">
      <c r="G8225" s="149"/>
    </row>
    <row r="8226" spans="7:7">
      <c r="G8226" s="149"/>
    </row>
    <row r="8227" spans="7:7">
      <c r="G8227" s="149"/>
    </row>
    <row r="8228" spans="7:7">
      <c r="G8228" s="149"/>
    </row>
    <row r="8229" spans="7:7">
      <c r="G8229" s="149"/>
    </row>
    <row r="8230" spans="7:7">
      <c r="G8230" s="149"/>
    </row>
    <row r="8231" spans="7:7">
      <c r="G8231" s="149"/>
    </row>
    <row r="8232" spans="7:7">
      <c r="G8232" s="149"/>
    </row>
    <row r="8233" spans="7:7">
      <c r="G8233" s="149"/>
    </row>
    <row r="8234" spans="7:7">
      <c r="G8234" s="149"/>
    </row>
    <row r="8235" spans="7:7">
      <c r="G8235" s="149"/>
    </row>
    <row r="8236" spans="7:7">
      <c r="G8236" s="149"/>
    </row>
    <row r="8237" spans="7:7">
      <c r="G8237" s="149"/>
    </row>
    <row r="8238" spans="7:7">
      <c r="G8238" s="149"/>
    </row>
    <row r="8239" spans="7:7">
      <c r="G8239" s="149"/>
    </row>
    <row r="8240" spans="7:7">
      <c r="G8240" s="149"/>
    </row>
    <row r="8241" spans="7:7">
      <c r="G8241" s="149"/>
    </row>
    <row r="8242" spans="7:7">
      <c r="G8242" s="149"/>
    </row>
    <row r="8243" spans="7:7">
      <c r="G8243" s="149"/>
    </row>
    <row r="8244" spans="7:7">
      <c r="G8244" s="149"/>
    </row>
    <row r="8245" spans="7:7">
      <c r="G8245" s="149"/>
    </row>
    <row r="8246" spans="7:7">
      <c r="G8246" s="149"/>
    </row>
    <row r="8247" spans="7:7">
      <c r="G8247" s="149"/>
    </row>
    <row r="8248" spans="7:7">
      <c r="G8248" s="149"/>
    </row>
    <row r="8249" spans="7:7">
      <c r="G8249" s="149"/>
    </row>
    <row r="8250" spans="7:7">
      <c r="G8250" s="149"/>
    </row>
    <row r="8251" spans="7:7">
      <c r="G8251" s="149"/>
    </row>
    <row r="8252" spans="7:7">
      <c r="G8252" s="149"/>
    </row>
    <row r="8253" spans="7:7">
      <c r="G8253" s="149"/>
    </row>
    <row r="8254" spans="7:7">
      <c r="G8254" s="149"/>
    </row>
    <row r="8255" spans="7:7">
      <c r="G8255" s="149"/>
    </row>
    <row r="8256" spans="7:7">
      <c r="G8256" s="149"/>
    </row>
    <row r="8257" spans="7:7">
      <c r="G8257" s="149"/>
    </row>
    <row r="8258" spans="7:7">
      <c r="G8258" s="149"/>
    </row>
    <row r="8259" spans="7:7">
      <c r="G8259" s="149"/>
    </row>
    <row r="8260" spans="7:7">
      <c r="G8260" s="149"/>
    </row>
    <row r="8261" spans="7:7">
      <c r="G8261" s="149"/>
    </row>
    <row r="8262" spans="7:7">
      <c r="G8262" s="149"/>
    </row>
    <row r="8263" spans="7:7">
      <c r="G8263" s="149"/>
    </row>
    <row r="8264" spans="7:7">
      <c r="G8264" s="149"/>
    </row>
    <row r="8265" spans="7:7">
      <c r="G8265" s="149"/>
    </row>
    <row r="8266" spans="7:7">
      <c r="G8266" s="149"/>
    </row>
    <row r="8267" spans="7:7">
      <c r="G8267" s="149"/>
    </row>
    <row r="8268" spans="7:7">
      <c r="G8268" s="149"/>
    </row>
    <row r="8269" spans="7:7">
      <c r="G8269" s="149"/>
    </row>
    <row r="8270" spans="7:7">
      <c r="G8270" s="149"/>
    </row>
    <row r="8271" spans="7:7">
      <c r="G8271" s="149"/>
    </row>
    <row r="8272" spans="7:7">
      <c r="G8272" s="149"/>
    </row>
    <row r="8273" spans="7:7">
      <c r="G8273" s="149"/>
    </row>
    <row r="8274" spans="7:7">
      <c r="G8274" s="149"/>
    </row>
    <row r="8275" spans="7:7">
      <c r="G8275" s="149"/>
    </row>
    <row r="8276" spans="7:7">
      <c r="G8276" s="149"/>
    </row>
    <row r="8277" spans="7:7">
      <c r="G8277" s="149"/>
    </row>
    <row r="8278" spans="7:7">
      <c r="G8278" s="149"/>
    </row>
    <row r="8279" spans="7:7">
      <c r="G8279" s="149"/>
    </row>
    <row r="8280" spans="7:7">
      <c r="G8280" s="149"/>
    </row>
    <row r="8281" spans="7:7">
      <c r="G8281" s="149"/>
    </row>
    <row r="8282" spans="7:7">
      <c r="G8282" s="149"/>
    </row>
    <row r="8283" spans="7:7">
      <c r="G8283" s="149"/>
    </row>
    <row r="8284" spans="7:7">
      <c r="G8284" s="149"/>
    </row>
    <row r="8285" spans="7:7">
      <c r="G8285" s="149"/>
    </row>
    <row r="8286" spans="7:7">
      <c r="G8286" s="149"/>
    </row>
    <row r="8287" spans="7:7">
      <c r="G8287" s="149"/>
    </row>
    <row r="8288" spans="7:7">
      <c r="G8288" s="149"/>
    </row>
    <row r="8289" spans="7:7">
      <c r="G8289" s="149"/>
    </row>
    <row r="8290" spans="7:7">
      <c r="G8290" s="149"/>
    </row>
    <row r="8291" spans="7:7">
      <c r="G8291" s="149"/>
    </row>
    <row r="8292" spans="7:7">
      <c r="G8292" s="149"/>
    </row>
    <row r="8293" spans="7:7">
      <c r="G8293" s="149"/>
    </row>
    <row r="8294" spans="7:7">
      <c r="G8294" s="149"/>
    </row>
    <row r="8295" spans="7:7">
      <c r="G8295" s="149"/>
    </row>
    <row r="8296" spans="7:7">
      <c r="G8296" s="149"/>
    </row>
    <row r="8297" spans="7:7">
      <c r="G8297" s="149"/>
    </row>
    <row r="8298" spans="7:7">
      <c r="G8298" s="149"/>
    </row>
    <row r="8299" spans="7:7">
      <c r="G8299" s="149"/>
    </row>
    <row r="8300" spans="7:7">
      <c r="G8300" s="149"/>
    </row>
    <row r="8301" spans="7:7">
      <c r="G8301" s="149"/>
    </row>
    <row r="8302" spans="7:7">
      <c r="G8302" s="149"/>
    </row>
    <row r="8303" spans="7:7">
      <c r="G8303" s="149"/>
    </row>
    <row r="8304" spans="7:7">
      <c r="G8304" s="149"/>
    </row>
    <row r="8305" spans="7:7">
      <c r="G8305" s="149"/>
    </row>
    <row r="8306" spans="7:7">
      <c r="G8306" s="149"/>
    </row>
    <row r="8307" spans="7:7">
      <c r="G8307" s="149"/>
    </row>
    <row r="8308" spans="7:7">
      <c r="G8308" s="149"/>
    </row>
    <row r="8309" spans="7:7">
      <c r="G8309" s="149"/>
    </row>
    <row r="8310" spans="7:7">
      <c r="G8310" s="149"/>
    </row>
    <row r="8311" spans="7:7">
      <c r="G8311" s="149"/>
    </row>
    <row r="8312" spans="7:7">
      <c r="G8312" s="149"/>
    </row>
    <row r="8313" spans="7:7">
      <c r="G8313" s="149"/>
    </row>
    <row r="8314" spans="7:7">
      <c r="G8314" s="149"/>
    </row>
    <row r="8315" spans="7:7">
      <c r="G8315" s="149"/>
    </row>
    <row r="8316" spans="7:7">
      <c r="G8316" s="149"/>
    </row>
    <row r="8317" spans="7:7">
      <c r="G8317" s="149"/>
    </row>
    <row r="8318" spans="7:7">
      <c r="G8318" s="149"/>
    </row>
    <row r="8319" spans="7:7">
      <c r="G8319" s="149"/>
    </row>
    <row r="8320" spans="7:7">
      <c r="G8320" s="149"/>
    </row>
    <row r="8321" spans="7:7">
      <c r="G8321" s="149"/>
    </row>
    <row r="8322" spans="7:7">
      <c r="G8322" s="149"/>
    </row>
    <row r="8323" spans="7:7">
      <c r="G8323" s="149"/>
    </row>
    <row r="8324" spans="7:7">
      <c r="G8324" s="149"/>
    </row>
    <row r="8325" spans="7:7">
      <c r="G8325" s="149"/>
    </row>
    <row r="8326" spans="7:7">
      <c r="G8326" s="149"/>
    </row>
    <row r="8327" spans="7:7">
      <c r="G8327" s="149"/>
    </row>
    <row r="8328" spans="7:7">
      <c r="G8328" s="149"/>
    </row>
    <row r="8329" spans="7:7">
      <c r="G8329" s="149"/>
    </row>
    <row r="8330" spans="7:7">
      <c r="G8330" s="149"/>
    </row>
    <row r="8331" spans="7:7">
      <c r="G8331" s="149"/>
    </row>
    <row r="8332" spans="7:7">
      <c r="G8332" s="149"/>
    </row>
    <row r="8333" spans="7:7">
      <c r="G8333" s="149"/>
    </row>
    <row r="8334" spans="7:7">
      <c r="G8334" s="149"/>
    </row>
    <row r="8335" spans="7:7">
      <c r="G8335" s="149"/>
    </row>
    <row r="8336" spans="7:7">
      <c r="G8336" s="149"/>
    </row>
    <row r="8337" spans="7:7">
      <c r="G8337" s="149"/>
    </row>
    <row r="8338" spans="7:7">
      <c r="G8338" s="149"/>
    </row>
    <row r="8339" spans="7:7">
      <c r="G8339" s="149"/>
    </row>
    <row r="8340" spans="7:7">
      <c r="G8340" s="149"/>
    </row>
    <row r="8341" spans="7:7">
      <c r="G8341" s="149"/>
    </row>
    <row r="8342" spans="7:7">
      <c r="G8342" s="149"/>
    </row>
    <row r="8343" spans="7:7">
      <c r="G8343" s="149"/>
    </row>
    <row r="8344" spans="7:7">
      <c r="G8344" s="149"/>
    </row>
    <row r="8345" spans="7:7">
      <c r="G8345" s="149"/>
    </row>
    <row r="8346" spans="7:7">
      <c r="G8346" s="149"/>
    </row>
    <row r="8347" spans="7:7">
      <c r="G8347" s="149"/>
    </row>
    <row r="8348" spans="7:7">
      <c r="G8348" s="149"/>
    </row>
    <row r="8349" spans="7:7">
      <c r="G8349" s="149"/>
    </row>
    <row r="8350" spans="7:7">
      <c r="G8350" s="149"/>
    </row>
    <row r="8351" spans="7:7">
      <c r="G8351" s="149"/>
    </row>
    <row r="8352" spans="7:7">
      <c r="G8352" s="149"/>
    </row>
    <row r="8353" spans="7:7">
      <c r="G8353" s="149"/>
    </row>
    <row r="8354" spans="7:7">
      <c r="G8354" s="149"/>
    </row>
    <row r="8355" spans="7:7">
      <c r="G8355" s="149"/>
    </row>
    <row r="8356" spans="7:7">
      <c r="G8356" s="149"/>
    </row>
    <row r="8357" spans="7:7">
      <c r="G8357" s="149"/>
    </row>
    <row r="8358" spans="7:7">
      <c r="G8358" s="149"/>
    </row>
    <row r="8359" spans="7:7">
      <c r="G8359" s="149"/>
    </row>
    <row r="8360" spans="7:7">
      <c r="G8360" s="149"/>
    </row>
    <row r="8361" spans="7:7">
      <c r="G8361" s="149"/>
    </row>
    <row r="8362" spans="7:7">
      <c r="G8362" s="149"/>
    </row>
    <row r="8363" spans="7:7">
      <c r="G8363" s="149"/>
    </row>
    <row r="8364" spans="7:7">
      <c r="G8364" s="149"/>
    </row>
    <row r="8365" spans="7:7">
      <c r="G8365" s="149"/>
    </row>
    <row r="8366" spans="7:7">
      <c r="G8366" s="149"/>
    </row>
    <row r="8367" spans="7:7">
      <c r="G8367" s="149"/>
    </row>
    <row r="8368" spans="7:7">
      <c r="G8368" s="149"/>
    </row>
    <row r="8369" spans="7:7">
      <c r="G8369" s="149"/>
    </row>
    <row r="8370" spans="7:7">
      <c r="G8370" s="149"/>
    </row>
    <row r="8371" spans="7:7">
      <c r="G8371" s="149"/>
    </row>
    <row r="8372" spans="7:7">
      <c r="G8372" s="149"/>
    </row>
    <row r="8373" spans="7:7">
      <c r="G8373" s="149"/>
    </row>
    <row r="8374" spans="7:7">
      <c r="G8374" s="149"/>
    </row>
    <row r="8375" spans="7:7">
      <c r="G8375" s="149"/>
    </row>
    <row r="8376" spans="7:7">
      <c r="G8376" s="149"/>
    </row>
    <row r="8377" spans="7:7">
      <c r="G8377" s="149"/>
    </row>
    <row r="8378" spans="7:7">
      <c r="G8378" s="149"/>
    </row>
    <row r="8379" spans="7:7">
      <c r="G8379" s="149"/>
    </row>
    <row r="8380" spans="7:7">
      <c r="G8380" s="149"/>
    </row>
    <row r="8381" spans="7:7">
      <c r="G8381" s="149"/>
    </row>
    <row r="8382" spans="7:7">
      <c r="G8382" s="149"/>
    </row>
    <row r="8383" spans="7:7">
      <c r="G8383" s="149"/>
    </row>
    <row r="8384" spans="7:7">
      <c r="G8384" s="149"/>
    </row>
    <row r="8385" spans="7:7">
      <c r="G8385" s="149"/>
    </row>
    <row r="8386" spans="7:7">
      <c r="G8386" s="149"/>
    </row>
    <row r="8387" spans="7:7">
      <c r="G8387" s="149"/>
    </row>
    <row r="8388" spans="7:7">
      <c r="G8388" s="149"/>
    </row>
    <row r="8389" spans="7:7">
      <c r="G8389" s="149"/>
    </row>
    <row r="8390" spans="7:7">
      <c r="G8390" s="149"/>
    </row>
    <row r="8391" spans="7:7">
      <c r="G8391" s="149"/>
    </row>
    <row r="8392" spans="7:7">
      <c r="G8392" s="149"/>
    </row>
    <row r="8393" spans="7:7">
      <c r="G8393" s="149"/>
    </row>
    <row r="8394" spans="7:7">
      <c r="G8394" s="149"/>
    </row>
    <row r="8395" spans="7:7">
      <c r="G8395" s="149"/>
    </row>
    <row r="8396" spans="7:7">
      <c r="G8396" s="149"/>
    </row>
    <row r="8397" spans="7:7">
      <c r="G8397" s="149"/>
    </row>
    <row r="8398" spans="7:7">
      <c r="G8398" s="149"/>
    </row>
    <row r="8399" spans="7:7">
      <c r="G8399" s="149"/>
    </row>
    <row r="8400" spans="7:7">
      <c r="G8400" s="149"/>
    </row>
    <row r="8401" spans="7:7">
      <c r="G8401" s="149"/>
    </row>
    <row r="8402" spans="7:7">
      <c r="G8402" s="149"/>
    </row>
    <row r="8403" spans="7:7">
      <c r="G8403" s="149"/>
    </row>
    <row r="8404" spans="7:7">
      <c r="G8404" s="149"/>
    </row>
    <row r="8405" spans="7:7">
      <c r="G8405" s="149"/>
    </row>
    <row r="8406" spans="7:7">
      <c r="G8406" s="149"/>
    </row>
    <row r="8407" spans="7:7">
      <c r="G8407" s="149"/>
    </row>
    <row r="8408" spans="7:7">
      <c r="G8408" s="149"/>
    </row>
    <row r="8409" spans="7:7">
      <c r="G8409" s="149"/>
    </row>
    <row r="8410" spans="7:7">
      <c r="G8410" s="149"/>
    </row>
    <row r="8411" spans="7:7">
      <c r="G8411" s="149"/>
    </row>
    <row r="8412" spans="7:7">
      <c r="G8412" s="149"/>
    </row>
    <row r="8413" spans="7:7">
      <c r="G8413" s="149"/>
    </row>
    <row r="8414" spans="7:7">
      <c r="G8414" s="149"/>
    </row>
    <row r="8415" spans="7:7">
      <c r="G8415" s="149"/>
    </row>
    <row r="8416" spans="7:7">
      <c r="G8416" s="149"/>
    </row>
    <row r="8417" spans="7:7">
      <c r="G8417" s="149"/>
    </row>
    <row r="8418" spans="7:7">
      <c r="G8418" s="149"/>
    </row>
    <row r="8419" spans="7:7">
      <c r="G8419" s="149"/>
    </row>
    <row r="8420" spans="7:7">
      <c r="G8420" s="149"/>
    </row>
    <row r="8421" spans="7:7">
      <c r="G8421" s="149"/>
    </row>
    <row r="8422" spans="7:7">
      <c r="G8422" s="149"/>
    </row>
    <row r="8423" spans="7:7">
      <c r="G8423" s="149"/>
    </row>
    <row r="8424" spans="7:7">
      <c r="G8424" s="149"/>
    </row>
    <row r="8425" spans="7:7">
      <c r="G8425" s="149"/>
    </row>
    <row r="8426" spans="7:7">
      <c r="G8426" s="149"/>
    </row>
    <row r="8427" spans="7:7">
      <c r="G8427" s="149"/>
    </row>
    <row r="8428" spans="7:7">
      <c r="G8428" s="149"/>
    </row>
    <row r="8429" spans="7:7">
      <c r="G8429" s="149"/>
    </row>
    <row r="8430" spans="7:7">
      <c r="G8430" s="149"/>
    </row>
    <row r="8431" spans="7:7">
      <c r="G8431" s="149"/>
    </row>
    <row r="8432" spans="7:7">
      <c r="G8432" s="149"/>
    </row>
    <row r="8433" spans="7:7">
      <c r="G8433" s="149"/>
    </row>
    <row r="8434" spans="7:7">
      <c r="G8434" s="149"/>
    </row>
    <row r="8435" spans="7:7">
      <c r="G8435" s="149"/>
    </row>
    <row r="8436" spans="7:7">
      <c r="G8436" s="149"/>
    </row>
    <row r="8437" spans="7:7">
      <c r="G8437" s="149"/>
    </row>
    <row r="8438" spans="7:7">
      <c r="G8438" s="149"/>
    </row>
    <row r="8439" spans="7:7">
      <c r="G8439" s="149"/>
    </row>
    <row r="8440" spans="7:7">
      <c r="G8440" s="149"/>
    </row>
    <row r="8441" spans="7:7">
      <c r="G8441" s="149"/>
    </row>
    <row r="8442" spans="7:7">
      <c r="G8442" s="149"/>
    </row>
    <row r="8443" spans="7:7">
      <c r="G8443" s="149"/>
    </row>
    <row r="8444" spans="7:7">
      <c r="G8444" s="149"/>
    </row>
    <row r="8445" spans="7:7">
      <c r="G8445" s="149"/>
    </row>
    <row r="8446" spans="7:7">
      <c r="G8446" s="149"/>
    </row>
    <row r="8447" spans="7:7">
      <c r="G8447" s="149"/>
    </row>
    <row r="8448" spans="7:7">
      <c r="G8448" s="149"/>
    </row>
    <row r="8449" spans="7:7">
      <c r="G8449" s="149"/>
    </row>
    <row r="8450" spans="7:7">
      <c r="G8450" s="149"/>
    </row>
    <row r="8451" spans="7:7">
      <c r="G8451" s="149"/>
    </row>
    <row r="8452" spans="7:7">
      <c r="G8452" s="149"/>
    </row>
    <row r="8453" spans="7:7">
      <c r="G8453" s="149"/>
    </row>
    <row r="8454" spans="7:7">
      <c r="G8454" s="149"/>
    </row>
    <row r="8455" spans="7:7">
      <c r="G8455" s="149"/>
    </row>
    <row r="8456" spans="7:7">
      <c r="G8456" s="149"/>
    </row>
    <row r="8457" spans="7:7">
      <c r="G8457" s="149"/>
    </row>
    <row r="8458" spans="7:7">
      <c r="G8458" s="149"/>
    </row>
    <row r="8459" spans="7:7">
      <c r="G8459" s="149"/>
    </row>
    <row r="8460" spans="7:7">
      <c r="G8460" s="149"/>
    </row>
    <row r="8461" spans="7:7">
      <c r="G8461" s="149"/>
    </row>
    <row r="8462" spans="7:7">
      <c r="G8462" s="149"/>
    </row>
    <row r="8463" spans="7:7">
      <c r="G8463" s="149"/>
    </row>
    <row r="8464" spans="7:7">
      <c r="G8464" s="149"/>
    </row>
    <row r="8465" spans="7:7">
      <c r="G8465" s="149"/>
    </row>
    <row r="8466" spans="7:7">
      <c r="G8466" s="149"/>
    </row>
    <row r="8467" spans="7:7">
      <c r="G8467" s="149"/>
    </row>
    <row r="8468" spans="7:7">
      <c r="G8468" s="149"/>
    </row>
    <row r="8469" spans="7:7">
      <c r="G8469" s="149"/>
    </row>
    <row r="8470" spans="7:7">
      <c r="G8470" s="149"/>
    </row>
    <row r="8471" spans="7:7">
      <c r="G8471" s="149"/>
    </row>
    <row r="8472" spans="7:7">
      <c r="G8472" s="149"/>
    </row>
    <row r="8473" spans="7:7">
      <c r="G8473" s="149"/>
    </row>
    <row r="8474" spans="7:7">
      <c r="G8474" s="149"/>
    </row>
    <row r="8475" spans="7:7">
      <c r="G8475" s="149"/>
    </row>
    <row r="8476" spans="7:7">
      <c r="G8476" s="149"/>
    </row>
    <row r="8477" spans="7:7">
      <c r="G8477" s="149"/>
    </row>
    <row r="8478" spans="7:7">
      <c r="G8478" s="149"/>
    </row>
    <row r="8479" spans="7:7">
      <c r="G8479" s="149"/>
    </row>
    <row r="8480" spans="7:7">
      <c r="G8480" s="149"/>
    </row>
    <row r="8481" spans="7:7">
      <c r="G8481" s="149"/>
    </row>
    <row r="8482" spans="7:7">
      <c r="G8482" s="149"/>
    </row>
    <row r="8483" spans="7:7">
      <c r="G8483" s="149"/>
    </row>
    <row r="8484" spans="7:7">
      <c r="G8484" s="149"/>
    </row>
    <row r="8485" spans="7:7">
      <c r="G8485" s="149"/>
    </row>
    <row r="8486" spans="7:7">
      <c r="G8486" s="149"/>
    </row>
    <row r="8487" spans="7:7">
      <c r="G8487" s="149"/>
    </row>
    <row r="8488" spans="7:7">
      <c r="G8488" s="149"/>
    </row>
    <row r="8489" spans="7:7">
      <c r="G8489" s="149"/>
    </row>
    <row r="8490" spans="7:7">
      <c r="G8490" s="149"/>
    </row>
    <row r="8491" spans="7:7">
      <c r="G8491" s="149"/>
    </row>
    <row r="8492" spans="7:7">
      <c r="G8492" s="149"/>
    </row>
    <row r="8493" spans="7:7">
      <c r="G8493" s="149"/>
    </row>
    <row r="8494" spans="7:7">
      <c r="G8494" s="149"/>
    </row>
    <row r="8495" spans="7:7">
      <c r="G8495" s="149"/>
    </row>
    <row r="8496" spans="7:7">
      <c r="G8496" s="149"/>
    </row>
    <row r="8497" spans="7:7">
      <c r="G8497" s="149"/>
    </row>
    <row r="8498" spans="7:7">
      <c r="G8498" s="149"/>
    </row>
    <row r="8499" spans="7:7">
      <c r="G8499" s="149"/>
    </row>
    <row r="8500" spans="7:7">
      <c r="G8500" s="149"/>
    </row>
    <row r="8501" spans="7:7">
      <c r="G8501" s="149"/>
    </row>
    <row r="8502" spans="7:7">
      <c r="G8502" s="149"/>
    </row>
    <row r="8503" spans="7:7">
      <c r="G8503" s="149"/>
    </row>
    <row r="8504" spans="7:7">
      <c r="G8504" s="149"/>
    </row>
    <row r="8505" spans="7:7">
      <c r="G8505" s="149"/>
    </row>
    <row r="8506" spans="7:7">
      <c r="G8506" s="149"/>
    </row>
    <row r="8507" spans="7:7">
      <c r="G8507" s="149"/>
    </row>
    <row r="8508" spans="7:7">
      <c r="G8508" s="149"/>
    </row>
    <row r="8509" spans="7:7">
      <c r="G8509" s="149"/>
    </row>
    <row r="8510" spans="7:7">
      <c r="G8510" s="149"/>
    </row>
    <row r="8511" spans="7:7">
      <c r="G8511" s="149"/>
    </row>
    <row r="8512" spans="7:7">
      <c r="G8512" s="149"/>
    </row>
    <row r="8513" spans="7:7">
      <c r="G8513" s="149"/>
    </row>
    <row r="8514" spans="7:7">
      <c r="G8514" s="149"/>
    </row>
    <row r="8515" spans="7:7">
      <c r="G8515" s="149"/>
    </row>
    <row r="8516" spans="7:7">
      <c r="G8516" s="149"/>
    </row>
    <row r="8517" spans="7:7">
      <c r="G8517" s="149"/>
    </row>
    <row r="8518" spans="7:7">
      <c r="G8518" s="149"/>
    </row>
    <row r="8519" spans="7:7">
      <c r="G8519" s="149"/>
    </row>
    <row r="8520" spans="7:7">
      <c r="G8520" s="149"/>
    </row>
    <row r="8521" spans="7:7">
      <c r="G8521" s="149"/>
    </row>
    <row r="8522" spans="7:7">
      <c r="G8522" s="149"/>
    </row>
    <row r="8523" spans="7:7">
      <c r="G8523" s="149"/>
    </row>
    <row r="8524" spans="7:7">
      <c r="G8524" s="149"/>
    </row>
    <row r="8525" spans="7:7">
      <c r="G8525" s="149"/>
    </row>
    <row r="8526" spans="7:7">
      <c r="G8526" s="149"/>
    </row>
    <row r="8527" spans="7:7">
      <c r="G8527" s="149"/>
    </row>
    <row r="8528" spans="7:7">
      <c r="G8528" s="149"/>
    </row>
    <row r="8529" spans="7:7">
      <c r="G8529" s="149"/>
    </row>
    <row r="8530" spans="7:7">
      <c r="G8530" s="149"/>
    </row>
    <row r="8531" spans="7:7">
      <c r="G8531" s="149"/>
    </row>
    <row r="8532" spans="7:7">
      <c r="G8532" s="149"/>
    </row>
    <row r="8533" spans="7:7">
      <c r="G8533" s="149"/>
    </row>
    <row r="8534" spans="7:7">
      <c r="G8534" s="149"/>
    </row>
    <row r="8535" spans="7:7">
      <c r="G8535" s="149"/>
    </row>
    <row r="8536" spans="7:7">
      <c r="G8536" s="149"/>
    </row>
    <row r="8537" spans="7:7">
      <c r="G8537" s="149"/>
    </row>
    <row r="8538" spans="7:7">
      <c r="G8538" s="149"/>
    </row>
    <row r="8539" spans="7:7">
      <c r="G8539" s="149"/>
    </row>
    <row r="8540" spans="7:7">
      <c r="G8540" s="149"/>
    </row>
    <row r="8541" spans="7:7">
      <c r="G8541" s="149"/>
    </row>
    <row r="8542" spans="7:7">
      <c r="G8542" s="149"/>
    </row>
    <row r="8543" spans="7:7">
      <c r="G8543" s="149"/>
    </row>
    <row r="8544" spans="7:7">
      <c r="G8544" s="149"/>
    </row>
    <row r="8545" spans="7:7">
      <c r="G8545" s="149"/>
    </row>
    <row r="8546" spans="7:7">
      <c r="G8546" s="149"/>
    </row>
    <row r="8547" spans="7:7">
      <c r="G8547" s="149"/>
    </row>
    <row r="8548" spans="7:7">
      <c r="G8548" s="149"/>
    </row>
    <row r="8549" spans="7:7">
      <c r="G8549" s="149"/>
    </row>
    <row r="8550" spans="7:7">
      <c r="G8550" s="149"/>
    </row>
    <row r="8551" spans="7:7">
      <c r="G8551" s="149"/>
    </row>
    <row r="8552" spans="7:7">
      <c r="G8552" s="149"/>
    </row>
    <row r="8553" spans="7:7">
      <c r="G8553" s="149"/>
    </row>
    <row r="8554" spans="7:7">
      <c r="G8554" s="149"/>
    </row>
    <row r="8555" spans="7:7">
      <c r="G8555" s="149"/>
    </row>
    <row r="8556" spans="7:7">
      <c r="G8556" s="149"/>
    </row>
    <row r="8557" spans="7:7">
      <c r="G8557" s="149"/>
    </row>
    <row r="8558" spans="7:7">
      <c r="G8558" s="149"/>
    </row>
    <row r="8559" spans="7:7">
      <c r="G8559" s="149"/>
    </row>
    <row r="8560" spans="7:7">
      <c r="G8560" s="149"/>
    </row>
    <row r="8561" spans="7:7">
      <c r="G8561" s="149"/>
    </row>
    <row r="8562" spans="7:7">
      <c r="G8562" s="149"/>
    </row>
    <row r="8563" spans="7:7">
      <c r="G8563" s="149"/>
    </row>
    <row r="8564" spans="7:7">
      <c r="G8564" s="149"/>
    </row>
    <row r="8565" spans="7:7">
      <c r="G8565" s="149"/>
    </row>
    <row r="8566" spans="7:7">
      <c r="G8566" s="149"/>
    </row>
    <row r="8567" spans="7:7">
      <c r="G8567" s="149"/>
    </row>
    <row r="8568" spans="7:7">
      <c r="G8568" s="149"/>
    </row>
    <row r="8569" spans="7:7">
      <c r="G8569" s="149"/>
    </row>
    <row r="8570" spans="7:7">
      <c r="G8570" s="149"/>
    </row>
    <row r="8571" spans="7:7">
      <c r="G8571" s="149"/>
    </row>
    <row r="8572" spans="7:7">
      <c r="G8572" s="149"/>
    </row>
    <row r="8573" spans="7:7">
      <c r="G8573" s="149"/>
    </row>
    <row r="8574" spans="7:7">
      <c r="G8574" s="149"/>
    </row>
    <row r="8575" spans="7:7">
      <c r="G8575" s="149"/>
    </row>
    <row r="8576" spans="7:7">
      <c r="G8576" s="149"/>
    </row>
    <row r="8577" spans="7:7">
      <c r="G8577" s="149"/>
    </row>
    <row r="8578" spans="7:7">
      <c r="G8578" s="149"/>
    </row>
    <row r="8579" spans="7:7">
      <c r="G8579" s="149"/>
    </row>
    <row r="8580" spans="7:7">
      <c r="G8580" s="149"/>
    </row>
    <row r="8581" spans="7:7">
      <c r="G8581" s="149"/>
    </row>
    <row r="8582" spans="7:7">
      <c r="G8582" s="149"/>
    </row>
    <row r="8583" spans="7:7">
      <c r="G8583" s="149"/>
    </row>
    <row r="8584" spans="7:7">
      <c r="G8584" s="149"/>
    </row>
    <row r="8585" spans="7:7">
      <c r="G8585" s="149"/>
    </row>
    <row r="8586" spans="7:7">
      <c r="G8586" s="149"/>
    </row>
    <row r="8587" spans="7:7">
      <c r="G8587" s="149"/>
    </row>
    <row r="8588" spans="7:7">
      <c r="G8588" s="149"/>
    </row>
    <row r="8589" spans="7:7">
      <c r="G8589" s="149"/>
    </row>
    <row r="8590" spans="7:7">
      <c r="G8590" s="149"/>
    </row>
    <row r="8591" spans="7:7">
      <c r="G8591" s="149"/>
    </row>
    <row r="8592" spans="7:7">
      <c r="G8592" s="149"/>
    </row>
    <row r="8593" spans="7:7">
      <c r="G8593" s="149"/>
    </row>
    <row r="8594" spans="7:7">
      <c r="G8594" s="149"/>
    </row>
    <row r="8595" spans="7:7">
      <c r="G8595" s="149"/>
    </row>
    <row r="8596" spans="7:7">
      <c r="G8596" s="149"/>
    </row>
    <row r="8597" spans="7:7">
      <c r="G8597" s="149"/>
    </row>
    <row r="8598" spans="7:7">
      <c r="G8598" s="149"/>
    </row>
    <row r="8599" spans="7:7">
      <c r="G8599" s="149"/>
    </row>
    <row r="8600" spans="7:7">
      <c r="G8600" s="149"/>
    </row>
    <row r="8601" spans="7:7">
      <c r="G8601" s="149"/>
    </row>
    <row r="8602" spans="7:7">
      <c r="G8602" s="149"/>
    </row>
    <row r="8603" spans="7:7">
      <c r="G8603" s="149"/>
    </row>
    <row r="8604" spans="7:7">
      <c r="G8604" s="149"/>
    </row>
    <row r="8605" spans="7:7">
      <c r="G8605" s="149"/>
    </row>
    <row r="8606" spans="7:7">
      <c r="G8606" s="149"/>
    </row>
    <row r="8607" spans="7:7">
      <c r="G8607" s="149"/>
    </row>
    <row r="8608" spans="7:7">
      <c r="G8608" s="149"/>
    </row>
    <row r="8609" spans="7:7">
      <c r="G8609" s="149"/>
    </row>
    <row r="8610" spans="7:7">
      <c r="G8610" s="149"/>
    </row>
    <row r="8611" spans="7:7">
      <c r="G8611" s="149"/>
    </row>
    <row r="8612" spans="7:7">
      <c r="G8612" s="149"/>
    </row>
    <row r="8613" spans="7:7">
      <c r="G8613" s="149"/>
    </row>
    <row r="8614" spans="7:7">
      <c r="G8614" s="149"/>
    </row>
    <row r="8615" spans="7:7">
      <c r="G8615" s="149"/>
    </row>
    <row r="8616" spans="7:7">
      <c r="G8616" s="149"/>
    </row>
    <row r="8617" spans="7:7">
      <c r="G8617" s="149"/>
    </row>
    <row r="8618" spans="7:7">
      <c r="G8618" s="149"/>
    </row>
    <row r="8619" spans="7:7">
      <c r="G8619" s="149"/>
    </row>
    <row r="8620" spans="7:7">
      <c r="G8620" s="149"/>
    </row>
    <row r="8621" spans="7:7">
      <c r="G8621" s="149"/>
    </row>
    <row r="8622" spans="7:7">
      <c r="G8622" s="149"/>
    </row>
    <row r="8623" spans="7:7">
      <c r="G8623" s="149"/>
    </row>
    <row r="8624" spans="7:7">
      <c r="G8624" s="149"/>
    </row>
    <row r="8625" spans="7:7">
      <c r="G8625" s="149"/>
    </row>
    <row r="8626" spans="7:7">
      <c r="G8626" s="149"/>
    </row>
    <row r="8627" spans="7:7">
      <c r="G8627" s="149"/>
    </row>
    <row r="8628" spans="7:7">
      <c r="G8628" s="149"/>
    </row>
    <row r="8629" spans="7:7">
      <c r="G8629" s="149"/>
    </row>
    <row r="8630" spans="7:7">
      <c r="G8630" s="149"/>
    </row>
    <row r="8631" spans="7:7">
      <c r="G8631" s="149"/>
    </row>
    <row r="8632" spans="7:7">
      <c r="G8632" s="149"/>
    </row>
    <row r="8633" spans="7:7">
      <c r="G8633" s="149"/>
    </row>
    <row r="8634" spans="7:7">
      <c r="G8634" s="149"/>
    </row>
    <row r="8635" spans="7:7">
      <c r="G8635" s="149"/>
    </row>
    <row r="8636" spans="7:7">
      <c r="G8636" s="149"/>
    </row>
    <row r="8637" spans="7:7">
      <c r="G8637" s="149"/>
    </row>
    <row r="8638" spans="7:7">
      <c r="G8638" s="149"/>
    </row>
    <row r="8639" spans="7:7">
      <c r="G8639" s="149"/>
    </row>
    <row r="8640" spans="7:7">
      <c r="G8640" s="149"/>
    </row>
    <row r="8641" spans="7:7">
      <c r="G8641" s="149"/>
    </row>
    <row r="8642" spans="7:7">
      <c r="G8642" s="149"/>
    </row>
    <row r="8643" spans="7:7">
      <c r="G8643" s="149"/>
    </row>
    <row r="8644" spans="7:7">
      <c r="G8644" s="149"/>
    </row>
    <row r="8645" spans="7:7">
      <c r="G8645" s="149"/>
    </row>
    <row r="8646" spans="7:7">
      <c r="G8646" s="149"/>
    </row>
    <row r="8647" spans="7:7">
      <c r="G8647" s="149"/>
    </row>
    <row r="8648" spans="7:7">
      <c r="G8648" s="149"/>
    </row>
    <row r="8649" spans="7:7">
      <c r="G8649" s="149"/>
    </row>
    <row r="8650" spans="7:7">
      <c r="G8650" s="149"/>
    </row>
    <row r="8651" spans="7:7">
      <c r="G8651" s="149"/>
    </row>
    <row r="8652" spans="7:7">
      <c r="G8652" s="149"/>
    </row>
    <row r="8653" spans="7:7">
      <c r="G8653" s="149"/>
    </row>
    <row r="8654" spans="7:7">
      <c r="G8654" s="149"/>
    </row>
    <row r="8655" spans="7:7">
      <c r="G8655" s="149"/>
    </row>
    <row r="8656" spans="7:7">
      <c r="G8656" s="149"/>
    </row>
    <row r="8657" spans="7:7">
      <c r="G8657" s="149"/>
    </row>
    <row r="8658" spans="7:7">
      <c r="G8658" s="149"/>
    </row>
    <row r="8659" spans="7:7">
      <c r="G8659" s="149"/>
    </row>
    <row r="8660" spans="7:7">
      <c r="G8660" s="149"/>
    </row>
    <row r="8661" spans="7:7">
      <c r="G8661" s="149"/>
    </row>
    <row r="8662" spans="7:7">
      <c r="G8662" s="149"/>
    </row>
    <row r="8663" spans="7:7">
      <c r="G8663" s="149"/>
    </row>
    <row r="8664" spans="7:7">
      <c r="G8664" s="149"/>
    </row>
    <row r="8665" spans="7:7">
      <c r="G8665" s="149"/>
    </row>
    <row r="8666" spans="7:7">
      <c r="G8666" s="149"/>
    </row>
    <row r="8667" spans="7:7">
      <c r="G8667" s="149"/>
    </row>
    <row r="8668" spans="7:7">
      <c r="G8668" s="149"/>
    </row>
    <row r="8669" spans="7:7">
      <c r="G8669" s="149"/>
    </row>
    <row r="8670" spans="7:7">
      <c r="G8670" s="149"/>
    </row>
    <row r="8671" spans="7:7">
      <c r="G8671" s="149"/>
    </row>
    <row r="8672" spans="7:7">
      <c r="G8672" s="149"/>
    </row>
    <row r="8673" spans="7:7">
      <c r="G8673" s="149"/>
    </row>
    <row r="8674" spans="7:7">
      <c r="G8674" s="149"/>
    </row>
    <row r="8675" spans="7:7">
      <c r="G8675" s="149"/>
    </row>
    <row r="8676" spans="7:7">
      <c r="G8676" s="149"/>
    </row>
    <row r="8677" spans="7:7">
      <c r="G8677" s="149"/>
    </row>
    <row r="8678" spans="7:7">
      <c r="G8678" s="149"/>
    </row>
    <row r="8679" spans="7:7">
      <c r="G8679" s="149"/>
    </row>
    <row r="8680" spans="7:7">
      <c r="G8680" s="149"/>
    </row>
    <row r="8681" spans="7:7">
      <c r="G8681" s="149"/>
    </row>
    <row r="8682" spans="7:7">
      <c r="G8682" s="149"/>
    </row>
    <row r="8683" spans="7:7">
      <c r="G8683" s="149"/>
    </row>
    <row r="8684" spans="7:7">
      <c r="G8684" s="149"/>
    </row>
    <row r="8685" spans="7:7">
      <c r="G8685" s="149"/>
    </row>
    <row r="8686" spans="7:7">
      <c r="G8686" s="149"/>
    </row>
    <row r="8687" spans="7:7">
      <c r="G8687" s="149"/>
    </row>
    <row r="8688" spans="7:7">
      <c r="G8688" s="149"/>
    </row>
    <row r="8689" spans="7:7">
      <c r="G8689" s="149"/>
    </row>
    <row r="8690" spans="7:7">
      <c r="G8690" s="149"/>
    </row>
    <row r="8691" spans="7:7">
      <c r="G8691" s="149"/>
    </row>
    <row r="8692" spans="7:7">
      <c r="G8692" s="149"/>
    </row>
    <row r="8693" spans="7:7">
      <c r="G8693" s="149"/>
    </row>
    <row r="8694" spans="7:7">
      <c r="G8694" s="149"/>
    </row>
    <row r="8695" spans="7:7">
      <c r="G8695" s="149"/>
    </row>
    <row r="8696" spans="7:7">
      <c r="G8696" s="149"/>
    </row>
    <row r="8697" spans="7:7">
      <c r="G8697" s="149"/>
    </row>
    <row r="8698" spans="7:7">
      <c r="G8698" s="149"/>
    </row>
    <row r="8699" spans="7:7">
      <c r="G8699" s="149"/>
    </row>
    <row r="8700" spans="7:7">
      <c r="G8700" s="149"/>
    </row>
    <row r="8701" spans="7:7">
      <c r="G8701" s="149"/>
    </row>
    <row r="8702" spans="7:7">
      <c r="G8702" s="149"/>
    </row>
    <row r="8703" spans="7:7">
      <c r="G8703" s="149"/>
    </row>
    <row r="8704" spans="7:7">
      <c r="G8704" s="149"/>
    </row>
    <row r="8705" spans="7:7">
      <c r="G8705" s="149"/>
    </row>
    <row r="8706" spans="7:7">
      <c r="G8706" s="149"/>
    </row>
    <row r="8707" spans="7:7">
      <c r="G8707" s="149"/>
    </row>
    <row r="8708" spans="7:7">
      <c r="G8708" s="149"/>
    </row>
    <row r="8709" spans="7:7">
      <c r="G8709" s="149"/>
    </row>
    <row r="8710" spans="7:7">
      <c r="G8710" s="149"/>
    </row>
    <row r="8711" spans="7:7">
      <c r="G8711" s="149"/>
    </row>
    <row r="8712" spans="7:7">
      <c r="G8712" s="149"/>
    </row>
    <row r="8713" spans="7:7">
      <c r="G8713" s="149"/>
    </row>
    <row r="8714" spans="7:7">
      <c r="G8714" s="149"/>
    </row>
    <row r="8715" spans="7:7">
      <c r="G8715" s="149"/>
    </row>
    <row r="8716" spans="7:7">
      <c r="G8716" s="149"/>
    </row>
    <row r="8717" spans="7:7">
      <c r="G8717" s="149"/>
    </row>
    <row r="8718" spans="7:7">
      <c r="G8718" s="149"/>
    </row>
    <row r="8719" spans="7:7">
      <c r="G8719" s="149"/>
    </row>
    <row r="8720" spans="7:7">
      <c r="G8720" s="149"/>
    </row>
    <row r="8721" spans="7:7">
      <c r="G8721" s="149"/>
    </row>
    <row r="8722" spans="7:7">
      <c r="G8722" s="149"/>
    </row>
    <row r="8723" spans="7:7">
      <c r="G8723" s="149"/>
    </row>
    <row r="8724" spans="7:7">
      <c r="G8724" s="149"/>
    </row>
    <row r="8725" spans="7:7">
      <c r="G8725" s="149"/>
    </row>
    <row r="8726" spans="7:7">
      <c r="G8726" s="149"/>
    </row>
    <row r="8727" spans="7:7">
      <c r="G8727" s="149"/>
    </row>
    <row r="8728" spans="7:7">
      <c r="G8728" s="149"/>
    </row>
    <row r="8729" spans="7:7">
      <c r="G8729" s="149"/>
    </row>
    <row r="8730" spans="7:7">
      <c r="G8730" s="149"/>
    </row>
    <row r="8731" spans="7:7">
      <c r="G8731" s="149"/>
    </row>
    <row r="8732" spans="7:7">
      <c r="G8732" s="149"/>
    </row>
    <row r="8733" spans="7:7">
      <c r="G8733" s="149"/>
    </row>
    <row r="8734" spans="7:7">
      <c r="G8734" s="149"/>
    </row>
    <row r="8735" spans="7:7">
      <c r="G8735" s="149"/>
    </row>
    <row r="8736" spans="7:7">
      <c r="G8736" s="149"/>
    </row>
    <row r="8737" spans="7:7">
      <c r="G8737" s="149"/>
    </row>
    <row r="8738" spans="7:7">
      <c r="G8738" s="149"/>
    </row>
    <row r="8739" spans="7:7">
      <c r="G8739" s="149"/>
    </row>
    <row r="8740" spans="7:7">
      <c r="G8740" s="149"/>
    </row>
    <row r="8741" spans="7:7">
      <c r="G8741" s="149"/>
    </row>
    <row r="8742" spans="7:7">
      <c r="G8742" s="149"/>
    </row>
    <row r="8743" spans="7:7">
      <c r="G8743" s="149"/>
    </row>
    <row r="8744" spans="7:7">
      <c r="G8744" s="149"/>
    </row>
    <row r="8745" spans="7:7">
      <c r="G8745" s="149"/>
    </row>
    <row r="8746" spans="7:7">
      <c r="G8746" s="149"/>
    </row>
    <row r="8747" spans="7:7">
      <c r="G8747" s="149"/>
    </row>
    <row r="8748" spans="7:7">
      <c r="G8748" s="149"/>
    </row>
    <row r="8749" spans="7:7">
      <c r="G8749" s="149"/>
    </row>
    <row r="8750" spans="7:7">
      <c r="G8750" s="149"/>
    </row>
    <row r="8751" spans="7:7">
      <c r="G8751" s="149"/>
    </row>
    <row r="8752" spans="7:7">
      <c r="G8752" s="149"/>
    </row>
    <row r="8753" spans="7:7">
      <c r="G8753" s="149"/>
    </row>
    <row r="8754" spans="7:7">
      <c r="G8754" s="149"/>
    </row>
    <row r="8755" spans="7:7">
      <c r="G8755" s="149"/>
    </row>
    <row r="8756" spans="7:7">
      <c r="G8756" s="149"/>
    </row>
    <row r="8757" spans="7:7">
      <c r="G8757" s="149"/>
    </row>
    <row r="8758" spans="7:7">
      <c r="G8758" s="149"/>
    </row>
    <row r="8759" spans="7:7">
      <c r="G8759" s="149"/>
    </row>
    <row r="8760" spans="7:7">
      <c r="G8760" s="149"/>
    </row>
    <row r="8761" spans="7:7">
      <c r="G8761" s="149"/>
    </row>
    <row r="8762" spans="7:7">
      <c r="G8762" s="149"/>
    </row>
    <row r="8763" spans="7:7">
      <c r="G8763" s="149"/>
    </row>
    <row r="8764" spans="7:7">
      <c r="G8764" s="149"/>
    </row>
    <row r="8765" spans="7:7">
      <c r="G8765" s="149"/>
    </row>
    <row r="8766" spans="7:7">
      <c r="G8766" s="149"/>
    </row>
    <row r="8767" spans="7:7">
      <c r="G8767" s="149"/>
    </row>
    <row r="8768" spans="7:7">
      <c r="G8768" s="149"/>
    </row>
    <row r="8769" spans="7:7">
      <c r="G8769" s="149"/>
    </row>
    <row r="8770" spans="7:7">
      <c r="G8770" s="149"/>
    </row>
    <row r="8771" spans="7:7">
      <c r="G8771" s="149"/>
    </row>
    <row r="8772" spans="7:7">
      <c r="G8772" s="149"/>
    </row>
    <row r="8773" spans="7:7">
      <c r="G8773" s="149"/>
    </row>
    <row r="8774" spans="7:7">
      <c r="G8774" s="149"/>
    </row>
    <row r="8775" spans="7:7">
      <c r="G8775" s="149"/>
    </row>
    <row r="8776" spans="7:7">
      <c r="G8776" s="149"/>
    </row>
    <row r="8777" spans="7:7">
      <c r="G8777" s="149"/>
    </row>
    <row r="8778" spans="7:7">
      <c r="G8778" s="149"/>
    </row>
    <row r="8779" spans="7:7">
      <c r="G8779" s="149"/>
    </row>
    <row r="8780" spans="7:7">
      <c r="G8780" s="149"/>
    </row>
    <row r="8781" spans="7:7">
      <c r="G8781" s="149"/>
    </row>
    <row r="8782" spans="7:7">
      <c r="G8782" s="149"/>
    </row>
    <row r="8783" spans="7:7">
      <c r="G8783" s="149"/>
    </row>
    <row r="8784" spans="7:7">
      <c r="G8784" s="149"/>
    </row>
    <row r="8785" spans="7:7">
      <c r="G8785" s="149"/>
    </row>
    <row r="8786" spans="7:7">
      <c r="G8786" s="149"/>
    </row>
    <row r="8787" spans="7:7">
      <c r="G8787" s="149"/>
    </row>
    <row r="8788" spans="7:7">
      <c r="G8788" s="149"/>
    </row>
    <row r="8789" spans="7:7">
      <c r="G8789" s="149"/>
    </row>
    <row r="8790" spans="7:7">
      <c r="G8790" s="149"/>
    </row>
    <row r="8791" spans="7:7">
      <c r="G8791" s="149"/>
    </row>
    <row r="8792" spans="7:7">
      <c r="G8792" s="149"/>
    </row>
    <row r="8793" spans="7:7">
      <c r="G8793" s="149"/>
    </row>
    <row r="8794" spans="7:7">
      <c r="G8794" s="149"/>
    </row>
    <row r="8795" spans="7:7">
      <c r="G8795" s="149"/>
    </row>
    <row r="8796" spans="7:7">
      <c r="G8796" s="149"/>
    </row>
    <row r="8797" spans="7:7">
      <c r="G8797" s="149"/>
    </row>
    <row r="8798" spans="7:7">
      <c r="G8798" s="149"/>
    </row>
    <row r="8799" spans="7:7">
      <c r="G8799" s="149"/>
    </row>
    <row r="8800" spans="7:7">
      <c r="G8800" s="149"/>
    </row>
    <row r="8801" spans="7:7">
      <c r="G8801" s="149"/>
    </row>
    <row r="8802" spans="7:7">
      <c r="G8802" s="149"/>
    </row>
    <row r="8803" spans="7:7">
      <c r="G8803" s="149"/>
    </row>
    <row r="8804" spans="7:7">
      <c r="G8804" s="149"/>
    </row>
    <row r="8805" spans="7:7">
      <c r="G8805" s="149"/>
    </row>
    <row r="8806" spans="7:7">
      <c r="G8806" s="149"/>
    </row>
    <row r="8807" spans="7:7">
      <c r="G8807" s="149"/>
    </row>
    <row r="8808" spans="7:7">
      <c r="G8808" s="149"/>
    </row>
    <row r="8809" spans="7:7">
      <c r="G8809" s="149"/>
    </row>
    <row r="8810" spans="7:7">
      <c r="G8810" s="149"/>
    </row>
    <row r="8811" spans="7:7">
      <c r="G8811" s="149"/>
    </row>
    <row r="8812" spans="7:7">
      <c r="G8812" s="149"/>
    </row>
    <row r="8813" spans="7:7">
      <c r="G8813" s="149"/>
    </row>
    <row r="8814" spans="7:7">
      <c r="G8814" s="149"/>
    </row>
    <row r="8815" spans="7:7">
      <c r="G8815" s="149"/>
    </row>
    <row r="8816" spans="7:7">
      <c r="G8816" s="149"/>
    </row>
    <row r="8817" spans="7:7">
      <c r="G8817" s="149"/>
    </row>
    <row r="8818" spans="7:7">
      <c r="G8818" s="149"/>
    </row>
    <row r="8819" spans="7:7">
      <c r="G8819" s="149"/>
    </row>
    <row r="8820" spans="7:7">
      <c r="G8820" s="149"/>
    </row>
    <row r="8821" spans="7:7">
      <c r="G8821" s="149"/>
    </row>
    <row r="8822" spans="7:7">
      <c r="G8822" s="149"/>
    </row>
    <row r="8823" spans="7:7">
      <c r="G8823" s="149"/>
    </row>
    <row r="8824" spans="7:7">
      <c r="G8824" s="149"/>
    </row>
    <row r="8825" spans="7:7">
      <c r="G8825" s="149"/>
    </row>
    <row r="8826" spans="7:7">
      <c r="G8826" s="149"/>
    </row>
    <row r="8827" spans="7:7">
      <c r="G8827" s="149"/>
    </row>
    <row r="8828" spans="7:7">
      <c r="G8828" s="149"/>
    </row>
    <row r="8829" spans="7:7">
      <c r="G8829" s="149"/>
    </row>
    <row r="8830" spans="7:7">
      <c r="G8830" s="149"/>
    </row>
    <row r="8831" spans="7:7">
      <c r="G8831" s="149"/>
    </row>
    <row r="8832" spans="7:7">
      <c r="G8832" s="149"/>
    </row>
    <row r="8833" spans="7:7">
      <c r="G8833" s="149"/>
    </row>
    <row r="8834" spans="7:7">
      <c r="G8834" s="149"/>
    </row>
    <row r="8835" spans="7:7">
      <c r="G8835" s="149"/>
    </row>
    <row r="8836" spans="7:7">
      <c r="G8836" s="149"/>
    </row>
    <row r="8837" spans="7:7">
      <c r="G8837" s="149"/>
    </row>
    <row r="8838" spans="7:7">
      <c r="G8838" s="149"/>
    </row>
    <row r="8839" spans="7:7">
      <c r="G8839" s="149"/>
    </row>
    <row r="8840" spans="7:7">
      <c r="G8840" s="149"/>
    </row>
    <row r="8841" spans="7:7">
      <c r="G8841" s="149"/>
    </row>
    <row r="8842" spans="7:7">
      <c r="G8842" s="149"/>
    </row>
    <row r="8843" spans="7:7">
      <c r="G8843" s="149"/>
    </row>
    <row r="8844" spans="7:7">
      <c r="G8844" s="149"/>
    </row>
    <row r="8845" spans="7:7">
      <c r="G8845" s="149"/>
    </row>
    <row r="8846" spans="7:7">
      <c r="G8846" s="149"/>
    </row>
    <row r="8847" spans="7:7">
      <c r="G8847" s="149"/>
    </row>
    <row r="8848" spans="7:7">
      <c r="G8848" s="149"/>
    </row>
    <row r="8849" spans="7:7">
      <c r="G8849" s="149"/>
    </row>
    <row r="8850" spans="7:7">
      <c r="G8850" s="149"/>
    </row>
    <row r="8851" spans="7:7">
      <c r="G8851" s="149"/>
    </row>
    <row r="8852" spans="7:7">
      <c r="G8852" s="149"/>
    </row>
    <row r="8853" spans="7:7">
      <c r="G8853" s="149"/>
    </row>
    <row r="8854" spans="7:7">
      <c r="G8854" s="149"/>
    </row>
    <row r="8855" spans="7:7">
      <c r="G8855" s="149"/>
    </row>
    <row r="8856" spans="7:7">
      <c r="G8856" s="149"/>
    </row>
    <row r="8857" spans="7:7">
      <c r="G8857" s="149"/>
    </row>
    <row r="8858" spans="7:7">
      <c r="G8858" s="149"/>
    </row>
    <row r="8859" spans="7:7">
      <c r="G8859" s="149"/>
    </row>
    <row r="8860" spans="7:7">
      <c r="G8860" s="149"/>
    </row>
    <row r="8861" spans="7:7">
      <c r="G8861" s="149"/>
    </row>
    <row r="8862" spans="7:7">
      <c r="G8862" s="149"/>
    </row>
    <row r="8863" spans="7:7">
      <c r="G8863" s="149"/>
    </row>
    <row r="8864" spans="7:7">
      <c r="G8864" s="149"/>
    </row>
    <row r="8865" spans="7:7">
      <c r="G8865" s="149"/>
    </row>
    <row r="8866" spans="7:7">
      <c r="G8866" s="149"/>
    </row>
    <row r="8867" spans="7:7">
      <c r="G8867" s="149"/>
    </row>
    <row r="8868" spans="7:7">
      <c r="G8868" s="149"/>
    </row>
    <row r="8869" spans="7:7">
      <c r="G8869" s="149"/>
    </row>
    <row r="8870" spans="7:7">
      <c r="G8870" s="149"/>
    </row>
    <row r="8871" spans="7:7">
      <c r="G8871" s="149"/>
    </row>
    <row r="8872" spans="7:7">
      <c r="G8872" s="149"/>
    </row>
    <row r="8873" spans="7:7">
      <c r="G8873" s="149"/>
    </row>
    <row r="8874" spans="7:7">
      <c r="G8874" s="149"/>
    </row>
    <row r="8875" spans="7:7">
      <c r="G8875" s="149"/>
    </row>
    <row r="8876" spans="7:7">
      <c r="G8876" s="149"/>
    </row>
    <row r="8877" spans="7:7">
      <c r="G8877" s="149"/>
    </row>
    <row r="8878" spans="7:7">
      <c r="G8878" s="149"/>
    </row>
    <row r="8879" spans="7:7">
      <c r="G8879" s="149"/>
    </row>
    <row r="8880" spans="7:7">
      <c r="G8880" s="149"/>
    </row>
    <row r="8881" spans="7:7">
      <c r="G8881" s="149"/>
    </row>
    <row r="8882" spans="7:7">
      <c r="G8882" s="149"/>
    </row>
    <row r="8883" spans="7:7">
      <c r="G8883" s="149"/>
    </row>
    <row r="8884" spans="7:7">
      <c r="G8884" s="149"/>
    </row>
    <row r="8885" spans="7:7">
      <c r="G8885" s="149"/>
    </row>
    <row r="8886" spans="7:7">
      <c r="G8886" s="149"/>
    </row>
    <row r="8887" spans="7:7">
      <c r="G8887" s="149"/>
    </row>
    <row r="8888" spans="7:7">
      <c r="G8888" s="149"/>
    </row>
    <row r="8889" spans="7:7">
      <c r="G8889" s="149"/>
    </row>
    <row r="8890" spans="7:7">
      <c r="G8890" s="149"/>
    </row>
    <row r="8891" spans="7:7">
      <c r="G8891" s="149"/>
    </row>
    <row r="8892" spans="7:7">
      <c r="G8892" s="149"/>
    </row>
    <row r="8893" spans="7:7">
      <c r="G8893" s="149"/>
    </row>
    <row r="8894" spans="7:7">
      <c r="G8894" s="149"/>
    </row>
    <row r="8895" spans="7:7">
      <c r="G8895" s="149"/>
    </row>
    <row r="8896" spans="7:7">
      <c r="G8896" s="149"/>
    </row>
    <row r="8897" spans="7:7">
      <c r="G8897" s="149"/>
    </row>
    <row r="8898" spans="7:7">
      <c r="G8898" s="149"/>
    </row>
    <row r="8899" spans="7:7">
      <c r="G8899" s="149"/>
    </row>
    <row r="8900" spans="7:7">
      <c r="G8900" s="149"/>
    </row>
    <row r="8901" spans="7:7">
      <c r="G8901" s="149"/>
    </row>
    <row r="8902" spans="7:7">
      <c r="G8902" s="149"/>
    </row>
    <row r="8903" spans="7:7">
      <c r="G8903" s="149"/>
    </row>
    <row r="8904" spans="7:7">
      <c r="G8904" s="149"/>
    </row>
    <row r="8905" spans="7:7">
      <c r="G8905" s="149"/>
    </row>
    <row r="8906" spans="7:7">
      <c r="G8906" s="149"/>
    </row>
    <row r="8907" spans="7:7">
      <c r="G8907" s="149"/>
    </row>
    <row r="8908" spans="7:7">
      <c r="G8908" s="149"/>
    </row>
    <row r="8909" spans="7:7">
      <c r="G8909" s="149"/>
    </row>
    <row r="8910" spans="7:7">
      <c r="G8910" s="149"/>
    </row>
    <row r="8911" spans="7:7">
      <c r="G8911" s="149"/>
    </row>
    <row r="8912" spans="7:7">
      <c r="G8912" s="149"/>
    </row>
    <row r="8913" spans="7:7">
      <c r="G8913" s="149"/>
    </row>
    <row r="8914" spans="7:7">
      <c r="G8914" s="149"/>
    </row>
    <row r="8915" spans="7:7">
      <c r="G8915" s="149"/>
    </row>
    <row r="8916" spans="7:7">
      <c r="G8916" s="149"/>
    </row>
    <row r="8917" spans="7:7">
      <c r="G8917" s="149"/>
    </row>
    <row r="8918" spans="7:7">
      <c r="G8918" s="149"/>
    </row>
    <row r="8919" spans="7:7">
      <c r="G8919" s="149"/>
    </row>
    <row r="8920" spans="7:7">
      <c r="G8920" s="149"/>
    </row>
    <row r="8921" spans="7:7">
      <c r="G8921" s="149"/>
    </row>
    <row r="8922" spans="7:7">
      <c r="G8922" s="149"/>
    </row>
    <row r="8923" spans="7:7">
      <c r="G8923" s="149"/>
    </row>
    <row r="8924" spans="7:7">
      <c r="G8924" s="149"/>
    </row>
    <row r="8925" spans="7:7">
      <c r="G8925" s="149"/>
    </row>
    <row r="8926" spans="7:7">
      <c r="G8926" s="149"/>
    </row>
    <row r="8927" spans="7:7">
      <c r="G8927" s="149"/>
    </row>
    <row r="8928" spans="7:7">
      <c r="G8928" s="149"/>
    </row>
    <row r="8929" spans="7:7">
      <c r="G8929" s="149"/>
    </row>
    <row r="8930" spans="7:7">
      <c r="G8930" s="149"/>
    </row>
    <row r="8931" spans="7:7">
      <c r="G8931" s="149"/>
    </row>
    <row r="8932" spans="7:7">
      <c r="G8932" s="149"/>
    </row>
    <row r="8933" spans="7:7">
      <c r="G8933" s="149"/>
    </row>
    <row r="8934" spans="7:7">
      <c r="G8934" s="149"/>
    </row>
    <row r="8935" spans="7:7">
      <c r="G8935" s="149"/>
    </row>
    <row r="8936" spans="7:7">
      <c r="G8936" s="149"/>
    </row>
    <row r="8937" spans="7:7">
      <c r="G8937" s="149"/>
    </row>
    <row r="8938" spans="7:7">
      <c r="G8938" s="149"/>
    </row>
    <row r="8939" spans="7:7">
      <c r="G8939" s="149"/>
    </row>
    <row r="8940" spans="7:7">
      <c r="G8940" s="149"/>
    </row>
    <row r="8941" spans="7:7">
      <c r="G8941" s="149"/>
    </row>
    <row r="8942" spans="7:7">
      <c r="G8942" s="149"/>
    </row>
    <row r="8943" spans="7:7">
      <c r="G8943" s="149"/>
    </row>
    <row r="8944" spans="7:7">
      <c r="G8944" s="149"/>
    </row>
    <row r="8945" spans="7:7">
      <c r="G8945" s="149"/>
    </row>
    <row r="8946" spans="7:7">
      <c r="G8946" s="149"/>
    </row>
    <row r="8947" spans="7:7">
      <c r="G8947" s="149"/>
    </row>
    <row r="8948" spans="7:7">
      <c r="G8948" s="149"/>
    </row>
    <row r="8949" spans="7:7">
      <c r="G8949" s="149"/>
    </row>
    <row r="8950" spans="7:7">
      <c r="G8950" s="149"/>
    </row>
    <row r="8951" spans="7:7">
      <c r="G8951" s="149"/>
    </row>
    <row r="8952" spans="7:7">
      <c r="G8952" s="149"/>
    </row>
    <row r="8953" spans="7:7">
      <c r="G8953" s="149"/>
    </row>
    <row r="8954" spans="7:7">
      <c r="G8954" s="149"/>
    </row>
    <row r="8955" spans="7:7">
      <c r="G8955" s="149"/>
    </row>
    <row r="8956" spans="7:7">
      <c r="G8956" s="149"/>
    </row>
    <row r="8957" spans="7:7">
      <c r="G8957" s="149"/>
    </row>
    <row r="8958" spans="7:7">
      <c r="G8958" s="149"/>
    </row>
    <row r="8959" spans="7:7">
      <c r="G8959" s="149"/>
    </row>
    <row r="8960" spans="7:7">
      <c r="G8960" s="149"/>
    </row>
    <row r="8961" spans="7:7">
      <c r="G8961" s="149"/>
    </row>
    <row r="8962" spans="7:7">
      <c r="G8962" s="149"/>
    </row>
    <row r="8963" spans="7:7">
      <c r="G8963" s="149"/>
    </row>
    <row r="8964" spans="7:7">
      <c r="G8964" s="149"/>
    </row>
    <row r="8965" spans="7:7">
      <c r="G8965" s="149"/>
    </row>
    <row r="8966" spans="7:7">
      <c r="G8966" s="149"/>
    </row>
    <row r="8967" spans="7:7">
      <c r="G8967" s="149"/>
    </row>
    <row r="8968" spans="7:7">
      <c r="G8968" s="149"/>
    </row>
    <row r="8969" spans="7:7">
      <c r="G8969" s="149"/>
    </row>
    <row r="8970" spans="7:7">
      <c r="G8970" s="149"/>
    </row>
    <row r="8971" spans="7:7">
      <c r="G8971" s="149"/>
    </row>
    <row r="8972" spans="7:7">
      <c r="G8972" s="149"/>
    </row>
    <row r="8973" spans="7:7">
      <c r="G8973" s="149"/>
    </row>
    <row r="8974" spans="7:7">
      <c r="G8974" s="149"/>
    </row>
    <row r="8975" spans="7:7">
      <c r="G8975" s="149"/>
    </row>
    <row r="8976" spans="7:7">
      <c r="G8976" s="149"/>
    </row>
    <row r="8977" spans="7:7">
      <c r="G8977" s="149"/>
    </row>
    <row r="8978" spans="7:7">
      <c r="G8978" s="149"/>
    </row>
    <row r="8979" spans="7:7">
      <c r="G8979" s="149"/>
    </row>
    <row r="8980" spans="7:7">
      <c r="G8980" s="149"/>
    </row>
    <row r="8981" spans="7:7">
      <c r="G8981" s="149"/>
    </row>
    <row r="8982" spans="7:7">
      <c r="G8982" s="149"/>
    </row>
    <row r="8983" spans="7:7">
      <c r="G8983" s="149"/>
    </row>
    <row r="8984" spans="7:7">
      <c r="G8984" s="149"/>
    </row>
    <row r="8985" spans="7:7">
      <c r="G8985" s="149"/>
    </row>
    <row r="8986" spans="7:7">
      <c r="G8986" s="149"/>
    </row>
    <row r="8987" spans="7:7">
      <c r="G8987" s="149"/>
    </row>
    <row r="8988" spans="7:7">
      <c r="G8988" s="149"/>
    </row>
    <row r="8989" spans="7:7">
      <c r="G8989" s="149"/>
    </row>
    <row r="8990" spans="7:7">
      <c r="G8990" s="149"/>
    </row>
    <row r="8991" spans="7:7">
      <c r="G8991" s="149"/>
    </row>
    <row r="8992" spans="7:7">
      <c r="G8992" s="149"/>
    </row>
    <row r="8993" spans="7:7">
      <c r="G8993" s="149"/>
    </row>
    <row r="8994" spans="7:7">
      <c r="G8994" s="149"/>
    </row>
    <row r="8995" spans="7:7">
      <c r="G8995" s="149"/>
    </row>
    <row r="8996" spans="7:7">
      <c r="G8996" s="149"/>
    </row>
    <row r="8997" spans="7:7">
      <c r="G8997" s="149"/>
    </row>
    <row r="8998" spans="7:7">
      <c r="G8998" s="149"/>
    </row>
    <row r="8999" spans="7:7">
      <c r="G8999" s="149"/>
    </row>
    <row r="9000" spans="7:7">
      <c r="G9000" s="149"/>
    </row>
    <row r="9001" spans="7:7">
      <c r="G9001" s="149"/>
    </row>
    <row r="9002" spans="7:7">
      <c r="G9002" s="149"/>
    </row>
    <row r="9003" spans="7:7">
      <c r="G9003" s="149"/>
    </row>
    <row r="9004" spans="7:7">
      <c r="G9004" s="149"/>
    </row>
    <row r="9005" spans="7:7">
      <c r="G9005" s="149"/>
    </row>
    <row r="9006" spans="7:7">
      <c r="G9006" s="149"/>
    </row>
    <row r="9007" spans="7:7">
      <c r="G9007" s="149"/>
    </row>
    <row r="9008" spans="7:7">
      <c r="G9008" s="149"/>
    </row>
    <row r="9009" spans="7:7">
      <c r="G9009" s="149"/>
    </row>
    <row r="9010" spans="7:7">
      <c r="G9010" s="149"/>
    </row>
    <row r="9011" spans="7:7">
      <c r="G9011" s="149"/>
    </row>
    <row r="9012" spans="7:7">
      <c r="G9012" s="149"/>
    </row>
    <row r="9013" spans="7:7">
      <c r="G9013" s="149"/>
    </row>
    <row r="9014" spans="7:7">
      <c r="G9014" s="149"/>
    </row>
    <row r="9015" spans="7:7">
      <c r="G9015" s="149"/>
    </row>
    <row r="9016" spans="7:7">
      <c r="G9016" s="149"/>
    </row>
    <row r="9017" spans="7:7">
      <c r="G9017" s="149"/>
    </row>
    <row r="9018" spans="7:7">
      <c r="G9018" s="149"/>
    </row>
    <row r="9019" spans="7:7">
      <c r="G9019" s="149"/>
    </row>
    <row r="9020" spans="7:7">
      <c r="G9020" s="149"/>
    </row>
    <row r="9021" spans="7:7">
      <c r="G9021" s="149"/>
    </row>
    <row r="9022" spans="7:7">
      <c r="G9022" s="149"/>
    </row>
    <row r="9023" spans="7:7">
      <c r="G9023" s="149"/>
    </row>
    <row r="9024" spans="7:7">
      <c r="G9024" s="149"/>
    </row>
    <row r="9025" spans="7:7">
      <c r="G9025" s="149"/>
    </row>
    <row r="9026" spans="7:7">
      <c r="G9026" s="149"/>
    </row>
    <row r="9027" spans="7:7">
      <c r="G9027" s="149"/>
    </row>
    <row r="9028" spans="7:7">
      <c r="G9028" s="149"/>
    </row>
    <row r="9029" spans="7:7">
      <c r="G9029" s="149"/>
    </row>
    <row r="9030" spans="7:7">
      <c r="G9030" s="149"/>
    </row>
    <row r="9031" spans="7:7">
      <c r="G9031" s="149"/>
    </row>
    <row r="9032" spans="7:7">
      <c r="G9032" s="149"/>
    </row>
    <row r="9033" spans="7:7">
      <c r="G9033" s="149"/>
    </row>
    <row r="9034" spans="7:7">
      <c r="G9034" s="149"/>
    </row>
    <row r="9035" spans="7:7">
      <c r="G9035" s="149"/>
    </row>
    <row r="9036" spans="7:7">
      <c r="G9036" s="149"/>
    </row>
    <row r="9037" spans="7:7">
      <c r="G9037" s="149"/>
    </row>
    <row r="9038" spans="7:7">
      <c r="G9038" s="149"/>
    </row>
    <row r="9039" spans="7:7">
      <c r="G9039" s="149"/>
    </row>
    <row r="9040" spans="7:7">
      <c r="G9040" s="149"/>
    </row>
    <row r="9041" spans="7:7">
      <c r="G9041" s="149"/>
    </row>
    <row r="9042" spans="7:7">
      <c r="G9042" s="149"/>
    </row>
    <row r="9043" spans="7:7">
      <c r="G9043" s="149"/>
    </row>
    <row r="9044" spans="7:7">
      <c r="G9044" s="149"/>
    </row>
    <row r="9045" spans="7:7">
      <c r="G9045" s="149"/>
    </row>
    <row r="9046" spans="7:7">
      <c r="G9046" s="149"/>
    </row>
    <row r="9047" spans="7:7">
      <c r="G9047" s="149"/>
    </row>
    <row r="9048" spans="7:7">
      <c r="G9048" s="149"/>
    </row>
    <row r="9049" spans="7:7">
      <c r="G9049" s="149"/>
    </row>
    <row r="9050" spans="7:7">
      <c r="G9050" s="149"/>
    </row>
    <row r="9051" spans="7:7">
      <c r="G9051" s="149"/>
    </row>
    <row r="9052" spans="7:7">
      <c r="G9052" s="149"/>
    </row>
    <row r="9053" spans="7:7">
      <c r="G9053" s="149"/>
    </row>
    <row r="9054" spans="7:7">
      <c r="G9054" s="149"/>
    </row>
    <row r="9055" spans="7:7">
      <c r="G9055" s="149"/>
    </row>
    <row r="9056" spans="7:7">
      <c r="G9056" s="149"/>
    </row>
    <row r="9057" spans="7:7">
      <c r="G9057" s="149"/>
    </row>
    <row r="9058" spans="7:7">
      <c r="G9058" s="149"/>
    </row>
    <row r="9059" spans="7:7">
      <c r="G9059" s="149"/>
    </row>
    <row r="9060" spans="7:7">
      <c r="G9060" s="149"/>
    </row>
    <row r="9061" spans="7:7">
      <c r="G9061" s="149"/>
    </row>
    <row r="9062" spans="7:7">
      <c r="G9062" s="149"/>
    </row>
    <row r="9063" spans="7:7">
      <c r="G9063" s="149"/>
    </row>
    <row r="9064" spans="7:7">
      <c r="G9064" s="149"/>
    </row>
    <row r="9065" spans="7:7">
      <c r="G9065" s="149"/>
    </row>
    <row r="9066" spans="7:7">
      <c r="G9066" s="149"/>
    </row>
    <row r="9067" spans="7:7">
      <c r="G9067" s="149"/>
    </row>
    <row r="9068" spans="7:7">
      <c r="G9068" s="149"/>
    </row>
    <row r="9069" spans="7:7">
      <c r="G9069" s="149"/>
    </row>
    <row r="9070" spans="7:7">
      <c r="G9070" s="149"/>
    </row>
    <row r="9071" spans="7:7">
      <c r="G9071" s="149"/>
    </row>
    <row r="9072" spans="7:7">
      <c r="G9072" s="149"/>
    </row>
    <row r="9073" spans="7:7">
      <c r="G9073" s="149"/>
    </row>
    <row r="9074" spans="7:7">
      <c r="G9074" s="149"/>
    </row>
    <row r="9075" spans="7:7">
      <c r="G9075" s="149"/>
    </row>
    <row r="9076" spans="7:7">
      <c r="G9076" s="149"/>
    </row>
    <row r="9077" spans="7:7">
      <c r="G9077" s="149"/>
    </row>
    <row r="9078" spans="7:7">
      <c r="G9078" s="149"/>
    </row>
    <row r="9079" spans="7:7">
      <c r="G9079" s="149"/>
    </row>
    <row r="9080" spans="7:7">
      <c r="G9080" s="149"/>
    </row>
    <row r="9081" spans="7:7">
      <c r="G9081" s="149"/>
    </row>
    <row r="9082" spans="7:7">
      <c r="G9082" s="149"/>
    </row>
    <row r="9083" spans="7:7">
      <c r="G9083" s="149"/>
    </row>
    <row r="9084" spans="7:7">
      <c r="G9084" s="149"/>
    </row>
    <row r="9085" spans="7:7">
      <c r="G9085" s="149"/>
    </row>
    <row r="9086" spans="7:7">
      <c r="G9086" s="149"/>
    </row>
    <row r="9087" spans="7:7">
      <c r="G9087" s="149"/>
    </row>
    <row r="9088" spans="7:7">
      <c r="G9088" s="149"/>
    </row>
    <row r="9089" spans="7:7">
      <c r="G9089" s="149"/>
    </row>
    <row r="9090" spans="7:7">
      <c r="G9090" s="149"/>
    </row>
    <row r="9091" spans="7:7">
      <c r="G9091" s="149"/>
    </row>
    <row r="9092" spans="7:7">
      <c r="G9092" s="149"/>
    </row>
    <row r="9093" spans="7:7">
      <c r="G9093" s="149"/>
    </row>
    <row r="9094" spans="7:7">
      <c r="G9094" s="149"/>
    </row>
    <row r="9095" spans="7:7">
      <c r="G9095" s="149"/>
    </row>
    <row r="9096" spans="7:7">
      <c r="G9096" s="149"/>
    </row>
    <row r="9097" spans="7:7">
      <c r="G9097" s="149"/>
    </row>
    <row r="9098" spans="7:7">
      <c r="G9098" s="149"/>
    </row>
    <row r="9099" spans="7:7">
      <c r="G9099" s="149"/>
    </row>
    <row r="9100" spans="7:7">
      <c r="G9100" s="149"/>
    </row>
    <row r="9101" spans="7:7">
      <c r="G9101" s="149"/>
    </row>
    <row r="9102" spans="7:7">
      <c r="G9102" s="149"/>
    </row>
    <row r="9103" spans="7:7">
      <c r="G9103" s="149"/>
    </row>
    <row r="9104" spans="7:7">
      <c r="G9104" s="149"/>
    </row>
    <row r="9105" spans="7:7">
      <c r="G9105" s="149"/>
    </row>
    <row r="9106" spans="7:7">
      <c r="G9106" s="149"/>
    </row>
    <row r="9107" spans="7:7">
      <c r="G9107" s="149"/>
    </row>
    <row r="9108" spans="7:7">
      <c r="G9108" s="149"/>
    </row>
    <row r="9109" spans="7:7">
      <c r="G9109" s="149"/>
    </row>
    <row r="9110" spans="7:7">
      <c r="G9110" s="149"/>
    </row>
    <row r="9111" spans="7:7">
      <c r="G9111" s="149"/>
    </row>
    <row r="9112" spans="7:7">
      <c r="G9112" s="149"/>
    </row>
    <row r="9113" spans="7:7">
      <c r="G9113" s="149"/>
    </row>
    <row r="9114" spans="7:7">
      <c r="G9114" s="149"/>
    </row>
    <row r="9115" spans="7:7">
      <c r="G9115" s="149"/>
    </row>
    <row r="9116" spans="7:7">
      <c r="G9116" s="149"/>
    </row>
    <row r="9117" spans="7:7">
      <c r="G9117" s="149"/>
    </row>
    <row r="9118" spans="7:7">
      <c r="G9118" s="149"/>
    </row>
    <row r="9119" spans="7:7">
      <c r="G9119" s="149"/>
    </row>
    <row r="9120" spans="7:7">
      <c r="G9120" s="149"/>
    </row>
    <row r="9121" spans="7:7">
      <c r="G9121" s="149"/>
    </row>
    <row r="9122" spans="7:7">
      <c r="G9122" s="149"/>
    </row>
    <row r="9123" spans="7:7">
      <c r="G9123" s="149"/>
    </row>
    <row r="9124" spans="7:7">
      <c r="G9124" s="149"/>
    </row>
    <row r="9125" spans="7:7">
      <c r="G9125" s="149"/>
    </row>
    <row r="9126" spans="7:7">
      <c r="G9126" s="149"/>
    </row>
    <row r="9127" spans="7:7">
      <c r="G9127" s="149"/>
    </row>
    <row r="9128" spans="7:7">
      <c r="G9128" s="149"/>
    </row>
    <row r="9129" spans="7:7">
      <c r="G9129" s="149"/>
    </row>
    <row r="9130" spans="7:7">
      <c r="G9130" s="149"/>
    </row>
    <row r="9131" spans="7:7">
      <c r="G9131" s="149"/>
    </row>
    <row r="9132" spans="7:7">
      <c r="G9132" s="149"/>
    </row>
    <row r="9133" spans="7:7">
      <c r="G9133" s="149"/>
    </row>
    <row r="9134" spans="7:7">
      <c r="G9134" s="149"/>
    </row>
    <row r="9135" spans="7:7">
      <c r="G9135" s="149"/>
    </row>
    <row r="9136" spans="7:7">
      <c r="G9136" s="149"/>
    </row>
    <row r="9137" spans="7:7">
      <c r="G9137" s="149"/>
    </row>
    <row r="9138" spans="7:7">
      <c r="G9138" s="149"/>
    </row>
    <row r="9139" spans="7:7">
      <c r="G9139" s="149"/>
    </row>
    <row r="9140" spans="7:7">
      <c r="G9140" s="149"/>
    </row>
    <row r="9141" spans="7:7">
      <c r="G9141" s="149"/>
    </row>
    <row r="9142" spans="7:7">
      <c r="G9142" s="149"/>
    </row>
    <row r="9143" spans="7:7">
      <c r="G9143" s="149"/>
    </row>
    <row r="9144" spans="7:7">
      <c r="G9144" s="149"/>
    </row>
    <row r="9145" spans="7:7">
      <c r="G9145" s="149"/>
    </row>
    <row r="9146" spans="7:7">
      <c r="G9146" s="149"/>
    </row>
    <row r="9147" spans="7:7">
      <c r="G9147" s="149"/>
    </row>
    <row r="9148" spans="7:7">
      <c r="G9148" s="149"/>
    </row>
    <row r="9149" spans="7:7">
      <c r="G9149" s="149"/>
    </row>
    <row r="9150" spans="7:7">
      <c r="G9150" s="149"/>
    </row>
    <row r="9151" spans="7:7">
      <c r="G9151" s="149"/>
    </row>
    <row r="9152" spans="7:7">
      <c r="G9152" s="149"/>
    </row>
    <row r="9153" spans="7:7">
      <c r="G9153" s="149"/>
    </row>
    <row r="9154" spans="7:7">
      <c r="G9154" s="149"/>
    </row>
    <row r="9155" spans="7:7">
      <c r="G9155" s="149"/>
    </row>
    <row r="9156" spans="7:7">
      <c r="G9156" s="149"/>
    </row>
    <row r="9157" spans="7:7">
      <c r="G9157" s="149"/>
    </row>
    <row r="9158" spans="7:7">
      <c r="G9158" s="149"/>
    </row>
    <row r="9159" spans="7:7">
      <c r="G9159" s="149"/>
    </row>
    <row r="9160" spans="7:7">
      <c r="G9160" s="149"/>
    </row>
    <row r="9161" spans="7:7">
      <c r="G9161" s="149"/>
    </row>
    <row r="9162" spans="7:7">
      <c r="G9162" s="149"/>
    </row>
    <row r="9163" spans="7:7">
      <c r="G9163" s="149"/>
    </row>
    <row r="9164" spans="7:7">
      <c r="G9164" s="149"/>
    </row>
    <row r="9165" spans="7:7">
      <c r="G9165" s="149"/>
    </row>
    <row r="9166" spans="7:7">
      <c r="G9166" s="149"/>
    </row>
    <row r="9167" spans="7:7">
      <c r="G9167" s="149"/>
    </row>
    <row r="9168" spans="7:7">
      <c r="G9168" s="149"/>
    </row>
    <row r="9169" spans="7:7">
      <c r="G9169" s="149"/>
    </row>
    <row r="9170" spans="7:7">
      <c r="G9170" s="149"/>
    </row>
    <row r="9171" spans="7:7">
      <c r="G9171" s="149"/>
    </row>
    <row r="9172" spans="7:7">
      <c r="G9172" s="149"/>
    </row>
    <row r="9173" spans="7:7">
      <c r="G9173" s="149"/>
    </row>
    <row r="9174" spans="7:7">
      <c r="G9174" s="149"/>
    </row>
    <row r="9175" spans="7:7">
      <c r="G9175" s="149"/>
    </row>
    <row r="9176" spans="7:7">
      <c r="G9176" s="149"/>
    </row>
    <row r="9177" spans="7:7">
      <c r="G9177" s="149"/>
    </row>
    <row r="9178" spans="7:7">
      <c r="G9178" s="149"/>
    </row>
    <row r="9179" spans="7:7">
      <c r="G9179" s="149"/>
    </row>
    <row r="9180" spans="7:7">
      <c r="G9180" s="149"/>
    </row>
    <row r="9181" spans="7:7">
      <c r="G9181" s="149"/>
    </row>
    <row r="9182" spans="7:7">
      <c r="G9182" s="149"/>
    </row>
    <row r="9183" spans="7:7">
      <c r="G9183" s="149"/>
    </row>
    <row r="9184" spans="7:7">
      <c r="G9184" s="149"/>
    </row>
    <row r="9185" spans="7:7">
      <c r="G9185" s="149"/>
    </row>
    <row r="9186" spans="7:7">
      <c r="G9186" s="149"/>
    </row>
    <row r="9187" spans="7:7">
      <c r="G9187" s="149"/>
    </row>
    <row r="9188" spans="7:7">
      <c r="G9188" s="149"/>
    </row>
    <row r="9189" spans="7:7">
      <c r="G9189" s="149"/>
    </row>
    <row r="9190" spans="7:7">
      <c r="G9190" s="149"/>
    </row>
    <row r="9191" spans="7:7">
      <c r="G9191" s="149"/>
    </row>
    <row r="9192" spans="7:7">
      <c r="G9192" s="149"/>
    </row>
    <row r="9193" spans="7:7">
      <c r="G9193" s="149"/>
    </row>
    <row r="9194" spans="7:7">
      <c r="G9194" s="149"/>
    </row>
    <row r="9195" spans="7:7">
      <c r="G9195" s="149"/>
    </row>
    <row r="9196" spans="7:7">
      <c r="G9196" s="149"/>
    </row>
    <row r="9197" spans="7:7">
      <c r="G9197" s="149"/>
    </row>
    <row r="9198" spans="7:7">
      <c r="G9198" s="149"/>
    </row>
    <row r="9199" spans="7:7">
      <c r="G9199" s="149"/>
    </row>
    <row r="9200" spans="7:7">
      <c r="G9200" s="149"/>
    </row>
    <row r="9201" spans="7:7">
      <c r="G9201" s="149"/>
    </row>
    <row r="9202" spans="7:7">
      <c r="G9202" s="149"/>
    </row>
    <row r="9203" spans="7:7">
      <c r="G9203" s="149"/>
    </row>
    <row r="9204" spans="7:7">
      <c r="G9204" s="149"/>
    </row>
    <row r="9205" spans="7:7">
      <c r="G9205" s="149"/>
    </row>
    <row r="9206" spans="7:7">
      <c r="G9206" s="149"/>
    </row>
    <row r="9207" spans="7:7">
      <c r="G9207" s="149"/>
    </row>
    <row r="9208" spans="7:7">
      <c r="G9208" s="149"/>
    </row>
    <row r="9209" spans="7:7">
      <c r="G9209" s="149"/>
    </row>
    <row r="9210" spans="7:7">
      <c r="G9210" s="149"/>
    </row>
    <row r="9211" spans="7:7">
      <c r="G9211" s="149"/>
    </row>
    <row r="9212" spans="7:7">
      <c r="G9212" s="149"/>
    </row>
    <row r="9213" spans="7:7">
      <c r="G9213" s="149"/>
    </row>
    <row r="9214" spans="7:7">
      <c r="G9214" s="149"/>
    </row>
    <row r="9215" spans="7:7">
      <c r="G9215" s="149"/>
    </row>
    <row r="9216" spans="7:7">
      <c r="G9216" s="149"/>
    </row>
    <row r="9217" spans="7:7">
      <c r="G9217" s="149"/>
    </row>
    <row r="9218" spans="7:7">
      <c r="G9218" s="149"/>
    </row>
    <row r="9219" spans="7:7">
      <c r="G9219" s="149"/>
    </row>
    <row r="9220" spans="7:7">
      <c r="G9220" s="149"/>
    </row>
    <row r="9221" spans="7:7">
      <c r="G9221" s="149"/>
    </row>
    <row r="9222" spans="7:7">
      <c r="G9222" s="149"/>
    </row>
    <row r="9223" spans="7:7">
      <c r="G9223" s="149"/>
    </row>
    <row r="9224" spans="7:7">
      <c r="G9224" s="149"/>
    </row>
    <row r="9225" spans="7:7">
      <c r="G9225" s="149"/>
    </row>
    <row r="9226" spans="7:7">
      <c r="G9226" s="149"/>
    </row>
    <row r="9227" spans="7:7">
      <c r="G9227" s="149"/>
    </row>
    <row r="9228" spans="7:7">
      <c r="G9228" s="149"/>
    </row>
    <row r="9229" spans="7:7">
      <c r="G9229" s="149"/>
    </row>
    <row r="9230" spans="7:7">
      <c r="G9230" s="149"/>
    </row>
    <row r="9231" spans="7:7">
      <c r="G9231" s="149"/>
    </row>
    <row r="9232" spans="7:7">
      <c r="G9232" s="149"/>
    </row>
    <row r="9233" spans="7:7">
      <c r="G9233" s="149"/>
    </row>
    <row r="9234" spans="7:7">
      <c r="G9234" s="149"/>
    </row>
    <row r="9235" spans="7:7">
      <c r="G9235" s="149"/>
    </row>
    <row r="9236" spans="7:7">
      <c r="G9236" s="149"/>
    </row>
    <row r="9237" spans="7:7">
      <c r="G9237" s="149"/>
    </row>
    <row r="9238" spans="7:7">
      <c r="G9238" s="149"/>
    </row>
    <row r="9239" spans="7:7">
      <c r="G9239" s="149"/>
    </row>
    <row r="9240" spans="7:7">
      <c r="G9240" s="149"/>
    </row>
    <row r="9241" spans="7:7">
      <c r="G9241" s="149"/>
    </row>
    <row r="9242" spans="7:7">
      <c r="G9242" s="149"/>
    </row>
    <row r="9243" spans="7:7">
      <c r="G9243" s="149"/>
    </row>
    <row r="9244" spans="7:7">
      <c r="G9244" s="149"/>
    </row>
    <row r="9245" spans="7:7">
      <c r="G9245" s="149"/>
    </row>
    <row r="9246" spans="7:7">
      <c r="G9246" s="149"/>
    </row>
    <row r="9247" spans="7:7">
      <c r="G9247" s="149"/>
    </row>
    <row r="9248" spans="7:7">
      <c r="G9248" s="149"/>
    </row>
    <row r="9249" spans="7:7">
      <c r="G9249" s="149"/>
    </row>
    <row r="9250" spans="7:7">
      <c r="G9250" s="149"/>
    </row>
    <row r="9251" spans="7:7">
      <c r="G9251" s="149"/>
    </row>
    <row r="9252" spans="7:7">
      <c r="G9252" s="149"/>
    </row>
    <row r="9253" spans="7:7">
      <c r="G9253" s="149"/>
    </row>
    <row r="9254" spans="7:7">
      <c r="G9254" s="149"/>
    </row>
    <row r="9255" spans="7:7">
      <c r="G9255" s="149"/>
    </row>
    <row r="9256" spans="7:7">
      <c r="G9256" s="149"/>
    </row>
    <row r="9257" spans="7:7">
      <c r="G9257" s="149"/>
    </row>
    <row r="9258" spans="7:7">
      <c r="G9258" s="149"/>
    </row>
    <row r="9259" spans="7:7">
      <c r="G9259" s="149"/>
    </row>
    <row r="9260" spans="7:7">
      <c r="G9260" s="149"/>
    </row>
    <row r="9261" spans="7:7">
      <c r="G9261" s="149"/>
    </row>
    <row r="9262" spans="7:7">
      <c r="G9262" s="149"/>
    </row>
    <row r="9263" spans="7:7">
      <c r="G9263" s="149"/>
    </row>
    <row r="9264" spans="7:7">
      <c r="G9264" s="149"/>
    </row>
    <row r="9265" spans="7:7">
      <c r="G9265" s="149"/>
    </row>
    <row r="9266" spans="7:7">
      <c r="G9266" s="149"/>
    </row>
    <row r="9267" spans="7:7">
      <c r="G9267" s="149"/>
    </row>
    <row r="9268" spans="7:7">
      <c r="G9268" s="149"/>
    </row>
    <row r="9269" spans="7:7">
      <c r="G9269" s="149"/>
    </row>
    <row r="9270" spans="7:7">
      <c r="G9270" s="149"/>
    </row>
    <row r="9271" spans="7:7">
      <c r="G9271" s="149"/>
    </row>
    <row r="9272" spans="7:7">
      <c r="G9272" s="149"/>
    </row>
    <row r="9273" spans="7:7">
      <c r="G9273" s="149"/>
    </row>
    <row r="9274" spans="7:7">
      <c r="G9274" s="149"/>
    </row>
    <row r="9275" spans="7:7">
      <c r="G9275" s="149"/>
    </row>
    <row r="9276" spans="7:7">
      <c r="G9276" s="149"/>
    </row>
    <row r="9277" spans="7:7">
      <c r="G9277" s="149"/>
    </row>
    <row r="9278" spans="7:7">
      <c r="G9278" s="149"/>
    </row>
    <row r="9279" spans="7:7">
      <c r="G9279" s="149"/>
    </row>
    <row r="9280" spans="7:7">
      <c r="G9280" s="149"/>
    </row>
    <row r="9281" spans="7:7">
      <c r="G9281" s="149"/>
    </row>
    <row r="9282" spans="7:7">
      <c r="G9282" s="149"/>
    </row>
    <row r="9283" spans="7:7">
      <c r="G9283" s="149"/>
    </row>
    <row r="9284" spans="7:7">
      <c r="G9284" s="149"/>
    </row>
    <row r="9285" spans="7:7">
      <c r="G9285" s="149"/>
    </row>
    <row r="9286" spans="7:7">
      <c r="G9286" s="149"/>
    </row>
    <row r="9287" spans="7:7">
      <c r="G9287" s="149"/>
    </row>
    <row r="9288" spans="7:7">
      <c r="G9288" s="149"/>
    </row>
    <row r="9289" spans="7:7">
      <c r="G9289" s="149"/>
    </row>
    <row r="9290" spans="7:7">
      <c r="G9290" s="149"/>
    </row>
    <row r="9291" spans="7:7">
      <c r="G9291" s="149"/>
    </row>
    <row r="9292" spans="7:7">
      <c r="G9292" s="149"/>
    </row>
    <row r="9293" spans="7:7">
      <c r="G9293" s="149"/>
    </row>
    <row r="9294" spans="7:7">
      <c r="G9294" s="149"/>
    </row>
    <row r="9295" spans="7:7">
      <c r="G9295" s="149"/>
    </row>
    <row r="9296" spans="7:7">
      <c r="G9296" s="149"/>
    </row>
    <row r="9297" spans="7:7">
      <c r="G9297" s="149"/>
    </row>
    <row r="9298" spans="7:7">
      <c r="G9298" s="149"/>
    </row>
    <row r="9299" spans="7:7">
      <c r="G9299" s="149"/>
    </row>
    <row r="9300" spans="7:7">
      <c r="G9300" s="149"/>
    </row>
    <row r="9301" spans="7:7">
      <c r="G9301" s="149"/>
    </row>
    <row r="9302" spans="7:7">
      <c r="G9302" s="149"/>
    </row>
    <row r="9303" spans="7:7">
      <c r="G9303" s="149"/>
    </row>
    <row r="9304" spans="7:7">
      <c r="G9304" s="149"/>
    </row>
    <row r="9305" spans="7:7">
      <c r="G9305" s="149"/>
    </row>
    <row r="9306" spans="7:7">
      <c r="G9306" s="149"/>
    </row>
    <row r="9307" spans="7:7">
      <c r="G9307" s="149"/>
    </row>
    <row r="9308" spans="7:7">
      <c r="G9308" s="149"/>
    </row>
    <row r="9309" spans="7:7">
      <c r="G9309" s="149"/>
    </row>
    <row r="9310" spans="7:7">
      <c r="G9310" s="149"/>
    </row>
    <row r="9311" spans="7:7">
      <c r="G9311" s="149"/>
    </row>
    <row r="9312" spans="7:7">
      <c r="G9312" s="149"/>
    </row>
    <row r="9313" spans="7:7">
      <c r="G9313" s="149"/>
    </row>
    <row r="9314" spans="7:7">
      <c r="G9314" s="149"/>
    </row>
    <row r="9315" spans="7:7">
      <c r="G9315" s="149"/>
    </row>
    <row r="9316" spans="7:7">
      <c r="G9316" s="149"/>
    </row>
    <row r="9317" spans="7:7">
      <c r="G9317" s="149"/>
    </row>
    <row r="9318" spans="7:7">
      <c r="G9318" s="149"/>
    </row>
    <row r="9319" spans="7:7">
      <c r="G9319" s="149"/>
    </row>
    <row r="9320" spans="7:7">
      <c r="G9320" s="149"/>
    </row>
    <row r="9321" spans="7:7">
      <c r="G9321" s="149"/>
    </row>
    <row r="9322" spans="7:7">
      <c r="G9322" s="149"/>
    </row>
    <row r="9323" spans="7:7">
      <c r="G9323" s="149"/>
    </row>
    <row r="9324" spans="7:7">
      <c r="G9324" s="149"/>
    </row>
    <row r="9325" spans="7:7">
      <c r="G9325" s="149"/>
    </row>
    <row r="9326" spans="7:7">
      <c r="G9326" s="149"/>
    </row>
    <row r="9327" spans="7:7">
      <c r="G9327" s="149"/>
    </row>
    <row r="9328" spans="7:7">
      <c r="G9328" s="149"/>
    </row>
    <row r="9329" spans="7:7">
      <c r="G9329" s="149"/>
    </row>
    <row r="9330" spans="7:7">
      <c r="G9330" s="149"/>
    </row>
    <row r="9331" spans="7:7">
      <c r="G9331" s="149"/>
    </row>
    <row r="9332" spans="7:7">
      <c r="G9332" s="149"/>
    </row>
    <row r="9333" spans="7:7">
      <c r="G9333" s="149"/>
    </row>
    <row r="9334" spans="7:7">
      <c r="G9334" s="149"/>
    </row>
    <row r="9335" spans="7:7">
      <c r="G9335" s="149"/>
    </row>
    <row r="9336" spans="7:7">
      <c r="G9336" s="149"/>
    </row>
    <row r="9337" spans="7:7">
      <c r="G9337" s="149"/>
    </row>
    <row r="9338" spans="7:7">
      <c r="G9338" s="149"/>
    </row>
    <row r="9339" spans="7:7">
      <c r="G9339" s="149"/>
    </row>
    <row r="9340" spans="7:7">
      <c r="G9340" s="149"/>
    </row>
    <row r="9341" spans="7:7">
      <c r="G9341" s="149"/>
    </row>
    <row r="9342" spans="7:7">
      <c r="G9342" s="149"/>
    </row>
    <row r="9343" spans="7:7">
      <c r="G9343" s="149"/>
    </row>
    <row r="9344" spans="7:7">
      <c r="G9344" s="149"/>
    </row>
    <row r="9345" spans="7:7">
      <c r="G9345" s="149"/>
    </row>
    <row r="9346" spans="7:7">
      <c r="G9346" s="149"/>
    </row>
    <row r="9347" spans="7:7">
      <c r="G9347" s="149"/>
    </row>
    <row r="9348" spans="7:7">
      <c r="G9348" s="149"/>
    </row>
    <row r="9349" spans="7:7">
      <c r="G9349" s="149"/>
    </row>
    <row r="9350" spans="7:7">
      <c r="G9350" s="149"/>
    </row>
    <row r="9351" spans="7:7">
      <c r="G9351" s="149"/>
    </row>
    <row r="9352" spans="7:7">
      <c r="G9352" s="149"/>
    </row>
    <row r="9353" spans="7:7">
      <c r="G9353" s="149"/>
    </row>
    <row r="9354" spans="7:7">
      <c r="G9354" s="149"/>
    </row>
    <row r="9355" spans="7:7">
      <c r="G9355" s="149"/>
    </row>
    <row r="9356" spans="7:7">
      <c r="G9356" s="149"/>
    </row>
    <row r="9357" spans="7:7">
      <c r="G9357" s="149"/>
    </row>
    <row r="9358" spans="7:7">
      <c r="G9358" s="149"/>
    </row>
    <row r="9359" spans="7:7">
      <c r="G9359" s="149"/>
    </row>
    <row r="9360" spans="7:7">
      <c r="G9360" s="149"/>
    </row>
    <row r="9361" spans="7:7">
      <c r="G9361" s="149"/>
    </row>
    <row r="9362" spans="7:7">
      <c r="G9362" s="149"/>
    </row>
    <row r="9363" spans="7:7">
      <c r="G9363" s="149"/>
    </row>
    <row r="9364" spans="7:7">
      <c r="G9364" s="149"/>
    </row>
    <row r="9365" spans="7:7">
      <c r="G9365" s="149"/>
    </row>
    <row r="9366" spans="7:7">
      <c r="G9366" s="149"/>
    </row>
    <row r="9367" spans="7:7">
      <c r="G9367" s="149"/>
    </row>
    <row r="9368" spans="7:7">
      <c r="G9368" s="149"/>
    </row>
    <row r="9369" spans="7:7">
      <c r="G9369" s="149"/>
    </row>
    <row r="9370" spans="7:7">
      <c r="G9370" s="149"/>
    </row>
    <row r="9371" spans="7:7">
      <c r="G9371" s="149"/>
    </row>
    <row r="9372" spans="7:7">
      <c r="G9372" s="149"/>
    </row>
    <row r="9373" spans="7:7">
      <c r="G9373" s="149"/>
    </row>
    <row r="9374" spans="7:7">
      <c r="G9374" s="149"/>
    </row>
    <row r="9375" spans="7:7">
      <c r="G9375" s="149"/>
    </row>
    <row r="9376" spans="7:7">
      <c r="G9376" s="149"/>
    </row>
    <row r="9377" spans="7:7">
      <c r="G9377" s="149"/>
    </row>
    <row r="9378" spans="7:7">
      <c r="G9378" s="149"/>
    </row>
    <row r="9379" spans="7:7">
      <c r="G9379" s="149"/>
    </row>
    <row r="9380" spans="7:7">
      <c r="G9380" s="149"/>
    </row>
    <row r="9381" spans="7:7">
      <c r="G9381" s="149"/>
    </row>
    <row r="9382" spans="7:7">
      <c r="G9382" s="149"/>
    </row>
    <row r="9383" spans="7:7">
      <c r="G9383" s="149"/>
    </row>
    <row r="9384" spans="7:7">
      <c r="G9384" s="149"/>
    </row>
    <row r="9385" spans="7:7">
      <c r="G9385" s="149"/>
    </row>
    <row r="9386" spans="7:7">
      <c r="G9386" s="149"/>
    </row>
    <row r="9387" spans="7:7">
      <c r="G9387" s="149"/>
    </row>
    <row r="9388" spans="7:7">
      <c r="G9388" s="149"/>
    </row>
    <row r="9389" spans="7:7">
      <c r="G9389" s="149"/>
    </row>
    <row r="9390" spans="7:7">
      <c r="G9390" s="149"/>
    </row>
    <row r="9391" spans="7:7">
      <c r="G9391" s="149"/>
    </row>
    <row r="9392" spans="7:7">
      <c r="G9392" s="149"/>
    </row>
    <row r="9393" spans="7:7">
      <c r="G9393" s="149"/>
    </row>
    <row r="9394" spans="7:7">
      <c r="G9394" s="149"/>
    </row>
    <row r="9395" spans="7:7">
      <c r="G9395" s="149"/>
    </row>
    <row r="9396" spans="7:7">
      <c r="G9396" s="149"/>
    </row>
    <row r="9397" spans="7:7">
      <c r="G9397" s="149"/>
    </row>
    <row r="9398" spans="7:7">
      <c r="G9398" s="149"/>
    </row>
    <row r="9399" spans="7:7">
      <c r="G9399" s="149"/>
    </row>
    <row r="9400" spans="7:7">
      <c r="G9400" s="149"/>
    </row>
    <row r="9401" spans="7:7">
      <c r="G9401" s="149"/>
    </row>
    <row r="9402" spans="7:7">
      <c r="G9402" s="149"/>
    </row>
    <row r="9403" spans="7:7">
      <c r="G9403" s="149"/>
    </row>
    <row r="9404" spans="7:7">
      <c r="G9404" s="149"/>
    </row>
    <row r="9405" spans="7:7">
      <c r="G9405" s="149"/>
    </row>
    <row r="9406" spans="7:7">
      <c r="G9406" s="149"/>
    </row>
    <row r="9407" spans="7:7">
      <c r="G9407" s="149"/>
    </row>
    <row r="9408" spans="7:7">
      <c r="G9408" s="149"/>
    </row>
    <row r="9409" spans="7:7">
      <c r="G9409" s="149"/>
    </row>
    <row r="9410" spans="7:7">
      <c r="G9410" s="149"/>
    </row>
    <row r="9411" spans="7:7">
      <c r="G9411" s="149"/>
    </row>
    <row r="9412" spans="7:7">
      <c r="G9412" s="149"/>
    </row>
    <row r="9413" spans="7:7">
      <c r="G9413" s="149"/>
    </row>
    <row r="9414" spans="7:7">
      <c r="G9414" s="149"/>
    </row>
    <row r="9415" spans="7:7">
      <c r="G9415" s="149"/>
    </row>
    <row r="9416" spans="7:7">
      <c r="G9416" s="149"/>
    </row>
    <row r="9417" spans="7:7">
      <c r="G9417" s="149"/>
    </row>
    <row r="9418" spans="7:7">
      <c r="G9418" s="149"/>
    </row>
    <row r="9419" spans="7:7">
      <c r="G9419" s="149"/>
    </row>
    <row r="9420" spans="7:7">
      <c r="G9420" s="149"/>
    </row>
    <row r="9421" spans="7:7">
      <c r="G9421" s="149"/>
    </row>
    <row r="9422" spans="7:7">
      <c r="G9422" s="149"/>
    </row>
    <row r="9423" spans="7:7">
      <c r="G9423" s="149"/>
    </row>
    <row r="9424" spans="7:7">
      <c r="G9424" s="149"/>
    </row>
    <row r="9425" spans="7:7">
      <c r="G9425" s="149"/>
    </row>
    <row r="9426" spans="7:7">
      <c r="G9426" s="149"/>
    </row>
    <row r="9427" spans="7:7">
      <c r="G9427" s="149"/>
    </row>
    <row r="9428" spans="7:7">
      <c r="G9428" s="149"/>
    </row>
    <row r="9429" spans="7:7">
      <c r="G9429" s="149"/>
    </row>
    <row r="9430" spans="7:7">
      <c r="G9430" s="149"/>
    </row>
    <row r="9431" spans="7:7">
      <c r="G9431" s="149"/>
    </row>
    <row r="9432" spans="7:7">
      <c r="G9432" s="149"/>
    </row>
    <row r="9433" spans="7:7">
      <c r="G9433" s="149"/>
    </row>
    <row r="9434" spans="7:7">
      <c r="G9434" s="149"/>
    </row>
    <row r="9435" spans="7:7">
      <c r="G9435" s="149"/>
    </row>
    <row r="9436" spans="7:7">
      <c r="G9436" s="149"/>
    </row>
    <row r="9437" spans="7:7">
      <c r="G9437" s="149"/>
    </row>
    <row r="9438" spans="7:7">
      <c r="G9438" s="149"/>
    </row>
    <row r="9439" spans="7:7">
      <c r="G9439" s="149"/>
    </row>
    <row r="9440" spans="7:7">
      <c r="G9440" s="149"/>
    </row>
    <row r="9441" spans="7:7">
      <c r="G9441" s="149"/>
    </row>
    <row r="9442" spans="7:7">
      <c r="G9442" s="149"/>
    </row>
    <row r="9443" spans="7:7">
      <c r="G9443" s="149"/>
    </row>
    <row r="9444" spans="7:7">
      <c r="G9444" s="149"/>
    </row>
    <row r="9445" spans="7:7">
      <c r="G9445" s="149"/>
    </row>
    <row r="9446" spans="7:7">
      <c r="G9446" s="149"/>
    </row>
    <row r="9447" spans="7:7">
      <c r="G9447" s="149"/>
    </row>
    <row r="9448" spans="7:7">
      <c r="G9448" s="149"/>
    </row>
    <row r="9449" spans="7:7">
      <c r="G9449" s="149"/>
    </row>
    <row r="9450" spans="7:7">
      <c r="G9450" s="149"/>
    </row>
    <row r="9451" spans="7:7">
      <c r="G9451" s="149"/>
    </row>
    <row r="9452" spans="7:7">
      <c r="G9452" s="149"/>
    </row>
    <row r="9453" spans="7:7">
      <c r="G9453" s="149"/>
    </row>
    <row r="9454" spans="7:7">
      <c r="G9454" s="149"/>
    </row>
    <row r="9455" spans="7:7">
      <c r="G9455" s="149"/>
    </row>
    <row r="9456" spans="7:7">
      <c r="G9456" s="149"/>
    </row>
    <row r="9457" spans="7:7">
      <c r="G9457" s="149"/>
    </row>
    <row r="9458" spans="7:7">
      <c r="G9458" s="149"/>
    </row>
    <row r="9459" spans="7:7">
      <c r="G9459" s="149"/>
    </row>
    <row r="9460" spans="7:7">
      <c r="G9460" s="149"/>
    </row>
    <row r="9461" spans="7:7">
      <c r="G9461" s="149"/>
    </row>
    <row r="9462" spans="7:7">
      <c r="G9462" s="149"/>
    </row>
    <row r="9463" spans="7:7">
      <c r="G9463" s="149"/>
    </row>
    <row r="9464" spans="7:7">
      <c r="G9464" s="149"/>
    </row>
    <row r="9465" spans="7:7">
      <c r="G9465" s="149"/>
    </row>
    <row r="9466" spans="7:7">
      <c r="G9466" s="149"/>
    </row>
    <row r="9467" spans="7:7">
      <c r="G9467" s="149"/>
    </row>
    <row r="9468" spans="7:7">
      <c r="G9468" s="149"/>
    </row>
    <row r="9469" spans="7:7">
      <c r="G9469" s="149"/>
    </row>
    <row r="9470" spans="7:7">
      <c r="G9470" s="149"/>
    </row>
    <row r="9471" spans="7:7">
      <c r="G9471" s="149"/>
    </row>
    <row r="9472" spans="7:7">
      <c r="G9472" s="149"/>
    </row>
    <row r="9473" spans="7:7">
      <c r="G9473" s="149"/>
    </row>
    <row r="9474" spans="7:7">
      <c r="G9474" s="149"/>
    </row>
    <row r="9475" spans="7:7">
      <c r="G9475" s="149"/>
    </row>
    <row r="9476" spans="7:7">
      <c r="G9476" s="149"/>
    </row>
    <row r="9477" spans="7:7">
      <c r="G9477" s="149"/>
    </row>
    <row r="9478" spans="7:7">
      <c r="G9478" s="149"/>
    </row>
    <row r="9479" spans="7:7">
      <c r="G9479" s="149"/>
    </row>
    <row r="9480" spans="7:7">
      <c r="G9480" s="149"/>
    </row>
    <row r="9481" spans="7:7">
      <c r="G9481" s="149"/>
    </row>
    <row r="9482" spans="7:7">
      <c r="G9482" s="149"/>
    </row>
    <row r="9483" spans="7:7">
      <c r="G9483" s="149"/>
    </row>
    <row r="9484" spans="7:7">
      <c r="G9484" s="149"/>
    </row>
    <row r="9485" spans="7:7">
      <c r="G9485" s="149"/>
    </row>
    <row r="9486" spans="7:7">
      <c r="G9486" s="149"/>
    </row>
    <row r="9487" spans="7:7">
      <c r="G9487" s="149"/>
    </row>
    <row r="9488" spans="7:7">
      <c r="G9488" s="149"/>
    </row>
    <row r="9489" spans="7:7">
      <c r="G9489" s="149"/>
    </row>
    <row r="9490" spans="7:7">
      <c r="G9490" s="149"/>
    </row>
    <row r="9491" spans="7:7">
      <c r="G9491" s="149"/>
    </row>
    <row r="9492" spans="7:7">
      <c r="G9492" s="149"/>
    </row>
    <row r="9493" spans="7:7">
      <c r="G9493" s="149"/>
    </row>
    <row r="9494" spans="7:7">
      <c r="G9494" s="149"/>
    </row>
    <row r="9495" spans="7:7">
      <c r="G9495" s="149"/>
    </row>
    <row r="9496" spans="7:7">
      <c r="G9496" s="149"/>
    </row>
    <row r="9497" spans="7:7">
      <c r="G9497" s="149"/>
    </row>
    <row r="9498" spans="7:7">
      <c r="G9498" s="149"/>
    </row>
    <row r="9499" spans="7:7">
      <c r="G9499" s="149"/>
    </row>
    <row r="9500" spans="7:7">
      <c r="G9500" s="149"/>
    </row>
    <row r="9501" spans="7:7">
      <c r="G9501" s="149"/>
    </row>
    <row r="9502" spans="7:7">
      <c r="G9502" s="149"/>
    </row>
    <row r="9503" spans="7:7">
      <c r="G9503" s="149"/>
    </row>
    <row r="9504" spans="7:7">
      <c r="G9504" s="149"/>
    </row>
    <row r="9505" spans="7:7">
      <c r="G9505" s="149"/>
    </row>
    <row r="9506" spans="7:7">
      <c r="G9506" s="149"/>
    </row>
    <row r="9507" spans="7:7">
      <c r="G9507" s="149"/>
    </row>
    <row r="9508" spans="7:7">
      <c r="G9508" s="149"/>
    </row>
    <row r="9509" spans="7:7">
      <c r="G9509" s="149"/>
    </row>
    <row r="9510" spans="7:7">
      <c r="G9510" s="149"/>
    </row>
    <row r="9511" spans="7:7">
      <c r="G9511" s="149"/>
    </row>
    <row r="9512" spans="7:7">
      <c r="G9512" s="149"/>
    </row>
    <row r="9513" spans="7:7">
      <c r="G9513" s="149"/>
    </row>
    <row r="9514" spans="7:7">
      <c r="G9514" s="149"/>
    </row>
    <row r="9515" spans="7:7">
      <c r="G9515" s="149"/>
    </row>
    <row r="9516" spans="7:7">
      <c r="G9516" s="149"/>
    </row>
    <row r="9517" spans="7:7">
      <c r="G9517" s="149"/>
    </row>
    <row r="9518" spans="7:7">
      <c r="G9518" s="149"/>
    </row>
    <row r="9519" spans="7:7">
      <c r="G9519" s="149"/>
    </row>
    <row r="9520" spans="7:7">
      <c r="G9520" s="149"/>
    </row>
    <row r="9521" spans="7:7">
      <c r="G9521" s="149"/>
    </row>
    <row r="9522" spans="7:7">
      <c r="G9522" s="149"/>
    </row>
    <row r="9523" spans="7:7">
      <c r="G9523" s="149"/>
    </row>
    <row r="9524" spans="7:7">
      <c r="G9524" s="149"/>
    </row>
    <row r="9525" spans="7:7">
      <c r="G9525" s="149"/>
    </row>
    <row r="9526" spans="7:7">
      <c r="G9526" s="149"/>
    </row>
    <row r="9527" spans="7:7">
      <c r="G9527" s="149"/>
    </row>
    <row r="9528" spans="7:7">
      <c r="G9528" s="149"/>
    </row>
    <row r="9529" spans="7:7">
      <c r="G9529" s="149"/>
    </row>
    <row r="9530" spans="7:7">
      <c r="G9530" s="149"/>
    </row>
    <row r="9531" spans="7:7">
      <c r="G9531" s="149"/>
    </row>
    <row r="9532" spans="7:7">
      <c r="G9532" s="149"/>
    </row>
    <row r="9533" spans="7:7">
      <c r="G9533" s="149"/>
    </row>
    <row r="9534" spans="7:7">
      <c r="G9534" s="149"/>
    </row>
    <row r="9535" spans="7:7">
      <c r="G9535" s="149"/>
    </row>
    <row r="9536" spans="7:7">
      <c r="G9536" s="149"/>
    </row>
    <row r="9537" spans="7:7">
      <c r="G9537" s="149"/>
    </row>
    <row r="9538" spans="7:7">
      <c r="G9538" s="149"/>
    </row>
    <row r="9539" spans="7:7">
      <c r="G9539" s="149"/>
    </row>
    <row r="9540" spans="7:7">
      <c r="G9540" s="149"/>
    </row>
    <row r="9541" spans="7:7">
      <c r="G9541" s="149"/>
    </row>
    <row r="9542" spans="7:7">
      <c r="G9542" s="149"/>
    </row>
    <row r="9543" spans="7:7">
      <c r="G9543" s="149"/>
    </row>
    <row r="9544" spans="7:7">
      <c r="G9544" s="149"/>
    </row>
    <row r="9545" spans="7:7">
      <c r="G9545" s="149"/>
    </row>
    <row r="9546" spans="7:7">
      <c r="G9546" s="149"/>
    </row>
    <row r="9547" spans="7:7">
      <c r="G9547" s="149"/>
    </row>
    <row r="9548" spans="7:7">
      <c r="G9548" s="149"/>
    </row>
    <row r="9549" spans="7:7">
      <c r="G9549" s="149"/>
    </row>
    <row r="9550" spans="7:7">
      <c r="G9550" s="149"/>
    </row>
    <row r="9551" spans="7:7">
      <c r="G9551" s="149"/>
    </row>
    <row r="9552" spans="7:7">
      <c r="G9552" s="149"/>
    </row>
    <row r="9553" spans="7:7">
      <c r="G9553" s="149"/>
    </row>
    <row r="9554" spans="7:7">
      <c r="G9554" s="149"/>
    </row>
    <row r="9555" spans="7:7">
      <c r="G9555" s="149"/>
    </row>
    <row r="9556" spans="7:7">
      <c r="G9556" s="149"/>
    </row>
    <row r="9557" spans="7:7">
      <c r="G9557" s="149"/>
    </row>
    <row r="9558" spans="7:7">
      <c r="G9558" s="149"/>
    </row>
    <row r="9559" spans="7:7">
      <c r="G9559" s="149"/>
    </row>
    <row r="9560" spans="7:7">
      <c r="G9560" s="149"/>
    </row>
    <row r="9561" spans="7:7">
      <c r="G9561" s="149"/>
    </row>
    <row r="9562" spans="7:7">
      <c r="G9562" s="149"/>
    </row>
    <row r="9563" spans="7:7">
      <c r="G9563" s="149"/>
    </row>
    <row r="9564" spans="7:7">
      <c r="G9564" s="149"/>
    </row>
    <row r="9565" spans="7:7">
      <c r="G9565" s="149"/>
    </row>
    <row r="9566" spans="7:7">
      <c r="G9566" s="149"/>
    </row>
    <row r="9567" spans="7:7">
      <c r="G9567" s="149"/>
    </row>
    <row r="9568" spans="7:7">
      <c r="G9568" s="149"/>
    </row>
    <row r="9569" spans="7:7">
      <c r="G9569" s="149"/>
    </row>
    <row r="9570" spans="7:7">
      <c r="G9570" s="149"/>
    </row>
    <row r="9571" spans="7:7">
      <c r="G9571" s="149"/>
    </row>
    <row r="9572" spans="7:7">
      <c r="G9572" s="149"/>
    </row>
    <row r="9573" spans="7:7">
      <c r="G9573" s="149"/>
    </row>
    <row r="9574" spans="7:7">
      <c r="G9574" s="149"/>
    </row>
    <row r="9575" spans="7:7">
      <c r="G9575" s="149"/>
    </row>
    <row r="9576" spans="7:7">
      <c r="G9576" s="149"/>
    </row>
    <row r="9577" spans="7:7">
      <c r="G9577" s="149"/>
    </row>
    <row r="9578" spans="7:7">
      <c r="G9578" s="149"/>
    </row>
    <row r="9579" spans="7:7">
      <c r="G9579" s="149"/>
    </row>
    <row r="9580" spans="7:7">
      <c r="G9580" s="149"/>
    </row>
    <row r="9581" spans="7:7">
      <c r="G9581" s="149"/>
    </row>
    <row r="9582" spans="7:7">
      <c r="G9582" s="149"/>
    </row>
    <row r="9583" spans="7:7">
      <c r="G9583" s="149"/>
    </row>
    <row r="9584" spans="7:7">
      <c r="G9584" s="149"/>
    </row>
    <row r="9585" spans="7:7">
      <c r="G9585" s="149"/>
    </row>
    <row r="9586" spans="7:7">
      <c r="G9586" s="149"/>
    </row>
    <row r="9587" spans="7:7">
      <c r="G9587" s="149"/>
    </row>
    <row r="9588" spans="7:7">
      <c r="G9588" s="149"/>
    </row>
    <row r="9589" spans="7:7">
      <c r="G9589" s="149"/>
    </row>
    <row r="9590" spans="7:7">
      <c r="G9590" s="149"/>
    </row>
    <row r="9591" spans="7:7">
      <c r="G9591" s="149"/>
    </row>
    <row r="9592" spans="7:7">
      <c r="G9592" s="149"/>
    </row>
    <row r="9593" spans="7:7">
      <c r="G9593" s="149"/>
    </row>
    <row r="9594" spans="7:7">
      <c r="G9594" s="149"/>
    </row>
    <row r="9595" spans="7:7">
      <c r="G9595" s="149"/>
    </row>
    <row r="9596" spans="7:7">
      <c r="G9596" s="149"/>
    </row>
    <row r="9597" spans="7:7">
      <c r="G9597" s="149"/>
    </row>
    <row r="9598" spans="7:7">
      <c r="G9598" s="149"/>
    </row>
    <row r="9599" spans="7:7">
      <c r="G9599" s="149"/>
    </row>
    <row r="9600" spans="7:7">
      <c r="G9600" s="149"/>
    </row>
    <row r="9601" spans="7:7">
      <c r="G9601" s="149"/>
    </row>
    <row r="9602" spans="7:7">
      <c r="G9602" s="149"/>
    </row>
    <row r="9603" spans="7:7">
      <c r="G9603" s="149"/>
    </row>
    <row r="9604" spans="7:7">
      <c r="G9604" s="149"/>
    </row>
    <row r="9605" spans="7:7">
      <c r="G9605" s="149"/>
    </row>
    <row r="9606" spans="7:7">
      <c r="G9606" s="149"/>
    </row>
    <row r="9607" spans="7:7">
      <c r="G9607" s="149"/>
    </row>
    <row r="9608" spans="7:7">
      <c r="G9608" s="149"/>
    </row>
    <row r="9609" spans="7:7">
      <c r="G9609" s="149"/>
    </row>
    <row r="9610" spans="7:7">
      <c r="G9610" s="149"/>
    </row>
    <row r="9611" spans="7:7">
      <c r="G9611" s="149"/>
    </row>
    <row r="9612" spans="7:7">
      <c r="G9612" s="149"/>
    </row>
    <row r="9613" spans="7:7">
      <c r="G9613" s="149"/>
    </row>
    <row r="9614" spans="7:7">
      <c r="G9614" s="149"/>
    </row>
    <row r="9615" spans="7:7">
      <c r="G9615" s="149"/>
    </row>
    <row r="9616" spans="7:7">
      <c r="G9616" s="149"/>
    </row>
    <row r="9617" spans="7:7">
      <c r="G9617" s="149"/>
    </row>
    <row r="9618" spans="7:7">
      <c r="G9618" s="149"/>
    </row>
    <row r="9619" spans="7:7">
      <c r="G9619" s="149"/>
    </row>
    <row r="9620" spans="7:7">
      <c r="G9620" s="149"/>
    </row>
    <row r="9621" spans="7:7">
      <c r="G9621" s="149"/>
    </row>
    <row r="9622" spans="7:7">
      <c r="G9622" s="149"/>
    </row>
    <row r="9623" spans="7:7">
      <c r="G9623" s="149"/>
    </row>
    <row r="9624" spans="7:7">
      <c r="G9624" s="149"/>
    </row>
    <row r="9625" spans="7:7">
      <c r="G9625" s="149"/>
    </row>
    <row r="9626" spans="7:7">
      <c r="G9626" s="149"/>
    </row>
    <row r="9627" spans="7:7">
      <c r="G9627" s="149"/>
    </row>
    <row r="9628" spans="7:7">
      <c r="G9628" s="149"/>
    </row>
    <row r="9629" spans="7:7">
      <c r="G9629" s="149"/>
    </row>
    <row r="9630" spans="7:7">
      <c r="G9630" s="149"/>
    </row>
    <row r="9631" spans="7:7">
      <c r="G9631" s="149"/>
    </row>
    <row r="9632" spans="7:7">
      <c r="G9632" s="149"/>
    </row>
    <row r="9633" spans="7:7">
      <c r="G9633" s="149"/>
    </row>
    <row r="9634" spans="7:7">
      <c r="G9634" s="149"/>
    </row>
    <row r="9635" spans="7:7">
      <c r="G9635" s="149"/>
    </row>
    <row r="9636" spans="7:7">
      <c r="G9636" s="149"/>
    </row>
    <row r="9637" spans="7:7">
      <c r="G9637" s="149"/>
    </row>
    <row r="9638" spans="7:7">
      <c r="G9638" s="149"/>
    </row>
    <row r="9639" spans="7:7">
      <c r="G9639" s="149"/>
    </row>
    <row r="9640" spans="7:7">
      <c r="G9640" s="149"/>
    </row>
    <row r="9641" spans="7:7">
      <c r="G9641" s="149"/>
    </row>
    <row r="9642" spans="7:7">
      <c r="G9642" s="149"/>
    </row>
    <row r="9643" spans="7:7">
      <c r="G9643" s="149"/>
    </row>
    <row r="9644" spans="7:7">
      <c r="G9644" s="149"/>
    </row>
    <row r="9645" spans="7:7">
      <c r="G9645" s="149"/>
    </row>
    <row r="9646" spans="7:7">
      <c r="G9646" s="149"/>
    </row>
    <row r="9647" spans="7:7">
      <c r="G9647" s="149"/>
    </row>
    <row r="9648" spans="7:7">
      <c r="G9648" s="149"/>
    </row>
    <row r="9649" spans="7:7">
      <c r="G9649" s="149"/>
    </row>
    <row r="9650" spans="7:7">
      <c r="G9650" s="149"/>
    </row>
    <row r="9651" spans="7:7">
      <c r="G9651" s="149"/>
    </row>
    <row r="9652" spans="7:7">
      <c r="G9652" s="149"/>
    </row>
    <row r="9653" spans="7:7">
      <c r="G9653" s="149"/>
    </row>
    <row r="9654" spans="7:7">
      <c r="G9654" s="149"/>
    </row>
    <row r="9655" spans="7:7">
      <c r="G9655" s="149"/>
    </row>
    <row r="9656" spans="7:7">
      <c r="G9656" s="149"/>
    </row>
    <row r="9657" spans="7:7">
      <c r="G9657" s="149"/>
    </row>
    <row r="9658" spans="7:7">
      <c r="G9658" s="149"/>
    </row>
    <row r="9659" spans="7:7">
      <c r="G9659" s="149"/>
    </row>
    <row r="9660" spans="7:7">
      <c r="G9660" s="149"/>
    </row>
    <row r="9661" spans="7:7">
      <c r="G9661" s="149"/>
    </row>
    <row r="9662" spans="7:7">
      <c r="G9662" s="149"/>
    </row>
    <row r="9663" spans="7:7">
      <c r="G9663" s="149"/>
    </row>
    <row r="9664" spans="7:7">
      <c r="G9664" s="149"/>
    </row>
    <row r="9665" spans="7:7">
      <c r="G9665" s="149"/>
    </row>
    <row r="9666" spans="7:7">
      <c r="G9666" s="149"/>
    </row>
    <row r="9667" spans="7:7">
      <c r="G9667" s="149"/>
    </row>
    <row r="9668" spans="7:7">
      <c r="G9668" s="149"/>
    </row>
    <row r="9669" spans="7:7">
      <c r="G9669" s="149"/>
    </row>
    <row r="9670" spans="7:7">
      <c r="G9670" s="149"/>
    </row>
    <row r="9671" spans="7:7">
      <c r="G9671" s="149"/>
    </row>
    <row r="9672" spans="7:7">
      <c r="G9672" s="149"/>
    </row>
    <row r="9673" spans="7:7">
      <c r="G9673" s="149"/>
    </row>
    <row r="9674" spans="7:7">
      <c r="G9674" s="149"/>
    </row>
    <row r="9675" spans="7:7">
      <c r="G9675" s="149"/>
    </row>
    <row r="9676" spans="7:7">
      <c r="G9676" s="149"/>
    </row>
    <row r="9677" spans="7:7">
      <c r="G9677" s="149"/>
    </row>
    <row r="9678" spans="7:7">
      <c r="G9678" s="149"/>
    </row>
    <row r="9679" spans="7:7">
      <c r="G9679" s="149"/>
    </row>
    <row r="9680" spans="7:7">
      <c r="G9680" s="149"/>
    </row>
    <row r="9681" spans="7:7">
      <c r="G9681" s="149"/>
    </row>
    <row r="9682" spans="7:7">
      <c r="G9682" s="149"/>
    </row>
    <row r="9683" spans="7:7">
      <c r="G9683" s="149"/>
    </row>
    <row r="9684" spans="7:7">
      <c r="G9684" s="149"/>
    </row>
    <row r="9685" spans="7:7">
      <c r="G9685" s="149"/>
    </row>
    <row r="9686" spans="7:7">
      <c r="G9686" s="149"/>
    </row>
    <row r="9687" spans="7:7">
      <c r="G9687" s="149"/>
    </row>
    <row r="9688" spans="7:7">
      <c r="G9688" s="149"/>
    </row>
    <row r="9689" spans="7:7">
      <c r="G9689" s="149"/>
    </row>
    <row r="9690" spans="7:7">
      <c r="G9690" s="149"/>
    </row>
    <row r="9691" spans="7:7">
      <c r="G9691" s="149"/>
    </row>
    <row r="9692" spans="7:7">
      <c r="G9692" s="149"/>
    </row>
    <row r="9693" spans="7:7">
      <c r="G9693" s="149"/>
    </row>
    <row r="9694" spans="7:7">
      <c r="G9694" s="149"/>
    </row>
    <row r="9695" spans="7:7">
      <c r="G9695" s="149"/>
    </row>
    <row r="9696" spans="7:7">
      <c r="G9696" s="149"/>
    </row>
    <row r="9697" spans="7:7">
      <c r="G9697" s="149"/>
    </row>
    <row r="9698" spans="7:7">
      <c r="G9698" s="149"/>
    </row>
    <row r="9699" spans="7:7">
      <c r="G9699" s="149"/>
    </row>
    <row r="9700" spans="7:7">
      <c r="G9700" s="149"/>
    </row>
    <row r="9701" spans="7:7">
      <c r="G9701" s="149"/>
    </row>
    <row r="9702" spans="7:7">
      <c r="G9702" s="149"/>
    </row>
    <row r="9703" spans="7:7">
      <c r="G9703" s="149"/>
    </row>
    <row r="9704" spans="7:7">
      <c r="G9704" s="149"/>
    </row>
    <row r="9705" spans="7:7">
      <c r="G9705" s="149"/>
    </row>
    <row r="9706" spans="7:7">
      <c r="G9706" s="149"/>
    </row>
    <row r="9707" spans="7:7">
      <c r="G9707" s="149"/>
    </row>
    <row r="9708" spans="7:7">
      <c r="G9708" s="149"/>
    </row>
    <row r="9709" spans="7:7">
      <c r="G9709" s="149"/>
    </row>
    <row r="9710" spans="7:7">
      <c r="G9710" s="149"/>
    </row>
    <row r="9711" spans="7:7">
      <c r="G9711" s="149"/>
    </row>
    <row r="9712" spans="7:7">
      <c r="G9712" s="149"/>
    </row>
    <row r="9713" spans="7:7">
      <c r="G9713" s="149"/>
    </row>
    <row r="9714" spans="7:7">
      <c r="G9714" s="149"/>
    </row>
    <row r="9715" spans="7:7">
      <c r="G9715" s="149"/>
    </row>
    <row r="9716" spans="7:7">
      <c r="G9716" s="149"/>
    </row>
    <row r="9717" spans="7:7">
      <c r="G9717" s="149"/>
    </row>
    <row r="9718" spans="7:7">
      <c r="G9718" s="149"/>
    </row>
    <row r="9719" spans="7:7">
      <c r="G9719" s="149"/>
    </row>
    <row r="9720" spans="7:7">
      <c r="G9720" s="149"/>
    </row>
    <row r="9721" spans="7:7">
      <c r="G9721" s="149"/>
    </row>
    <row r="9722" spans="7:7">
      <c r="G9722" s="149"/>
    </row>
    <row r="9723" spans="7:7">
      <c r="G9723" s="149"/>
    </row>
    <row r="9724" spans="7:7">
      <c r="G9724" s="149"/>
    </row>
    <row r="9725" spans="7:7">
      <c r="G9725" s="149"/>
    </row>
    <row r="9726" spans="7:7">
      <c r="G9726" s="149"/>
    </row>
    <row r="9727" spans="7:7">
      <c r="G9727" s="149"/>
    </row>
    <row r="9728" spans="7:7">
      <c r="G9728" s="149"/>
    </row>
    <row r="9729" spans="7:7">
      <c r="G9729" s="149"/>
    </row>
    <row r="9730" spans="7:7">
      <c r="G9730" s="149"/>
    </row>
    <row r="9731" spans="7:7">
      <c r="G9731" s="149"/>
    </row>
    <row r="9732" spans="7:7">
      <c r="G9732" s="149"/>
    </row>
    <row r="9733" spans="7:7">
      <c r="G9733" s="149"/>
    </row>
    <row r="9734" spans="7:7">
      <c r="G9734" s="149"/>
    </row>
    <row r="9735" spans="7:7">
      <c r="G9735" s="149"/>
    </row>
    <row r="9736" spans="7:7">
      <c r="G9736" s="149"/>
    </row>
    <row r="9737" spans="7:7">
      <c r="G9737" s="149"/>
    </row>
    <row r="9738" spans="7:7">
      <c r="G9738" s="149"/>
    </row>
    <row r="9739" spans="7:7">
      <c r="G9739" s="149"/>
    </row>
    <row r="9740" spans="7:7">
      <c r="G9740" s="149"/>
    </row>
    <row r="9741" spans="7:7">
      <c r="G9741" s="149"/>
    </row>
    <row r="9742" spans="7:7">
      <c r="G9742" s="149"/>
    </row>
    <row r="9743" spans="7:7">
      <c r="G9743" s="149"/>
    </row>
    <row r="9744" spans="7:7">
      <c r="G9744" s="149"/>
    </row>
    <row r="9745" spans="7:7">
      <c r="G9745" s="149"/>
    </row>
    <row r="9746" spans="7:7">
      <c r="G9746" s="149"/>
    </row>
    <row r="9747" spans="7:7">
      <c r="G9747" s="149"/>
    </row>
    <row r="9748" spans="7:7">
      <c r="G9748" s="149"/>
    </row>
    <row r="9749" spans="7:7">
      <c r="G9749" s="149"/>
    </row>
    <row r="9750" spans="7:7">
      <c r="G9750" s="149"/>
    </row>
    <row r="9751" spans="7:7">
      <c r="G9751" s="149"/>
    </row>
    <row r="9752" spans="7:7">
      <c r="G9752" s="149"/>
    </row>
    <row r="9753" spans="7:7">
      <c r="G9753" s="149"/>
    </row>
    <row r="9754" spans="7:7">
      <c r="G9754" s="149"/>
    </row>
    <row r="9755" spans="7:7">
      <c r="G9755" s="149"/>
    </row>
    <row r="9756" spans="7:7">
      <c r="G9756" s="149"/>
    </row>
    <row r="9757" spans="7:7">
      <c r="G9757" s="149"/>
    </row>
    <row r="9758" spans="7:7">
      <c r="G9758" s="149"/>
    </row>
    <row r="9759" spans="7:7">
      <c r="G9759" s="149"/>
    </row>
    <row r="9760" spans="7:7">
      <c r="G9760" s="149"/>
    </row>
    <row r="9761" spans="7:7">
      <c r="G9761" s="149"/>
    </row>
    <row r="9762" spans="7:7">
      <c r="G9762" s="149"/>
    </row>
    <row r="9763" spans="7:7">
      <c r="G9763" s="149"/>
    </row>
    <row r="9764" spans="7:7">
      <c r="G9764" s="149"/>
    </row>
    <row r="9765" spans="7:7">
      <c r="G9765" s="149"/>
    </row>
    <row r="9766" spans="7:7">
      <c r="G9766" s="149"/>
    </row>
    <row r="9767" spans="7:7">
      <c r="G9767" s="149"/>
    </row>
    <row r="9768" spans="7:7">
      <c r="G9768" s="149"/>
    </row>
    <row r="9769" spans="7:7">
      <c r="G9769" s="149"/>
    </row>
    <row r="9770" spans="7:7">
      <c r="G9770" s="149"/>
    </row>
    <row r="9771" spans="7:7">
      <c r="G9771" s="149"/>
    </row>
    <row r="9772" spans="7:7">
      <c r="G9772" s="149"/>
    </row>
    <row r="9773" spans="7:7">
      <c r="G9773" s="149"/>
    </row>
    <row r="9774" spans="7:7">
      <c r="G9774" s="149"/>
    </row>
    <row r="9775" spans="7:7">
      <c r="G9775" s="149"/>
    </row>
    <row r="9776" spans="7:7">
      <c r="G9776" s="149"/>
    </row>
    <row r="9777" spans="7:7">
      <c r="G9777" s="149"/>
    </row>
    <row r="9778" spans="7:7">
      <c r="G9778" s="149"/>
    </row>
    <row r="9779" spans="7:7">
      <c r="G9779" s="149"/>
    </row>
    <row r="9780" spans="7:7">
      <c r="G9780" s="149"/>
    </row>
    <row r="9781" spans="7:7">
      <c r="G9781" s="149"/>
    </row>
    <row r="9782" spans="7:7">
      <c r="G9782" s="149"/>
    </row>
    <row r="9783" spans="7:7">
      <c r="G9783" s="149"/>
    </row>
    <row r="9784" spans="7:7">
      <c r="G9784" s="149"/>
    </row>
    <row r="9785" spans="7:7">
      <c r="G9785" s="149"/>
    </row>
    <row r="9786" spans="7:7">
      <c r="G9786" s="149"/>
    </row>
    <row r="9787" spans="7:7">
      <c r="G9787" s="149"/>
    </row>
    <row r="9788" spans="7:7">
      <c r="G9788" s="149"/>
    </row>
    <row r="9789" spans="7:7">
      <c r="G9789" s="149"/>
    </row>
    <row r="9790" spans="7:7">
      <c r="G9790" s="149"/>
    </row>
    <row r="9791" spans="7:7">
      <c r="G9791" s="149"/>
    </row>
    <row r="9792" spans="7:7">
      <c r="G9792" s="149"/>
    </row>
    <row r="9793" spans="7:7">
      <c r="G9793" s="149"/>
    </row>
    <row r="9794" spans="7:7">
      <c r="G9794" s="149"/>
    </row>
    <row r="9795" spans="7:7">
      <c r="G9795" s="149"/>
    </row>
    <row r="9796" spans="7:7">
      <c r="G9796" s="149"/>
    </row>
    <row r="9797" spans="7:7">
      <c r="G9797" s="149"/>
    </row>
    <row r="9798" spans="7:7">
      <c r="G9798" s="149"/>
    </row>
    <row r="9799" spans="7:7">
      <c r="G9799" s="149"/>
    </row>
    <row r="9800" spans="7:7">
      <c r="G9800" s="149"/>
    </row>
    <row r="9801" spans="7:7">
      <c r="G9801" s="149"/>
    </row>
    <row r="9802" spans="7:7">
      <c r="G9802" s="149"/>
    </row>
    <row r="9803" spans="7:7">
      <c r="G9803" s="149"/>
    </row>
    <row r="9804" spans="7:7">
      <c r="G9804" s="149"/>
    </row>
    <row r="9805" spans="7:7">
      <c r="G9805" s="149"/>
    </row>
    <row r="9806" spans="7:7">
      <c r="G9806" s="149"/>
    </row>
    <row r="9807" spans="7:7">
      <c r="G9807" s="149"/>
    </row>
    <row r="9808" spans="7:7">
      <c r="G9808" s="149"/>
    </row>
    <row r="9809" spans="7:7">
      <c r="G9809" s="149"/>
    </row>
    <row r="9810" spans="7:7">
      <c r="G9810" s="149"/>
    </row>
    <row r="9811" spans="7:7">
      <c r="G9811" s="149"/>
    </row>
    <row r="9812" spans="7:7">
      <c r="G9812" s="149"/>
    </row>
    <row r="9813" spans="7:7">
      <c r="G9813" s="149"/>
    </row>
    <row r="9814" spans="7:7">
      <c r="G9814" s="149"/>
    </row>
    <row r="9815" spans="7:7">
      <c r="G9815" s="149"/>
    </row>
    <row r="9816" spans="7:7">
      <c r="G9816" s="149"/>
    </row>
    <row r="9817" spans="7:7">
      <c r="G9817" s="149"/>
    </row>
    <row r="9818" spans="7:7">
      <c r="G9818" s="149"/>
    </row>
    <row r="9819" spans="7:7">
      <c r="G9819" s="149"/>
    </row>
    <row r="9820" spans="7:7">
      <c r="G9820" s="149"/>
    </row>
    <row r="9821" spans="7:7">
      <c r="G9821" s="149"/>
    </row>
    <row r="9822" spans="7:7">
      <c r="G9822" s="149"/>
    </row>
    <row r="9823" spans="7:7">
      <c r="G9823" s="149"/>
    </row>
    <row r="9824" spans="7:7">
      <c r="G9824" s="149"/>
    </row>
    <row r="9825" spans="7:7">
      <c r="G9825" s="149"/>
    </row>
    <row r="9826" spans="7:7">
      <c r="G9826" s="149"/>
    </row>
    <row r="9827" spans="7:7">
      <c r="G9827" s="149"/>
    </row>
    <row r="9828" spans="7:7">
      <c r="G9828" s="149"/>
    </row>
    <row r="9829" spans="7:7">
      <c r="G9829" s="149"/>
    </row>
    <row r="9830" spans="7:7">
      <c r="G9830" s="149"/>
    </row>
    <row r="9831" spans="7:7">
      <c r="G9831" s="149"/>
    </row>
    <row r="9832" spans="7:7">
      <c r="G9832" s="149"/>
    </row>
    <row r="9833" spans="7:7">
      <c r="G9833" s="149"/>
    </row>
    <row r="9834" spans="7:7">
      <c r="G9834" s="149"/>
    </row>
    <row r="9835" spans="7:7">
      <c r="G9835" s="149"/>
    </row>
    <row r="9836" spans="7:7">
      <c r="G9836" s="149"/>
    </row>
    <row r="9837" spans="7:7">
      <c r="G9837" s="149"/>
    </row>
    <row r="9838" spans="7:7">
      <c r="G9838" s="149"/>
    </row>
    <row r="9839" spans="7:7">
      <c r="G9839" s="149"/>
    </row>
    <row r="9840" spans="7:7">
      <c r="G9840" s="149"/>
    </row>
    <row r="9841" spans="7:7">
      <c r="G9841" s="149"/>
    </row>
    <row r="9842" spans="7:7">
      <c r="G9842" s="149"/>
    </row>
    <row r="9843" spans="7:7">
      <c r="G9843" s="149"/>
    </row>
    <row r="9844" spans="7:7">
      <c r="G9844" s="149"/>
    </row>
    <row r="9845" spans="7:7">
      <c r="G9845" s="149"/>
    </row>
    <row r="9846" spans="7:7">
      <c r="G9846" s="149"/>
    </row>
    <row r="9847" spans="7:7">
      <c r="G9847" s="149"/>
    </row>
    <row r="9848" spans="7:7">
      <c r="G9848" s="149"/>
    </row>
    <row r="9849" spans="7:7">
      <c r="G9849" s="149"/>
    </row>
    <row r="9850" spans="7:7">
      <c r="G9850" s="149"/>
    </row>
    <row r="9851" spans="7:7">
      <c r="G9851" s="149"/>
    </row>
    <row r="9852" spans="7:7">
      <c r="G9852" s="149"/>
    </row>
    <row r="9853" spans="7:7">
      <c r="G9853" s="149"/>
    </row>
    <row r="9854" spans="7:7">
      <c r="G9854" s="149"/>
    </row>
    <row r="9855" spans="7:7">
      <c r="G9855" s="149"/>
    </row>
    <row r="9856" spans="7:7">
      <c r="G9856" s="149"/>
    </row>
    <row r="9857" spans="7:7">
      <c r="G9857" s="149"/>
    </row>
    <row r="9858" spans="7:7">
      <c r="G9858" s="149"/>
    </row>
    <row r="9859" spans="7:7">
      <c r="G9859" s="149"/>
    </row>
    <row r="9860" spans="7:7">
      <c r="G9860" s="149"/>
    </row>
    <row r="9861" spans="7:7">
      <c r="G9861" s="149"/>
    </row>
    <row r="9862" spans="7:7">
      <c r="G9862" s="149"/>
    </row>
    <row r="9863" spans="7:7">
      <c r="G9863" s="149"/>
    </row>
    <row r="9864" spans="7:7">
      <c r="G9864" s="149"/>
    </row>
    <row r="9865" spans="7:7">
      <c r="G9865" s="149"/>
    </row>
    <row r="9866" spans="7:7">
      <c r="G9866" s="149"/>
    </row>
    <row r="9867" spans="7:7">
      <c r="G9867" s="149"/>
    </row>
    <row r="9868" spans="7:7">
      <c r="G9868" s="149"/>
    </row>
    <row r="9869" spans="7:7">
      <c r="G9869" s="149"/>
    </row>
    <row r="9870" spans="7:7">
      <c r="G9870" s="149"/>
    </row>
    <row r="9871" spans="7:7">
      <c r="G9871" s="149"/>
    </row>
    <row r="9872" spans="7:7">
      <c r="G9872" s="149"/>
    </row>
    <row r="9873" spans="7:7">
      <c r="G9873" s="149"/>
    </row>
    <row r="9874" spans="7:7">
      <c r="G9874" s="149"/>
    </row>
    <row r="9875" spans="7:7">
      <c r="G9875" s="149"/>
    </row>
    <row r="9876" spans="7:7">
      <c r="G9876" s="149"/>
    </row>
    <row r="9877" spans="7:7">
      <c r="G9877" s="149"/>
    </row>
    <row r="9878" spans="7:7">
      <c r="G9878" s="149"/>
    </row>
    <row r="9879" spans="7:7">
      <c r="G9879" s="149"/>
    </row>
    <row r="9880" spans="7:7">
      <c r="G9880" s="149"/>
    </row>
    <row r="9881" spans="7:7">
      <c r="G9881" s="149"/>
    </row>
    <row r="9882" spans="7:7">
      <c r="G9882" s="149"/>
    </row>
    <row r="9883" spans="7:7">
      <c r="G9883" s="149"/>
    </row>
    <row r="9884" spans="7:7">
      <c r="G9884" s="149"/>
    </row>
    <row r="9885" spans="7:7">
      <c r="G9885" s="149"/>
    </row>
    <row r="9886" spans="7:7">
      <c r="G9886" s="149"/>
    </row>
    <row r="9887" spans="7:7">
      <c r="G9887" s="149"/>
    </row>
    <row r="9888" spans="7:7">
      <c r="G9888" s="149"/>
    </row>
    <row r="9889" spans="7:7">
      <c r="G9889" s="149"/>
    </row>
    <row r="9890" spans="7:7">
      <c r="G9890" s="149"/>
    </row>
    <row r="9891" spans="7:7">
      <c r="G9891" s="149"/>
    </row>
    <row r="9892" spans="7:7">
      <c r="G9892" s="149"/>
    </row>
    <row r="9893" spans="7:7">
      <c r="G9893" s="149"/>
    </row>
    <row r="9894" spans="7:7">
      <c r="G9894" s="149"/>
    </row>
    <row r="9895" spans="7:7">
      <c r="G9895" s="149"/>
    </row>
    <row r="9896" spans="7:7">
      <c r="G9896" s="149"/>
    </row>
    <row r="9897" spans="7:7">
      <c r="G9897" s="149"/>
    </row>
    <row r="9898" spans="7:7">
      <c r="G9898" s="149"/>
    </row>
    <row r="9899" spans="7:7">
      <c r="G9899" s="149"/>
    </row>
    <row r="9900" spans="7:7">
      <c r="G9900" s="149"/>
    </row>
    <row r="9901" spans="7:7">
      <c r="G9901" s="149"/>
    </row>
    <row r="9902" spans="7:7">
      <c r="G9902" s="149"/>
    </row>
    <row r="9903" spans="7:7">
      <c r="G9903" s="149"/>
    </row>
    <row r="9904" spans="7:7">
      <c r="G9904" s="149"/>
    </row>
    <row r="9905" spans="7:7">
      <c r="G9905" s="149"/>
    </row>
    <row r="9906" spans="7:7">
      <c r="G9906" s="149"/>
    </row>
    <row r="9907" spans="7:7">
      <c r="G9907" s="149"/>
    </row>
    <row r="9908" spans="7:7">
      <c r="G9908" s="149"/>
    </row>
    <row r="9909" spans="7:7">
      <c r="G9909" s="149"/>
    </row>
    <row r="9910" spans="7:7">
      <c r="G9910" s="149"/>
    </row>
    <row r="9911" spans="7:7">
      <c r="G9911" s="149"/>
    </row>
    <row r="9912" spans="7:7">
      <c r="G9912" s="149"/>
    </row>
    <row r="9913" spans="7:7">
      <c r="G9913" s="149"/>
    </row>
    <row r="9914" spans="7:7">
      <c r="G9914" s="149"/>
    </row>
    <row r="9915" spans="7:7">
      <c r="G9915" s="149"/>
    </row>
    <row r="9916" spans="7:7">
      <c r="G9916" s="149"/>
    </row>
    <row r="9917" spans="7:7">
      <c r="G9917" s="149"/>
    </row>
    <row r="9918" spans="7:7">
      <c r="G9918" s="149"/>
    </row>
    <row r="9919" spans="7:7">
      <c r="G9919" s="149"/>
    </row>
    <row r="9920" spans="7:7">
      <c r="G9920" s="149"/>
    </row>
    <row r="9921" spans="7:7">
      <c r="G9921" s="149"/>
    </row>
    <row r="9922" spans="7:7">
      <c r="G9922" s="149"/>
    </row>
    <row r="9923" spans="7:7">
      <c r="G9923" s="149"/>
    </row>
    <row r="9924" spans="7:7">
      <c r="G9924" s="149"/>
    </row>
    <row r="9925" spans="7:7">
      <c r="G9925" s="149"/>
    </row>
    <row r="9926" spans="7:7">
      <c r="G9926" s="149"/>
    </row>
    <row r="9927" spans="7:7">
      <c r="G9927" s="149"/>
    </row>
    <row r="9928" spans="7:7">
      <c r="G9928" s="149"/>
    </row>
    <row r="9929" spans="7:7">
      <c r="G9929" s="149"/>
    </row>
    <row r="9930" spans="7:7">
      <c r="G9930" s="149"/>
    </row>
    <row r="9931" spans="7:7">
      <c r="G9931" s="149"/>
    </row>
    <row r="9932" spans="7:7">
      <c r="G9932" s="149"/>
    </row>
    <row r="9933" spans="7:7">
      <c r="G9933" s="149"/>
    </row>
    <row r="9934" spans="7:7">
      <c r="G9934" s="149"/>
    </row>
    <row r="9935" spans="7:7">
      <c r="G9935" s="149"/>
    </row>
    <row r="9936" spans="7:7">
      <c r="G9936" s="149"/>
    </row>
    <row r="9937" spans="7:7">
      <c r="G9937" s="149"/>
    </row>
    <row r="9938" spans="7:7">
      <c r="G9938" s="149"/>
    </row>
    <row r="9939" spans="7:7">
      <c r="G9939" s="149"/>
    </row>
    <row r="9940" spans="7:7">
      <c r="G9940" s="149"/>
    </row>
    <row r="9941" spans="7:7">
      <c r="G9941" s="149"/>
    </row>
    <row r="9942" spans="7:7">
      <c r="G9942" s="149"/>
    </row>
    <row r="9943" spans="7:7">
      <c r="G9943" s="149"/>
    </row>
    <row r="9944" spans="7:7">
      <c r="G9944" s="149"/>
    </row>
    <row r="9945" spans="7:7">
      <c r="G9945" s="149"/>
    </row>
    <row r="9946" spans="7:7">
      <c r="G9946" s="149"/>
    </row>
    <row r="9947" spans="7:7">
      <c r="G9947" s="149"/>
    </row>
    <row r="9948" spans="7:7">
      <c r="G9948" s="149"/>
    </row>
    <row r="9949" spans="7:7">
      <c r="G9949" s="149"/>
    </row>
    <row r="9950" spans="7:7">
      <c r="G9950" s="149"/>
    </row>
    <row r="9951" spans="7:7">
      <c r="G9951" s="149"/>
    </row>
    <row r="9952" spans="7:7">
      <c r="G9952" s="149"/>
    </row>
    <row r="9953" spans="7:7">
      <c r="G9953" s="149"/>
    </row>
    <row r="9954" spans="7:7">
      <c r="G9954" s="149"/>
    </row>
    <row r="9955" spans="7:7">
      <c r="G9955" s="149"/>
    </row>
    <row r="9956" spans="7:7">
      <c r="G9956" s="149"/>
    </row>
    <row r="9957" spans="7:7">
      <c r="G9957" s="149"/>
    </row>
    <row r="9958" spans="7:7">
      <c r="G9958" s="149"/>
    </row>
    <row r="9959" spans="7:7">
      <c r="G9959" s="149"/>
    </row>
    <row r="9960" spans="7:7">
      <c r="G9960" s="149"/>
    </row>
    <row r="9961" spans="7:7">
      <c r="G9961" s="149"/>
    </row>
    <row r="9962" spans="7:7">
      <c r="G9962" s="149"/>
    </row>
    <row r="9963" spans="7:7">
      <c r="G9963" s="149"/>
    </row>
    <row r="9964" spans="7:7">
      <c r="G9964" s="149"/>
    </row>
    <row r="9965" spans="7:7">
      <c r="G9965" s="149"/>
    </row>
    <row r="9966" spans="7:7">
      <c r="G9966" s="149"/>
    </row>
    <row r="9967" spans="7:7">
      <c r="G9967" s="149"/>
    </row>
    <row r="9968" spans="7:7">
      <c r="G9968" s="149"/>
    </row>
    <row r="9969" spans="7:7">
      <c r="G9969" s="149"/>
    </row>
    <row r="9970" spans="7:7">
      <c r="G9970" s="149"/>
    </row>
    <row r="9971" spans="7:7">
      <c r="G9971" s="149"/>
    </row>
    <row r="9972" spans="7:7">
      <c r="G9972" s="149"/>
    </row>
    <row r="9973" spans="7:7">
      <c r="G9973" s="149"/>
    </row>
    <row r="9974" spans="7:7">
      <c r="G9974" s="149"/>
    </row>
    <row r="9975" spans="7:7">
      <c r="G9975" s="149"/>
    </row>
    <row r="9976" spans="7:7">
      <c r="G9976" s="149"/>
    </row>
    <row r="9977" spans="7:7">
      <c r="G9977" s="149"/>
    </row>
    <row r="9978" spans="7:7">
      <c r="G9978" s="149"/>
    </row>
    <row r="9979" spans="7:7">
      <c r="G9979" s="149"/>
    </row>
    <row r="9980" spans="7:7">
      <c r="G9980" s="149"/>
    </row>
    <row r="9981" spans="7:7">
      <c r="G9981" s="149"/>
    </row>
    <row r="9982" spans="7:7">
      <c r="G9982" s="149"/>
    </row>
    <row r="9983" spans="7:7">
      <c r="G9983" s="149"/>
    </row>
    <row r="9984" spans="7:7">
      <c r="G9984" s="149"/>
    </row>
    <row r="9985" spans="7:10">
      <c r="G9985" s="149"/>
    </row>
    <row r="9986" spans="7:10">
      <c r="G9986" s="149"/>
    </row>
    <row r="9987" spans="7:10">
      <c r="G9987" s="149"/>
    </row>
    <row r="9988" spans="7:10">
      <c r="G9988" s="149"/>
    </row>
    <row r="9989" spans="7:10">
      <c r="G9989" s="149"/>
    </row>
    <row r="9990" spans="7:10">
      <c r="G9990" s="149"/>
    </row>
    <row r="9991" spans="7:10">
      <c r="G9991" s="149"/>
    </row>
    <row r="9992" spans="7:10">
      <c r="G9992" s="149"/>
    </row>
    <row r="9993" spans="7:10">
      <c r="G9993" s="149"/>
    </row>
    <row r="9994" spans="7:10">
      <c r="G9994" s="149"/>
    </row>
    <row r="9995" spans="7:10">
      <c r="G9995" s="149"/>
    </row>
    <row r="9996" spans="7:10">
      <c r="G9996" s="149"/>
    </row>
    <row r="9997" spans="7:10">
      <c r="G9997" s="149"/>
    </row>
    <row r="9998" spans="7:10">
      <c r="G9998" s="149"/>
    </row>
    <row r="9999" spans="7:10">
      <c r="G9999" s="149"/>
    </row>
    <row r="10000" spans="7:10" ht="28.8">
      <c r="G10000" s="149"/>
      <c r="H10000" s="146"/>
      <c r="I10000" s="135"/>
      <c r="J10000" s="132" t="s">
        <v>1432</v>
      </c>
    </row>
  </sheetData>
  <autoFilter ref="C1:C10000"/>
  <sortState ref="A2:M1000">
    <sortCondition ref="A1:A1000"/>
  </sortState>
  <hyperlinks>
    <hyperlink ref="B2" r:id="rId1"/>
    <hyperlink ref="B211" r:id="rId2"/>
    <hyperlink ref="B203" r:id="rId3"/>
    <hyperlink ref="B204" r:id="rId4"/>
    <hyperlink ref="B205" r:id="rId5"/>
    <hyperlink ref="B410" r:id="rId6"/>
    <hyperlink ref="B4" r:id="rId7"/>
    <hyperlink ref="B206" r:id="rId8"/>
    <hyperlink ref="B207" r:id="rId9"/>
    <hyperlink ref="B411" r:id="rId10"/>
    <hyperlink ref="B412" r:id="rId11"/>
    <hyperlink ref="B208" r:id="rId12"/>
    <hyperlink ref="B209" r:id="rId13"/>
    <hyperlink ref="B413" r:id="rId14"/>
    <hyperlink ref="B210" r:id="rId15"/>
    <hyperlink ref="B212" r:id="rId16"/>
    <hyperlink ref="B414" r:id="rId17"/>
    <hyperlink ref="B415" r:id="rId18"/>
    <hyperlink ref="B416" r:id="rId19"/>
    <hyperlink ref="B417" r:id="rId20"/>
    <hyperlink ref="B418" r:id="rId21"/>
    <hyperlink ref="B419" r:id="rId22"/>
    <hyperlink ref="B213" r:id="rId23"/>
    <hyperlink ref="B420" r:id="rId24"/>
    <hyperlink ref="B214" r:id="rId25"/>
    <hyperlink ref="B215" r:id="rId26"/>
    <hyperlink ref="B421" r:id="rId27"/>
    <hyperlink ref="B422" r:id="rId28"/>
    <hyperlink ref="B216" r:id="rId29"/>
    <hyperlink ref="B217" r:id="rId30"/>
    <hyperlink ref="B218" r:id="rId31" display="https://www.vishay.com/quality/pcn-doc/PCN-OMV-414-2010-Rev-0/omv_414_2010_rev0.pdf/"/>
    <hyperlink ref="B219" r:id="rId32"/>
    <hyperlink ref="B220" r:id="rId33"/>
    <hyperlink ref="B427" r:id="rId34" display="https://www.vishay.com/quality/pcn-doc/PTN-DBR-00000-2019-Rev-0/PTN-DBR-00007-2019%20Rev0.pdf/"/>
    <hyperlink ref="B221" r:id="rId35"/>
    <hyperlink ref="B423" r:id="rId36" display="https://www.vishay.com/quality/pcn-doc/PTN-DBR-00001-2020-Rev-0/PTN-DBR-00001-2020%20Rev0.pdf/"/>
    <hyperlink ref="B222" r:id="rId37"/>
    <hyperlink ref="B223" r:id="rId38"/>
    <hyperlink ref="B435" r:id="rId39" display="https://www.vishay.com/quality/pcn-doc/PTN-DBR-00002-2018-Rev-0/PTN-DBR-002-2018%20Rev0.pdf/"/>
    <hyperlink ref="B224" r:id="rId40"/>
    <hyperlink ref="B424" r:id="rId41" display="https://www.vishay.com/quality/pcn-doc/PTN-DBR-00002-2019-Rev-0/PTN-DBR-00002-2019%20Rev0.pdf/"/>
    <hyperlink ref="B225" r:id="rId42"/>
    <hyperlink ref="B425" r:id="rId43" display="https://www.vishay.com/quality/pcn-doc/PTN-DBR-00003-2019-Rev-0/PTN-DBR-00003-2019%20Rev0.pdf/"/>
    <hyperlink ref="B226" r:id="rId44"/>
    <hyperlink ref="B227" r:id="rId45"/>
    <hyperlink ref="B228" r:id="rId46"/>
    <hyperlink ref="B426" r:id="rId47" display="https://www.vishay.com/quality/pcn-doc/PTN-DBR-00005-2019-Rev-0/PTN-DBR-00005-2019%20Rev0.pdf/"/>
    <hyperlink ref="B229" r:id="rId48"/>
    <hyperlink ref="B230" r:id="rId49"/>
    <hyperlink ref="B231" r:id="rId50"/>
    <hyperlink ref="B428" r:id="rId51" display="https://www.vishay.com/quality/pcn-doc/PTN-DBR-00007-2019-Rev-0/PTN-DBR-0007-2019%20Rev0.pdf/"/>
    <hyperlink ref="B232" r:id="rId52"/>
    <hyperlink ref="B429" r:id="rId53" display="https://www.vishay.com/quality/pcn-doc/PTN-DBR-00008-2021-REV-0/PTN-DBR-00008-2021-REV-0.pdf/"/>
    <hyperlink ref="B430" r:id="rId54" display="https://www.vishay.com/quality/pcn-doc/PTN-DBR-00009-2018-Rev-0/PTN-DBR-00009-2018%20Rev0.pdf/"/>
    <hyperlink ref="B233" r:id="rId55"/>
    <hyperlink ref="B234" r:id="rId56"/>
    <hyperlink ref="B431" r:id="rId57" display="https://www.vishay.com/quality/pcn-doc/PTN-DBR-00010-2021-REV-0/PTN-DBR-00010-2021-REV-0.pdf/"/>
    <hyperlink ref="B235" r:id="rId58"/>
    <hyperlink ref="B236" r:id="rId59"/>
    <hyperlink ref="B432" r:id="rId60" display="https://www.vishay.com/quality/pcn-doc/PTN-DBR-00010-2021-REV-1/PTN-DBR-00010-2021-REV-1.pdf/"/>
    <hyperlink ref="B433" r:id="rId61" display="https://www.vishay.com/quality/pcn-doc/PTN-DBR-00011-2020-REV-0/PTN-DBR-00011-2020-REV-0.pdf/"/>
    <hyperlink ref="B237" r:id="rId62"/>
    <hyperlink ref="B434" r:id="rId63" display="https://www.vishay.com/quality/pcn-doc/PTN-DBR-00014-2021-REV-0/PTN-DBR-00014-2021-REV-0.pdf/"/>
    <hyperlink ref="B5" r:id="rId64"/>
    <hyperlink ref="B436" r:id="rId65"/>
    <hyperlink ref="B238" r:id="rId66"/>
    <hyperlink ref="B437" r:id="rId67"/>
    <hyperlink ref="B438" r:id="rId68"/>
    <hyperlink ref="B439" r:id="rId69"/>
    <hyperlink ref="B239" r:id="rId70"/>
    <hyperlink ref="B440" r:id="rId71"/>
    <hyperlink ref="B240" r:id="rId72"/>
    <hyperlink ref="B441" r:id="rId73"/>
    <hyperlink ref="B442" r:id="rId74"/>
    <hyperlink ref="B62" r:id="rId75"/>
    <hyperlink ref="B241" r:id="rId76"/>
    <hyperlink ref="B242" r:id="rId77"/>
    <hyperlink ref="B67" r:id="rId78"/>
    <hyperlink ref="B443" r:id="rId79"/>
    <hyperlink ref="B243" r:id="rId80"/>
    <hyperlink ref="B444" r:id="rId81"/>
    <hyperlink ref="B244" r:id="rId82"/>
    <hyperlink ref="B445" r:id="rId83"/>
    <hyperlink ref="B446" r:id="rId84"/>
    <hyperlink ref="B447" r:id="rId85"/>
    <hyperlink ref="B245" r:id="rId86"/>
    <hyperlink ref="B448" r:id="rId87"/>
    <hyperlink ref="B449" r:id="rId88"/>
    <hyperlink ref="B246" r:id="rId89"/>
    <hyperlink ref="B450" r:id="rId90"/>
    <hyperlink ref="B247" r:id="rId91"/>
    <hyperlink ref="B451" r:id="rId92"/>
    <hyperlink ref="B248" r:id="rId93"/>
    <hyperlink ref="B452" r:id="rId94"/>
    <hyperlink ref="B453" r:id="rId95"/>
    <hyperlink ref="B454" r:id="rId96"/>
    <hyperlink ref="B455" r:id="rId97"/>
    <hyperlink ref="B249" r:id="rId98"/>
    <hyperlink ref="B456" r:id="rId99"/>
    <hyperlink ref="B250" r:id="rId100"/>
    <hyperlink ref="B461" r:id="rId101"/>
    <hyperlink ref="B251" r:id="rId102"/>
    <hyperlink ref="B252" r:id="rId103"/>
    <hyperlink ref="B86" r:id="rId104"/>
    <hyperlink ref="B457" r:id="rId105"/>
    <hyperlink ref="B253" r:id="rId106"/>
    <hyperlink ref="B458" r:id="rId107"/>
    <hyperlink ref="B254" r:id="rId108"/>
    <hyperlink ref="B459" r:id="rId109"/>
    <hyperlink ref="B255" r:id="rId110"/>
    <hyperlink ref="B462" r:id="rId111"/>
    <hyperlink ref="B256" r:id="rId112"/>
    <hyperlink ref="B463" r:id="rId113"/>
    <hyperlink ref="B464" r:id="rId114"/>
    <hyperlink ref="B465" r:id="rId115"/>
    <hyperlink ref="B257" r:id="rId116"/>
    <hyperlink ref="B466" r:id="rId117"/>
    <hyperlink ref="B258" r:id="rId118"/>
    <hyperlink ref="B467" r:id="rId119"/>
    <hyperlink ref="B259" r:id="rId120"/>
    <hyperlink ref="B468" r:id="rId121"/>
    <hyperlink ref="B260" r:id="rId122"/>
    <hyperlink ref="B469" r:id="rId123"/>
    <hyperlink ref="B470" r:id="rId124"/>
    <hyperlink ref="B471" r:id="rId125"/>
    <hyperlink ref="B261" r:id="rId126"/>
    <hyperlink ref="B262" r:id="rId127"/>
    <hyperlink ref="B263" r:id="rId128"/>
    <hyperlink ref="B264" r:id="rId129"/>
    <hyperlink ref="B265" r:id="rId130"/>
    <hyperlink ref="B266" r:id="rId131"/>
    <hyperlink ref="B267" r:id="rId132"/>
    <hyperlink ref="B268" r:id="rId133"/>
    <hyperlink ref="B269" r:id="rId134"/>
    <hyperlink ref="B270" r:id="rId135"/>
    <hyperlink ref="B271" r:id="rId136"/>
    <hyperlink ref="B460" r:id="rId137"/>
    <hyperlink ref="B272" r:id="rId138"/>
    <hyperlink ref="B472" r:id="rId139"/>
    <hyperlink ref="B473" r:id="rId140"/>
    <hyperlink ref="B474" r:id="rId141"/>
    <hyperlink ref="B475" r:id="rId142"/>
    <hyperlink ref="B273" r:id="rId143"/>
    <hyperlink ref="B476" r:id="rId144"/>
    <hyperlink ref="B274" r:id="rId145"/>
    <hyperlink ref="B477" r:id="rId146"/>
    <hyperlink ref="B275" r:id="rId147"/>
    <hyperlink ref="B478" r:id="rId148"/>
    <hyperlink ref="B479" r:id="rId149"/>
    <hyperlink ref="B276" r:id="rId150"/>
    <hyperlink ref="B480" r:id="rId151"/>
    <hyperlink ref="B481" r:id="rId152"/>
    <hyperlink ref="B482" r:id="rId153"/>
    <hyperlink ref="B277" r:id="rId154"/>
    <hyperlink ref="B483" r:id="rId155"/>
    <hyperlink ref="B278" r:id="rId156"/>
    <hyperlink ref="B484" r:id="rId157"/>
    <hyperlink ref="B279" r:id="rId158"/>
    <hyperlink ref="B485" r:id="rId159"/>
    <hyperlink ref="B486" r:id="rId160"/>
    <hyperlink ref="B280" r:id="rId161"/>
    <hyperlink ref="B487" r:id="rId162"/>
    <hyperlink ref="B488" r:id="rId163"/>
    <hyperlink ref="B489" r:id="rId164"/>
    <hyperlink ref="B281" r:id="rId165"/>
    <hyperlink ref="B490" r:id="rId166"/>
    <hyperlink ref="B282" r:id="rId167"/>
    <hyperlink ref="B491" r:id="rId168"/>
    <hyperlink ref="B283" r:id="rId169"/>
    <hyperlink ref="B492" r:id="rId170"/>
    <hyperlink ref="B284" r:id="rId171"/>
    <hyperlink ref="B493" r:id="rId172"/>
    <hyperlink ref="B494" r:id="rId173"/>
    <hyperlink ref="B495" r:id="rId174"/>
    <hyperlink ref="B496" r:id="rId175"/>
    <hyperlink ref="B285" r:id="rId176"/>
    <hyperlink ref="B497" r:id="rId177"/>
    <hyperlink ref="B286" r:id="rId178"/>
    <hyperlink ref="B498" r:id="rId179"/>
    <hyperlink ref="B287" r:id="rId180"/>
    <hyperlink ref="B499" r:id="rId181"/>
    <hyperlink ref="B288" r:id="rId182"/>
    <hyperlink ref="B500" r:id="rId183"/>
    <hyperlink ref="B501" r:id="rId184"/>
    <hyperlink ref="B502" r:id="rId185"/>
    <hyperlink ref="B503" r:id="rId186"/>
    <hyperlink ref="B289" r:id="rId187"/>
    <hyperlink ref="B504" r:id="rId188"/>
    <hyperlink ref="B290" r:id="rId189"/>
    <hyperlink ref="B291" r:id="rId190"/>
    <hyperlink ref="B505" r:id="rId191"/>
    <hyperlink ref="B292" r:id="rId192"/>
    <hyperlink ref="B506" r:id="rId193"/>
    <hyperlink ref="B507" r:id="rId194"/>
    <hyperlink ref="B508" r:id="rId195"/>
    <hyperlink ref="B509" r:id="rId196"/>
    <hyperlink ref="B293" r:id="rId197"/>
    <hyperlink ref="B294" r:id="rId198"/>
    <hyperlink ref="B510" r:id="rId199"/>
    <hyperlink ref="B295" r:id="rId200"/>
    <hyperlink ref="B512" r:id="rId201"/>
    <hyperlink ref="B296" r:id="rId202"/>
    <hyperlink ref="B513" r:id="rId203"/>
    <hyperlink ref="B514" r:id="rId204"/>
    <hyperlink ref="B515" r:id="rId205"/>
    <hyperlink ref="B516" r:id="rId206"/>
    <hyperlink ref="B297" r:id="rId207"/>
    <hyperlink ref="B511" r:id="rId208"/>
    <hyperlink ref="B298" r:id="rId209"/>
    <hyperlink ref="B299" r:id="rId210"/>
    <hyperlink ref="B300" r:id="rId211"/>
    <hyperlink ref="B517" r:id="rId212"/>
    <hyperlink ref="B518" r:id="rId213"/>
    <hyperlink ref="B301" r:id="rId214"/>
    <hyperlink ref="B519" r:id="rId215"/>
    <hyperlink ref="B302" r:id="rId216"/>
    <hyperlink ref="B520" r:id="rId217"/>
    <hyperlink ref="B303" r:id="rId218"/>
    <hyperlink ref="B304" r:id="rId219"/>
    <hyperlink ref="B521" r:id="rId220"/>
    <hyperlink ref="B522" r:id="rId221"/>
    <hyperlink ref="B523" r:id="rId222"/>
    <hyperlink ref="B524" r:id="rId223"/>
    <hyperlink ref="B305" r:id="rId224"/>
    <hyperlink ref="B525" r:id="rId225"/>
    <hyperlink ref="B306" r:id="rId226"/>
    <hyperlink ref="B526" r:id="rId227"/>
    <hyperlink ref="B307" r:id="rId228"/>
    <hyperlink ref="B527" r:id="rId229"/>
    <hyperlink ref="B308" r:id="rId230"/>
    <hyperlink ref="B528" r:id="rId231"/>
    <hyperlink ref="B309" r:id="rId232"/>
    <hyperlink ref="B529" r:id="rId233"/>
    <hyperlink ref="B530" r:id="rId234"/>
    <hyperlink ref="B531" r:id="rId235"/>
    <hyperlink ref="B532" r:id="rId236"/>
    <hyperlink ref="B533" r:id="rId237"/>
    <hyperlink ref="B310" r:id="rId238"/>
    <hyperlink ref="B311" r:id="rId239"/>
    <hyperlink ref="B534" r:id="rId240"/>
    <hyperlink ref="B312" r:id="rId241"/>
    <hyperlink ref="B535" r:id="rId242"/>
    <hyperlink ref="B314" r:id="rId243"/>
    <hyperlink ref="B536" r:id="rId244"/>
    <hyperlink ref="B313" r:id="rId245"/>
    <hyperlink ref="B537" r:id="rId246"/>
    <hyperlink ref="B538" r:id="rId247"/>
    <hyperlink ref="B539" r:id="rId248"/>
    <hyperlink ref="B540" r:id="rId249"/>
    <hyperlink ref="B541" r:id="rId250"/>
    <hyperlink ref="B315" r:id="rId251"/>
    <hyperlink ref="B542" r:id="rId252"/>
    <hyperlink ref="B316" r:id="rId253"/>
    <hyperlink ref="B543" r:id="rId254"/>
    <hyperlink ref="B317" r:id="rId255"/>
    <hyperlink ref="B544" r:id="rId256"/>
    <hyperlink ref="B318" r:id="rId257"/>
    <hyperlink ref="B545" r:id="rId258"/>
    <hyperlink ref="B319" r:id="rId259"/>
    <hyperlink ref="B546" r:id="rId260"/>
    <hyperlink ref="B320" r:id="rId261"/>
    <hyperlink ref="B547" r:id="rId262"/>
    <hyperlink ref="B548" r:id="rId263"/>
    <hyperlink ref="B549" r:id="rId264"/>
    <hyperlink ref="B550" r:id="rId265"/>
    <hyperlink ref="B322" r:id="rId266"/>
    <hyperlink ref="B551" r:id="rId267" display="https://www.vishay.com/quality/pcn-doc/PTN-NLR-00003-2019-Rev-2/PTN-NLR-003-2019%20Withdrawal%20of%20TMC%20series%20curve%207%20Rev2.pdf/"/>
    <hyperlink ref="B321" r:id="rId268"/>
    <hyperlink ref="B323" r:id="rId269"/>
    <hyperlink ref="B552" r:id="rId270"/>
    <hyperlink ref="B553" r:id="rId271"/>
    <hyperlink ref="B324" r:id="rId272"/>
    <hyperlink ref="B554" r:id="rId273"/>
    <hyperlink ref="B555" r:id="rId274"/>
    <hyperlink ref="B556" r:id="rId275"/>
    <hyperlink ref="B325" r:id="rId276" display="https://www.vishay.com/quality/pcn-doc/PCN-SIL-015-2014-Rev-2/PCN-SIL-0152014%20EOL%20with%20Replacement%20Rev2.pdf/"/>
    <hyperlink ref="B557" r:id="rId277" display="https://www.vishay.com/quality/pcn-doc/PTN-OMV-01000-2017-Rev-0/ptn_omv_1000_2017_rev0.pdf/"/>
    <hyperlink ref="B558" r:id="rId278" display="https://www.vishay.com/quality/pcn-doc/PTN-OMV-01004-2017-Rev-0/pcn_omv_1004_2017_rev0.pdf/"/>
    <hyperlink ref="B559" r:id="rId279" display="https://www.vishay.com/quality/pcn-doc/PTN-OMV-01009-2017-Rev-0/pcn_omv_1009_2017_rev0.pdf/"/>
    <hyperlink ref="B326" r:id="rId280" display="https://www.vishay.com/quality/pcn-doc/PCN-SIL-017-2014-Rev-2/PCN-SIL-0172014%20Rev2%20EOL%20SQ7414EN%20with%20Replacement.pdf/"/>
    <hyperlink ref="B560" r:id="rId281" display="https://www.vishay.com/quality/pcn-doc/PTN-OMV-01010-2017-Rev-0/pcn_omv_1010_2017_rev0.pdf/"/>
    <hyperlink ref="B327" r:id="rId282"/>
    <hyperlink ref="B561" r:id="rId283" display="https://www.vishay.com/quality/pcn-doc/PTN-OMV-01011-2017-Rev-0/pcn_omv_1011_2017_rev0.pdf/"/>
    <hyperlink ref="B328" r:id="rId284"/>
    <hyperlink ref="B562" r:id="rId285" display="https://www.vishay.com/quality/pcn-doc/PTN-OMV-01013-2018-Rev-0/pcn_omv_1013_2018_rev0.pdf/"/>
    <hyperlink ref="B329" r:id="rId286"/>
    <hyperlink ref="B330" r:id="rId287"/>
    <hyperlink ref="B563" r:id="rId288" display="https://www.vishay.com/quality/pcn-doc/PTN-OMV-01040-2018-Rev-0/ptn_omv_1040_2018_rev0.pdf/"/>
    <hyperlink ref="B564" r:id="rId289" display="https://www.vishay.com/quality/pcn-doc/PTN-OMV-01043-2018-Rev-0/ptn_omv_1043_2018_rev0.pdf/"/>
    <hyperlink ref="B565" r:id="rId290" display="https://www.vishay.com/quality/pcn-doc/PTN-OMV-01044-2018-Rev-0/ptn_omv_1044_2018_rev0.pdf/"/>
    <hyperlink ref="B566" r:id="rId291" display="https://www.vishay.com/quality/pcn-doc/PTN-OMV-01046-2018-Rev-0/ptn_omv_1046_2018_rev0.pdf/"/>
    <hyperlink ref="B567" r:id="rId292" display="https://www.vishay.com/quality/pcn-doc/PTN-OMV-01070-2019-Rev-0/ptn_omv_1070_2019_rev0.pdf/"/>
    <hyperlink ref="B331" r:id="rId293"/>
    <hyperlink ref="B333" r:id="rId294"/>
    <hyperlink ref="B568" r:id="rId295" display="https://www.vishay.com/quality/pcn-doc/PTN-OMV-01071-2019-Rev-0/ptn_omv_1071_2019_rev0.pdf/"/>
    <hyperlink ref="B332" r:id="rId296"/>
    <hyperlink ref="B569" r:id="rId297" display="https://www.vishay.com/quality/pcn-doc/PTN-OMV-01073-2019-Rev-0/ptn_omv_1073_2019_rev0.pdf/"/>
    <hyperlink ref="B570" r:id="rId298" display="https://www.vishay.com/quality/pcn-doc/PTN-OMV-01091-2019-Rev-0/ptn_omv_1091_2019_rev0.pdf/"/>
    <hyperlink ref="B571" r:id="rId299" display="https://www.vishay.com/quality/pcn-doc/PTN-OMV-01100-2019-Rev-0/ptn_omv_1100_2019_rev0.pdf/"/>
    <hyperlink ref="B572" r:id="rId300" display="https://www.vishay.com/quality/pcn-doc/PTN-OMV-01111-2020-Rev-0/ptn_omv_1111_2020_rev0.pdf/"/>
    <hyperlink ref="B573" r:id="rId301" display="https://www.vishay.com/quality/pcn-doc/PTN-OMV-01116-2020-Rev-0/ptn_omv_1116_2020_rev0.pdf/"/>
    <hyperlink ref="B574" r:id="rId302" display="https://www.vishay.com/quality/pcn-doc/PTN-OMV-01160-2020-Rev-0/ptn_omv_1160_2020_rev0.pdf/"/>
    <hyperlink ref="B575" r:id="rId303" display="https://www.vishay.com/quality/pcn-doc/PTN-OMV-01172-2021-Rev-0/ptn_omv_1172_2021_rev0.pdf/"/>
    <hyperlink ref="B576" r:id="rId304" display="https://www.vishay.com/quality/pcn-doc/PTN-OMV-01180-2021-Rev-0/ptn_omv_1180_2021_rev0.pdf/"/>
    <hyperlink ref="B335" r:id="rId305" display="https://www.vishay.com/quality/pcn-doc/PCN-SIL-023-2014-Rev-2/PCN-SIL-0232014%20Rev2%20EOL%20with%20Replacement.pdf/"/>
    <hyperlink ref="B577" r:id="rId306"/>
    <hyperlink ref="B334" r:id="rId307"/>
    <hyperlink ref="B578" r:id="rId308"/>
    <hyperlink ref="B336" r:id="rId309" display="https://www.vishay.com/quality/pcn-doc/PCN-SIL-024-2014-Rev-2/PCN-SIL-0242014%20Rev2%20EOL%20with%20Replacement.pdf/"/>
    <hyperlink ref="B394" r:id="rId310"/>
    <hyperlink ref="B395" r:id="rId311" display="https://www.vishay.com/quality/pcn-doc/PTN-OSI-01059-2019-Rev-0/ptn_osi_1059_2019_rev0.pdf/"/>
    <hyperlink ref="B396" r:id="rId312" display="https://www.vishay.com/quality/pcn-doc/PTN-OSI-01061-2019-Rev-0/ptn_osi_1061_2019_rev0.pdf/"/>
    <hyperlink ref="B397" r:id="rId313" display="https://www.vishay.com/quality/pcn-doc/PTN-OSI-01093-2019-Rev-0/ptn_osi_1093_2019_rev0.pdf/"/>
    <hyperlink ref="B337" r:id="rId314"/>
    <hyperlink ref="B398" r:id="rId315" display="https://www.vishay.com/quality/pcn-doc/PTN-OSI-01098-2019-Rev-0/ptn_osi_1098_2019_rev0.pdf/"/>
    <hyperlink ref="B339" r:id="rId316"/>
    <hyperlink ref="B399" r:id="rId317" display="https://www.vishay.com/quality/pcn-doc/PTN-OSI-01103-2019-Rev-0/ptn_osi_1103_2019_rev0.pdf/"/>
    <hyperlink ref="B400" r:id="rId318" display="https://www.vishay.com/quality/pcn-doc/PTN-OSI-01125-2020-Rev-0/ptn_osi_1125_2020_rev0.pdf/"/>
    <hyperlink ref="B340" r:id="rId319"/>
    <hyperlink ref="B401" r:id="rId320" display="https://www.vishay.com/quality/pcn-doc/PTN-OSI-01127-2020-Rev-0/ptn_osi_1127_2020_rev0.pdf/"/>
    <hyperlink ref="B338" r:id="rId321"/>
    <hyperlink ref="B402" r:id="rId322" display="https://www.vishay.com/quality/pcn-doc/PTN-OSI-01188-2021-Rev-0/ptn_osi_1188_2021_rev0.pdf/"/>
    <hyperlink ref="B341" r:id="rId323"/>
    <hyperlink ref="B403" r:id="rId324" display="https://www.vishay.com/quality/pcn-doc/PTN-OSI-01189-2021-Rev-0/ptn_osi_1189_2021_rev0.pdf/"/>
    <hyperlink ref="B342" r:id="rId325"/>
    <hyperlink ref="B579" r:id="rId326"/>
    <hyperlink ref="B580" r:id="rId327"/>
    <hyperlink ref="B581" r:id="rId328"/>
    <hyperlink ref="B582" r:id="rId329"/>
    <hyperlink ref="B343" r:id="rId330"/>
    <hyperlink ref="B583" r:id="rId331"/>
    <hyperlink ref="B345" r:id="rId332"/>
    <hyperlink ref="B584" r:id="rId333"/>
    <hyperlink ref="B344" r:id="rId334"/>
    <hyperlink ref="B585" r:id="rId335"/>
    <hyperlink ref="B346" r:id="rId336"/>
    <hyperlink ref="B586" r:id="rId337"/>
    <hyperlink ref="B587" r:id="rId338"/>
    <hyperlink ref="B347" r:id="rId339"/>
    <hyperlink ref="B588" r:id="rId340"/>
    <hyperlink ref="B348" r:id="rId341"/>
    <hyperlink ref="B589" r:id="rId342"/>
    <hyperlink ref="B349" r:id="rId343"/>
    <hyperlink ref="B590" r:id="rId344"/>
    <hyperlink ref="B350" r:id="rId345"/>
    <hyperlink ref="B591" r:id="rId346"/>
    <hyperlink ref="B592" r:id="rId347"/>
    <hyperlink ref="B351" r:id="rId348"/>
    <hyperlink ref="B593" r:id="rId349" display="https://www.vishay.com/quality/pcn-doc/PTN-SIL-00003-2008-Rev-0/PCN-SIL-0032018%20Commercial%20LVM%20End%20of%20Life.pdf/"/>
    <hyperlink ref="B594" r:id="rId350" display="https://www.vishay.com/quality/pcn-doc/PTN-SIL-00015-2008-Rev-0/PCN-SIL-0152018%20Commercial%20LVM%20End%20of%20Life%20rev1.pdf/"/>
    <hyperlink ref="B352" r:id="rId351"/>
    <hyperlink ref="B595" r:id="rId352" display="https://www.vishay.com/quality/pcn-doc/PTN-SIL-00016-2017-Rev-0/PCN-SIL-0162017%20Commercial%20LVM%20End%20of%20Life.pdf/"/>
    <hyperlink ref="B596" r:id="rId353" display="https://www.vishay.com/quality/pcn-doc/PTN-SIL-00017-2019-Rev-0/PCN%20SIL-0172019%20EOL%20V50383-E3.pdf/"/>
    <hyperlink ref="B597" r:id="rId354" display="https://www.vishay.com/quality/pcn-doc/PTN-SIL-00018-2019-Rev-0/PCN%20SIL-0182019%20EOL%20V961-0007-E3.pdf/"/>
    <hyperlink ref="B598" r:id="rId355" display="https://www.vishay.com/quality/pcn-doc/PTN-SIL-000407-2020-REV-0/PTN-SIL-000407-2020-REV-0.pdf/"/>
    <hyperlink ref="B353" r:id="rId356"/>
    <hyperlink ref="B599" r:id="rId357" display="https://www.vishay.com/quality/pcn-doc/PTN-SIL-000413-2021-REV-0/PTN-SIL-000413-2021-REV-0.pdf/"/>
    <hyperlink ref="B600" r:id="rId358" display="https://www.vishay.com/quality/pcn-doc/PTN-SIL-003-2021-REV-0/PTN-SIL-003-2021-REV-0.pdf/"/>
    <hyperlink ref="B354" r:id="rId359"/>
    <hyperlink ref="B601" r:id="rId360" display="https://www.vishay.com/quality/pcn-doc/PTN-SIL-00404-2020-Rev-0/PCN-SIL-4042020_Obs_PDIP18-20-28.pdf/"/>
    <hyperlink ref="B355" r:id="rId361" display="https://www.vishay.com/quality/pcn-doc/PCN-SIL-043-2014-Rev-2/PCN-SIL-0432014%20Rev2%20EOL%20with%2045M%20Replacement.pdf/"/>
    <hyperlink ref="B602" r:id="rId362" display="https://www.vishay.com/quality/pcn-doc/PTN-SIL-00408-2017-Rev-0/PCN-SIL-4082017%20EOL_SCLA_LICs.pdf/"/>
    <hyperlink ref="B356" r:id="rId363"/>
    <hyperlink ref="B603" r:id="rId364" display="https://www.vishay.com/quality/pcn-doc/PTN-SIL-013-2021-REV-0/PTN-SIL-013-2021-REV-0-VERSION-2403.pdf/"/>
    <hyperlink ref="B357" r:id="rId365"/>
    <hyperlink ref="B604" r:id="rId366" display="https://www.vishay.com/quality/pcn-doc/PTN-SIL-014-2021-REV-0/PTN-SIL-014-2021-REV-0.pdf/"/>
    <hyperlink ref="B605" r:id="rId367" display="https://www.vishay.com/quality/pcn-doc/PTN-SIL-020-2021-REV-0/PTN-SIL-020-2021-REV-0.pdf/"/>
    <hyperlink ref="B606" r:id="rId368" display="https://www.vishay.com/quality/pcn-doc/PTN-SIL-030-2021-REV-0/PTN-SIL-030-2021-REV-0.pdf/"/>
    <hyperlink ref="B607" r:id="rId369" display="https://www.vishay.com/quality/pcn-doc/PTN-SIL-032-2021-REV-0/PTN-SIL-032-2021-REV-0.pdf/"/>
    <hyperlink ref="B358" r:id="rId370" display="https://www.vishay.com/quality/pcn-doc/PCN-SIL-048-2012-Rev-2/PCN-SIL-0482012%20EOL%20SOT-223,%20DPAK,%20IPAK%20Sn-PB%20ProductsRev2.pdf/"/>
    <hyperlink ref="B608" r:id="rId371" display="https://www.vishay.com/quality/pcn-doc/PTN-SIL-035-2021-REV-0/PTN-SIL-035-2021-REV-0.pdf/"/>
    <hyperlink ref="B359" r:id="rId372"/>
    <hyperlink ref="B609" r:id="rId373" display="https://www.vishay.com/quality/pcn-doc/PTN-SIL-036-2021-REV-0/PTN-SIL-036-2021-REV-0.pdf/"/>
    <hyperlink ref="B610" r:id="rId374" display="https://www.vishay.com/quality/pcn-doc/PTN-SIL-041-2020-REV-0/PTN-SIL-041-2020-REV-0.pdf/"/>
    <hyperlink ref="B360" r:id="rId375"/>
    <hyperlink ref="B611" r:id="rId376"/>
    <hyperlink ref="B361" r:id="rId377"/>
    <hyperlink ref="B612" r:id="rId378"/>
    <hyperlink ref="B362" r:id="rId379"/>
    <hyperlink ref="B613" r:id="rId380"/>
    <hyperlink ref="B614" r:id="rId381"/>
    <hyperlink ref="B615" r:id="rId382"/>
    <hyperlink ref="B363" r:id="rId383"/>
    <hyperlink ref="B364" r:id="rId384"/>
    <hyperlink ref="B365" r:id="rId385"/>
    <hyperlink ref="B202" r:id="rId386"/>
    <hyperlink ref="B366" r:id="rId387"/>
    <hyperlink ref="B201" r:id="rId388"/>
    <hyperlink ref="B367" r:id="rId389"/>
    <hyperlink ref="B200" r:id="rId390"/>
    <hyperlink ref="B199" r:id="rId391"/>
    <hyperlink ref="B198" r:id="rId392"/>
    <hyperlink ref="B197" r:id="rId393"/>
    <hyperlink ref="B196" r:id="rId394"/>
    <hyperlink ref="B368" r:id="rId395"/>
    <hyperlink ref="B195" r:id="rId396"/>
    <hyperlink ref="B369" r:id="rId397"/>
    <hyperlink ref="B194" r:id="rId398"/>
    <hyperlink ref="B370" r:id="rId399"/>
    <hyperlink ref="B193" r:id="rId400"/>
    <hyperlink ref="B371" r:id="rId401"/>
    <hyperlink ref="B192" r:id="rId402"/>
    <hyperlink ref="B191" r:id="rId403"/>
    <hyperlink ref="B190" r:id="rId404"/>
    <hyperlink ref="B189" r:id="rId405"/>
    <hyperlink ref="B188" r:id="rId406"/>
    <hyperlink ref="B187" r:id="rId407"/>
    <hyperlink ref="B186" r:id="rId408"/>
    <hyperlink ref="B185" r:id="rId409"/>
    <hyperlink ref="B372" r:id="rId410"/>
    <hyperlink ref="B184" r:id="rId411"/>
    <hyperlink ref="B183" r:id="rId412"/>
    <hyperlink ref="B373" r:id="rId413"/>
    <hyperlink ref="B182" r:id="rId414"/>
    <hyperlink ref="B374" r:id="rId415"/>
    <hyperlink ref="B181" r:id="rId416"/>
    <hyperlink ref="B375" r:id="rId417"/>
    <hyperlink ref="B180" r:id="rId418"/>
    <hyperlink ref="B179" r:id="rId419"/>
    <hyperlink ref="B376" r:id="rId420"/>
    <hyperlink ref="B178" r:id="rId421"/>
    <hyperlink ref="B177" r:id="rId422"/>
    <hyperlink ref="B176" r:id="rId423"/>
    <hyperlink ref="B175" r:id="rId424"/>
    <hyperlink ref="B377" r:id="rId425"/>
    <hyperlink ref="B174" r:id="rId426"/>
    <hyperlink ref="B173" r:id="rId427"/>
    <hyperlink ref="B378" r:id="rId428"/>
    <hyperlink ref="B379" r:id="rId429"/>
    <hyperlink ref="B172" r:id="rId430"/>
    <hyperlink ref="B380" r:id="rId431"/>
    <hyperlink ref="B171" r:id="rId432"/>
    <hyperlink ref="B381" r:id="rId433"/>
    <hyperlink ref="B170" r:id="rId434"/>
    <hyperlink ref="B169" r:id="rId435"/>
    <hyperlink ref="B168" r:id="rId436"/>
    <hyperlink ref="B167" r:id="rId437"/>
    <hyperlink ref="B382" r:id="rId438"/>
    <hyperlink ref="B166" r:id="rId439"/>
    <hyperlink ref="B165" r:id="rId440"/>
    <hyperlink ref="B383" r:id="rId441"/>
    <hyperlink ref="B164" r:id="rId442"/>
    <hyperlink ref="B384" r:id="rId443"/>
    <hyperlink ref="B163" r:id="rId444"/>
    <hyperlink ref="B385" r:id="rId445"/>
    <hyperlink ref="B409" r:id="rId446"/>
    <hyperlink ref="B386" r:id="rId447"/>
    <hyperlink ref="B408" r:id="rId448"/>
    <hyperlink ref="B407" r:id="rId449"/>
    <hyperlink ref="B387" r:id="rId450"/>
    <hyperlink ref="B406" r:id="rId451"/>
    <hyperlink ref="B405" r:id="rId452"/>
    <hyperlink ref="B388" r:id="rId453"/>
    <hyperlink ref="B389" r:id="rId454"/>
    <hyperlink ref="B390" r:id="rId455"/>
    <hyperlink ref="B20" r:id="rId456"/>
    <hyperlink ref="B6" r:id="rId457"/>
    <hyperlink ref="B17" r:id="rId458"/>
    <hyperlink ref="B21" r:id="rId459"/>
    <hyperlink ref="B29" r:id="rId460"/>
    <hyperlink ref="B34" r:id="rId461"/>
    <hyperlink ref="B39" r:id="rId462"/>
    <hyperlink ref="B40" r:id="rId463"/>
    <hyperlink ref="B41" r:id="rId464"/>
    <hyperlink ref="B42" r:id="rId465"/>
    <hyperlink ref="B43" r:id="rId466"/>
    <hyperlink ref="B44" r:id="rId467"/>
    <hyperlink ref="B45" r:id="rId468"/>
    <hyperlink ref="B46" r:id="rId469"/>
    <hyperlink ref="B47" r:id="rId470"/>
    <hyperlink ref="B49" r:id="rId471"/>
    <hyperlink ref="B50" r:id="rId472"/>
    <hyperlink ref="B51" r:id="rId473"/>
    <hyperlink ref="B52" r:id="rId474"/>
    <hyperlink ref="B55" r:id="rId475"/>
    <hyperlink ref="B57" r:id="rId476"/>
    <hyperlink ref="B63" r:id="rId477"/>
    <hyperlink ref="B71" r:id="rId478"/>
    <hyperlink ref="B72" r:id="rId479"/>
    <hyperlink ref="B76" r:id="rId480"/>
    <hyperlink ref="B77" r:id="rId481"/>
    <hyperlink ref="B78" r:id="rId482"/>
    <hyperlink ref="B79" r:id="rId483"/>
    <hyperlink ref="B82" r:id="rId484"/>
    <hyperlink ref="B87" r:id="rId485"/>
    <hyperlink ref="B89" r:id="rId486"/>
    <hyperlink ref="B90" r:id="rId487"/>
    <hyperlink ref="B92" r:id="rId488"/>
    <hyperlink ref="B95" r:id="rId489"/>
    <hyperlink ref="B105" r:id="rId490"/>
    <hyperlink ref="B113" r:id="rId491"/>
    <hyperlink ref="B125" r:id="rId492"/>
    <hyperlink ref="B150" r:id="rId493"/>
    <hyperlink ref="B156" r:id="rId494"/>
    <hyperlink ref="B158" r:id="rId495"/>
    <hyperlink ref="B159" r:id="rId496"/>
    <hyperlink ref="B160" r:id="rId497"/>
    <hyperlink ref="B392" r:id="rId498"/>
    <hyperlink ref="B153" r:id="rId499"/>
  </hyperlinks>
  <pageMargins left="0.7" right="0.7" top="0.75" bottom="0.75" header="0.3" footer="0.3"/>
  <pageSetup paperSize="9" orientation="portrait" r:id="rId500"/>
  <drawing r:id="rId50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249977111117893"/>
  </sheetPr>
  <dimension ref="A1:AK135"/>
  <sheetViews>
    <sheetView topLeftCell="A113" zoomScale="70" zoomScaleNormal="70" workbookViewId="0">
      <selection activeCell="AK3" sqref="AK3:AK7"/>
    </sheetView>
  </sheetViews>
  <sheetFormatPr baseColWidth="10" defaultColWidth="9.15625" defaultRowHeight="14.4"/>
  <cols>
    <col min="1" max="1" width="20.41796875" style="158" bestFit="1" customWidth="1"/>
    <col min="2" max="2" width="183.41796875" style="158" bestFit="1" customWidth="1"/>
    <col min="3" max="6" width="9.15625" style="158"/>
    <col min="7" max="7" width="14.41796875" style="158" customWidth="1"/>
    <col min="8" max="8" width="13.15625" style="158" customWidth="1"/>
    <col min="9" max="9" width="12.578125" style="158" customWidth="1"/>
    <col min="10" max="10" width="255.578125" style="158" bestFit="1" customWidth="1"/>
    <col min="11" max="11" width="48.41796875" style="158" bestFit="1" customWidth="1"/>
    <col min="12" max="12" width="11.578125" style="158" bestFit="1" customWidth="1"/>
    <col min="13" max="13" width="16.83984375" style="158" customWidth="1"/>
    <col min="14" max="14" width="9.15625" style="158"/>
    <col min="15" max="15" width="65.41796875" style="158" customWidth="1"/>
    <col min="16" max="16" width="20.41796875" style="158" customWidth="1"/>
    <col min="17" max="34" width="9.15625" style="158"/>
    <col min="35" max="35" width="64.41796875" style="158" bestFit="1" customWidth="1"/>
    <col min="36" max="36" width="9.15625" style="158"/>
    <col min="37" max="37" width="12.83984375" style="158" bestFit="1" customWidth="1"/>
    <col min="38" max="16384" width="9.15625" style="158"/>
  </cols>
  <sheetData>
    <row r="1" spans="1:37" ht="25.35" customHeight="1">
      <c r="A1" s="102" t="s">
        <v>518</v>
      </c>
      <c r="B1" s="112" t="s">
        <v>519</v>
      </c>
      <c r="C1" s="102" t="s">
        <v>520</v>
      </c>
      <c r="D1" s="102" t="s">
        <v>521</v>
      </c>
      <c r="E1" s="102" t="s">
        <v>522</v>
      </c>
      <c r="F1" s="127" t="s">
        <v>523</v>
      </c>
      <c r="G1" s="155" t="s">
        <v>524</v>
      </c>
      <c r="H1" s="156" t="s">
        <v>525</v>
      </c>
      <c r="I1" s="157" t="s">
        <v>526</v>
      </c>
      <c r="J1" s="127" t="s">
        <v>12</v>
      </c>
      <c r="K1" s="103" t="s">
        <v>14</v>
      </c>
      <c r="L1" s="103" t="s">
        <v>15</v>
      </c>
      <c r="M1" s="103" t="s">
        <v>16</v>
      </c>
      <c r="AJ1" s="172"/>
    </row>
    <row r="2" spans="1:37" ht="25.35" customHeight="1">
      <c r="A2" s="173" t="s">
        <v>527</v>
      </c>
      <c r="B2" s="113" t="s">
        <v>528</v>
      </c>
      <c r="C2" s="173" t="s">
        <v>529</v>
      </c>
      <c r="D2" s="173" t="s">
        <v>530</v>
      </c>
      <c r="E2" s="173" t="s">
        <v>531</v>
      </c>
      <c r="F2" s="174" t="s">
        <v>532</v>
      </c>
      <c r="G2" s="175">
        <v>42203</v>
      </c>
      <c r="H2" s="176" t="s">
        <v>533</v>
      </c>
      <c r="I2" s="177">
        <v>42551</v>
      </c>
      <c r="J2" s="178" t="s">
        <v>534</v>
      </c>
      <c r="K2" s="159" t="s">
        <v>73</v>
      </c>
      <c r="L2" s="159" t="s">
        <v>74</v>
      </c>
      <c r="M2" s="179"/>
      <c r="O2" s="160" t="s">
        <v>14</v>
      </c>
      <c r="P2" s="161"/>
      <c r="AI2" s="46" t="s">
        <v>43</v>
      </c>
      <c r="AJ2" s="55" t="s">
        <v>44</v>
      </c>
      <c r="AK2" s="46" t="s">
        <v>45</v>
      </c>
    </row>
    <row r="3" spans="1:37" ht="25.35" customHeight="1">
      <c r="A3" s="173" t="s">
        <v>535</v>
      </c>
      <c r="B3" s="123" t="s">
        <v>536</v>
      </c>
      <c r="C3" s="173" t="s">
        <v>529</v>
      </c>
      <c r="D3" s="173" t="s">
        <v>530</v>
      </c>
      <c r="E3" s="173" t="s">
        <v>537</v>
      </c>
      <c r="F3" s="174" t="s">
        <v>538</v>
      </c>
      <c r="G3" s="175">
        <v>40422</v>
      </c>
      <c r="H3" s="180">
        <v>40602</v>
      </c>
      <c r="I3" s="177">
        <v>40706</v>
      </c>
      <c r="J3" s="178" t="s">
        <v>539</v>
      </c>
      <c r="K3" s="159" t="s">
        <v>73</v>
      </c>
      <c r="L3" s="159" t="s">
        <v>74</v>
      </c>
      <c r="M3" s="179">
        <v>5</v>
      </c>
      <c r="O3" s="162" t="s">
        <v>540</v>
      </c>
      <c r="P3" s="162">
        <f t="shared" ref="P3:P10" si="0">COUNTIF($K$2:$K$620,O3)</f>
        <v>13</v>
      </c>
      <c r="Q3" s="158" t="s">
        <v>541</v>
      </c>
      <c r="AI3" s="49" t="s">
        <v>50</v>
      </c>
      <c r="AJ3" s="51">
        <f>COUNTIF($M$2:$M$135,"&lt;4")</f>
        <v>31</v>
      </c>
      <c r="AK3" s="24">
        <f>AJ3</f>
        <v>31</v>
      </c>
    </row>
    <row r="4" spans="1:37" ht="25.35" customHeight="1">
      <c r="A4" s="173" t="s">
        <v>542</v>
      </c>
      <c r="B4" s="113" t="s">
        <v>543</v>
      </c>
      <c r="C4" s="173" t="s">
        <v>529</v>
      </c>
      <c r="D4" s="173" t="s">
        <v>530</v>
      </c>
      <c r="E4" s="173" t="s">
        <v>544</v>
      </c>
      <c r="F4" s="174" t="s">
        <v>545</v>
      </c>
      <c r="G4" s="175">
        <v>40893</v>
      </c>
      <c r="H4" s="180" t="s">
        <v>546</v>
      </c>
      <c r="I4" s="177"/>
      <c r="J4" s="178" t="s">
        <v>547</v>
      </c>
      <c r="K4" s="159" t="s">
        <v>73</v>
      </c>
      <c r="L4" s="159" t="s">
        <v>74</v>
      </c>
      <c r="M4" s="179"/>
      <c r="O4" s="162" t="s">
        <v>55</v>
      </c>
      <c r="P4" s="162">
        <f t="shared" si="0"/>
        <v>0</v>
      </c>
      <c r="AI4" s="41" t="s">
        <v>56</v>
      </c>
      <c r="AJ4" s="51">
        <f>COUNTIF($M$2:$M$135,"&lt;7")</f>
        <v>106</v>
      </c>
      <c r="AK4" s="24">
        <f>AJ4-AJ3</f>
        <v>75</v>
      </c>
    </row>
    <row r="5" spans="1:37" ht="25.35" customHeight="1">
      <c r="A5" s="173" t="s">
        <v>548</v>
      </c>
      <c r="B5" s="113" t="s">
        <v>549</v>
      </c>
      <c r="C5" s="173" t="s">
        <v>529</v>
      </c>
      <c r="D5" s="173" t="s">
        <v>530</v>
      </c>
      <c r="E5" s="173" t="s">
        <v>550</v>
      </c>
      <c r="F5" s="174" t="s">
        <v>551</v>
      </c>
      <c r="G5" s="175">
        <v>41377</v>
      </c>
      <c r="H5" s="180">
        <v>41455</v>
      </c>
      <c r="I5" s="177">
        <v>41486</v>
      </c>
      <c r="J5" s="178" t="s">
        <v>552</v>
      </c>
      <c r="K5" s="159" t="s">
        <v>73</v>
      </c>
      <c r="L5" s="159" t="s">
        <v>74</v>
      </c>
      <c r="M5" s="179">
        <v>2</v>
      </c>
      <c r="O5" s="162" t="s">
        <v>60</v>
      </c>
      <c r="P5" s="162">
        <f t="shared" si="0"/>
        <v>0</v>
      </c>
      <c r="AI5" s="41" t="s">
        <v>61</v>
      </c>
      <c r="AJ5" s="51">
        <f>COUNTIF($M$2:$M$135,"&lt;10")</f>
        <v>107</v>
      </c>
      <c r="AK5" s="24">
        <f>AJ5-AJ4</f>
        <v>1</v>
      </c>
    </row>
    <row r="6" spans="1:37" ht="25.35" customHeight="1">
      <c r="A6" s="173" t="s">
        <v>553</v>
      </c>
      <c r="B6" s="123" t="s">
        <v>554</v>
      </c>
      <c r="C6" s="173" t="s">
        <v>529</v>
      </c>
      <c r="D6" s="173" t="s">
        <v>530</v>
      </c>
      <c r="E6" s="173" t="s">
        <v>555</v>
      </c>
      <c r="F6" s="174" t="s">
        <v>556</v>
      </c>
      <c r="G6" s="175">
        <v>40611</v>
      </c>
      <c r="H6" s="180">
        <v>40711</v>
      </c>
      <c r="I6" s="177">
        <v>40755</v>
      </c>
      <c r="J6" s="158" t="s">
        <v>557</v>
      </c>
      <c r="K6" s="159" t="s">
        <v>27</v>
      </c>
      <c r="L6" s="159" t="s">
        <v>28</v>
      </c>
      <c r="M6" s="179">
        <v>3</v>
      </c>
      <c r="O6" s="162" t="s">
        <v>36</v>
      </c>
      <c r="P6" s="162">
        <f t="shared" si="0"/>
        <v>25</v>
      </c>
      <c r="AI6" s="41" t="s">
        <v>67</v>
      </c>
      <c r="AJ6" s="41">
        <f>COUNTIF($M$2:$M$135,"&lt;13")</f>
        <v>108</v>
      </c>
      <c r="AK6" s="24">
        <f>AJ6-AJ5</f>
        <v>1</v>
      </c>
    </row>
    <row r="7" spans="1:37" ht="25.35" customHeight="1">
      <c r="A7" s="173" t="s">
        <v>558</v>
      </c>
      <c r="B7" s="113" t="s">
        <v>559</v>
      </c>
      <c r="C7" s="173" t="s">
        <v>529</v>
      </c>
      <c r="D7" s="173" t="s">
        <v>560</v>
      </c>
      <c r="E7" s="173" t="s">
        <v>561</v>
      </c>
      <c r="F7" s="174" t="s">
        <v>562</v>
      </c>
      <c r="G7" s="175">
        <v>41821</v>
      </c>
      <c r="H7" s="180">
        <v>42004</v>
      </c>
      <c r="I7" s="177">
        <v>42035</v>
      </c>
      <c r="J7" s="178" t="s">
        <v>552</v>
      </c>
      <c r="K7" s="159" t="s">
        <v>73</v>
      </c>
      <c r="L7" s="159" t="s">
        <v>74</v>
      </c>
      <c r="M7" s="179">
        <v>5</v>
      </c>
      <c r="O7" s="162" t="s">
        <v>75</v>
      </c>
      <c r="P7" s="162">
        <f t="shared" si="0"/>
        <v>2</v>
      </c>
      <c r="AI7" s="47" t="s">
        <v>76</v>
      </c>
      <c r="AJ7" s="52">
        <f>COUNTIF($M$2:$M$135,"&gt;12")</f>
        <v>1</v>
      </c>
      <c r="AK7" s="24">
        <f>+AJ7</f>
        <v>1</v>
      </c>
    </row>
    <row r="8" spans="1:37" ht="25.35" customHeight="1">
      <c r="A8" s="173" t="s">
        <v>563</v>
      </c>
      <c r="B8" s="113" t="s">
        <v>564</v>
      </c>
      <c r="C8" s="173" t="s">
        <v>529</v>
      </c>
      <c r="D8" s="173" t="s">
        <v>530</v>
      </c>
      <c r="E8" s="173" t="s">
        <v>565</v>
      </c>
      <c r="F8" s="174" t="s">
        <v>566</v>
      </c>
      <c r="G8" s="175">
        <v>42552</v>
      </c>
      <c r="H8" s="180">
        <v>42735</v>
      </c>
      <c r="I8" s="177">
        <v>42766</v>
      </c>
      <c r="J8" s="178" t="s">
        <v>567</v>
      </c>
      <c r="K8" s="159" t="s">
        <v>73</v>
      </c>
      <c r="L8" s="159" t="s">
        <v>74</v>
      </c>
      <c r="M8" s="179">
        <v>5</v>
      </c>
      <c r="O8" s="162" t="s">
        <v>27</v>
      </c>
      <c r="P8" s="162">
        <f t="shared" si="0"/>
        <v>40</v>
      </c>
      <c r="AI8" s="35" t="s">
        <v>80</v>
      </c>
      <c r="AJ8" s="53"/>
      <c r="AK8" s="54">
        <f>SUM(AK3:AK7)</f>
        <v>109</v>
      </c>
    </row>
    <row r="9" spans="1:37" ht="25.35" customHeight="1">
      <c r="A9" s="173" t="s">
        <v>568</v>
      </c>
      <c r="B9" s="113" t="s">
        <v>569</v>
      </c>
      <c r="C9" s="173" t="s">
        <v>529</v>
      </c>
      <c r="D9" s="173" t="s">
        <v>570</v>
      </c>
      <c r="E9" s="173" t="s">
        <v>571</v>
      </c>
      <c r="F9" s="174" t="s">
        <v>572</v>
      </c>
      <c r="G9" s="175">
        <v>40442</v>
      </c>
      <c r="H9" s="176">
        <v>40543</v>
      </c>
      <c r="I9" s="181">
        <v>40574</v>
      </c>
      <c r="J9" s="174" t="s">
        <v>552</v>
      </c>
      <c r="K9" s="159" t="s">
        <v>73</v>
      </c>
      <c r="L9" s="159" t="s">
        <v>74</v>
      </c>
      <c r="M9" s="179">
        <v>3</v>
      </c>
      <c r="O9" s="163" t="s">
        <v>73</v>
      </c>
      <c r="P9" s="162">
        <f t="shared" si="0"/>
        <v>44</v>
      </c>
    </row>
    <row r="10" spans="1:37" ht="25.35" customHeight="1">
      <c r="A10" s="173" t="s">
        <v>573</v>
      </c>
      <c r="B10" s="113" t="s">
        <v>574</v>
      </c>
      <c r="C10" s="173" t="s">
        <v>529</v>
      </c>
      <c r="D10" s="173" t="s">
        <v>530</v>
      </c>
      <c r="E10" s="173" t="s">
        <v>575</v>
      </c>
      <c r="F10" s="174" t="s">
        <v>576</v>
      </c>
      <c r="G10" s="175">
        <v>40639</v>
      </c>
      <c r="H10" s="180">
        <v>40753</v>
      </c>
      <c r="I10" s="177">
        <v>40816</v>
      </c>
      <c r="J10" s="178" t="s">
        <v>577</v>
      </c>
      <c r="K10" s="159" t="s">
        <v>73</v>
      </c>
      <c r="L10" s="159" t="s">
        <v>74</v>
      </c>
      <c r="M10" s="179">
        <v>3</v>
      </c>
      <c r="O10" s="159" t="s">
        <v>578</v>
      </c>
      <c r="P10" s="162">
        <f t="shared" si="0"/>
        <v>2</v>
      </c>
    </row>
    <row r="11" spans="1:37" ht="25.35" customHeight="1">
      <c r="A11" s="173" t="s">
        <v>579</v>
      </c>
      <c r="B11" s="113" t="s">
        <v>580</v>
      </c>
      <c r="C11" s="173" t="s">
        <v>529</v>
      </c>
      <c r="D11" s="173" t="s">
        <v>570</v>
      </c>
      <c r="E11" s="173" t="s">
        <v>581</v>
      </c>
      <c r="F11" s="174" t="s">
        <v>572</v>
      </c>
      <c r="G11" s="175">
        <v>40442</v>
      </c>
      <c r="H11" s="180">
        <v>40543</v>
      </c>
      <c r="I11" s="177">
        <v>40574</v>
      </c>
      <c r="J11" s="178" t="s">
        <v>582</v>
      </c>
      <c r="K11" s="159" t="s">
        <v>73</v>
      </c>
      <c r="L11" s="159" t="s">
        <v>74</v>
      </c>
      <c r="M11" s="179">
        <v>3</v>
      </c>
      <c r="O11" s="164" t="s">
        <v>80</v>
      </c>
      <c r="P11" s="165">
        <f>SUM(P3:P10)</f>
        <v>126</v>
      </c>
    </row>
    <row r="12" spans="1:37" ht="25.35" customHeight="1">
      <c r="A12" s="173" t="s">
        <v>583</v>
      </c>
      <c r="B12" s="113" t="s">
        <v>584</v>
      </c>
      <c r="C12" s="173" t="s">
        <v>529</v>
      </c>
      <c r="D12" s="173" t="s">
        <v>570</v>
      </c>
      <c r="E12" s="173" t="s">
        <v>585</v>
      </c>
      <c r="F12" s="174" t="s">
        <v>572</v>
      </c>
      <c r="G12" s="175">
        <v>40442</v>
      </c>
      <c r="H12" s="180">
        <v>40543</v>
      </c>
      <c r="I12" s="177">
        <v>40574</v>
      </c>
      <c r="J12" s="178" t="s">
        <v>582</v>
      </c>
      <c r="K12" s="159" t="s">
        <v>73</v>
      </c>
      <c r="L12" s="159" t="s">
        <v>74</v>
      </c>
      <c r="M12" s="179">
        <v>3</v>
      </c>
    </row>
    <row r="13" spans="1:37" ht="25.35" customHeight="1">
      <c r="A13" s="173" t="s">
        <v>586</v>
      </c>
      <c r="B13" s="113" t="s">
        <v>587</v>
      </c>
      <c r="C13" s="173" t="s">
        <v>529</v>
      </c>
      <c r="D13" s="173" t="s">
        <v>570</v>
      </c>
      <c r="E13" s="173" t="s">
        <v>588</v>
      </c>
      <c r="F13" s="174" t="s">
        <v>589</v>
      </c>
      <c r="G13" s="175">
        <v>40810</v>
      </c>
      <c r="H13" s="180">
        <v>40894</v>
      </c>
      <c r="I13" s="177">
        <v>40907</v>
      </c>
      <c r="J13" s="178" t="s">
        <v>552</v>
      </c>
      <c r="K13" s="159" t="s">
        <v>73</v>
      </c>
      <c r="L13" s="159" t="s">
        <v>74</v>
      </c>
      <c r="M13" s="179">
        <v>2</v>
      </c>
      <c r="O13" s="160" t="s">
        <v>590</v>
      </c>
      <c r="P13" s="161"/>
    </row>
    <row r="14" spans="1:37" ht="25.35" customHeight="1">
      <c r="A14" s="173" t="s">
        <v>591</v>
      </c>
      <c r="B14" s="113" t="s">
        <v>592</v>
      </c>
      <c r="C14" s="173" t="s">
        <v>529</v>
      </c>
      <c r="D14" s="173" t="s">
        <v>530</v>
      </c>
      <c r="E14" s="173" t="s">
        <v>593</v>
      </c>
      <c r="F14" s="174" t="s">
        <v>594</v>
      </c>
      <c r="G14" s="175">
        <v>41585</v>
      </c>
      <c r="H14" s="180">
        <v>40711</v>
      </c>
      <c r="I14" s="177">
        <v>40753</v>
      </c>
      <c r="J14" s="178" t="s">
        <v>595</v>
      </c>
      <c r="K14" s="159" t="s">
        <v>27</v>
      </c>
      <c r="L14" s="159" t="s">
        <v>28</v>
      </c>
      <c r="M14" s="179"/>
      <c r="O14" s="162" t="s">
        <v>28</v>
      </c>
      <c r="P14" s="162">
        <f>COUNTIF($L$2:$L$620,O14)</f>
        <v>68</v>
      </c>
    </row>
    <row r="15" spans="1:37" ht="25.35" customHeight="1">
      <c r="A15" s="173" t="s">
        <v>596</v>
      </c>
      <c r="B15" s="113" t="s">
        <v>597</v>
      </c>
      <c r="C15" s="173" t="s">
        <v>529</v>
      </c>
      <c r="D15" s="173" t="s">
        <v>530</v>
      </c>
      <c r="E15" s="173" t="s">
        <v>598</v>
      </c>
      <c r="F15" s="174" t="s">
        <v>599</v>
      </c>
      <c r="G15" s="175">
        <v>40810</v>
      </c>
      <c r="H15" s="180">
        <v>40877</v>
      </c>
      <c r="I15" s="177">
        <v>40907</v>
      </c>
      <c r="J15" s="178" t="s">
        <v>552</v>
      </c>
      <c r="K15" s="159" t="s">
        <v>73</v>
      </c>
      <c r="L15" s="159" t="s">
        <v>74</v>
      </c>
      <c r="M15" s="179">
        <v>2</v>
      </c>
      <c r="O15" s="162" t="s">
        <v>74</v>
      </c>
      <c r="P15" s="162">
        <f>COUNTIF($L$2:$L$620,O15)</f>
        <v>43</v>
      </c>
    </row>
    <row r="16" spans="1:37" ht="25.35" customHeight="1">
      <c r="A16" s="173" t="s">
        <v>600</v>
      </c>
      <c r="B16" s="113" t="s">
        <v>601</v>
      </c>
      <c r="C16" s="173" t="s">
        <v>529</v>
      </c>
      <c r="D16" s="173" t="s">
        <v>570</v>
      </c>
      <c r="E16" s="173" t="s">
        <v>602</v>
      </c>
      <c r="F16" s="174" t="s">
        <v>603</v>
      </c>
      <c r="G16" s="175">
        <v>40837</v>
      </c>
      <c r="H16" s="180">
        <v>40939</v>
      </c>
      <c r="I16" s="177">
        <v>41090</v>
      </c>
      <c r="J16" s="178" t="s">
        <v>582</v>
      </c>
      <c r="K16" s="159" t="s">
        <v>73</v>
      </c>
      <c r="L16" s="159" t="s">
        <v>74</v>
      </c>
      <c r="M16" s="179">
        <v>3</v>
      </c>
      <c r="O16" s="162" t="s">
        <v>103</v>
      </c>
      <c r="P16" s="162">
        <f>COUNTIF($L$2:$L$620,O16)</f>
        <v>2</v>
      </c>
    </row>
    <row r="17" spans="1:16" ht="25.35" customHeight="1">
      <c r="A17" s="173" t="s">
        <v>604</v>
      </c>
      <c r="B17" s="123" t="s">
        <v>605</v>
      </c>
      <c r="C17" s="173" t="s">
        <v>529</v>
      </c>
      <c r="D17" s="173" t="s">
        <v>606</v>
      </c>
      <c r="E17" s="173" t="s">
        <v>607</v>
      </c>
      <c r="F17" s="174" t="s">
        <v>608</v>
      </c>
      <c r="G17" s="175">
        <v>40267</v>
      </c>
      <c r="H17" s="180">
        <v>40480</v>
      </c>
      <c r="I17" s="177">
        <v>40535</v>
      </c>
      <c r="J17" s="178" t="s">
        <v>609</v>
      </c>
      <c r="K17" s="159" t="s">
        <v>73</v>
      </c>
      <c r="L17" s="159" t="s">
        <v>74</v>
      </c>
      <c r="M17" s="179">
        <v>6</v>
      </c>
      <c r="O17" s="158" t="s">
        <v>0</v>
      </c>
      <c r="P17" s="162">
        <f>COUNTIF($L$2:$L$620,O17)</f>
        <v>13</v>
      </c>
    </row>
    <row r="18" spans="1:16" ht="25.35" customHeight="1">
      <c r="A18" s="173" t="s">
        <v>610</v>
      </c>
      <c r="B18" s="114" t="s">
        <v>611</v>
      </c>
      <c r="C18" s="173" t="s">
        <v>529</v>
      </c>
      <c r="D18" s="173" t="s">
        <v>606</v>
      </c>
      <c r="E18" s="173" t="s">
        <v>612</v>
      </c>
      <c r="F18" s="174" t="s">
        <v>613</v>
      </c>
      <c r="G18" s="175">
        <v>40647</v>
      </c>
      <c r="H18" s="180" t="s">
        <v>546</v>
      </c>
      <c r="I18" s="177"/>
      <c r="J18" s="178" t="s">
        <v>614</v>
      </c>
      <c r="K18" s="159" t="s">
        <v>27</v>
      </c>
      <c r="L18" s="159" t="s">
        <v>28</v>
      </c>
      <c r="M18" s="179"/>
      <c r="O18" s="160" t="s">
        <v>80</v>
      </c>
      <c r="P18" s="166">
        <f>SUM(P14:P17)</f>
        <v>126</v>
      </c>
    </row>
    <row r="19" spans="1:16" ht="25.35" customHeight="1">
      <c r="A19" s="173" t="s">
        <v>615</v>
      </c>
      <c r="B19" s="114" t="s">
        <v>616</v>
      </c>
      <c r="C19" s="173" t="s">
        <v>529</v>
      </c>
      <c r="D19" s="173" t="s">
        <v>606</v>
      </c>
      <c r="E19" s="173" t="s">
        <v>617</v>
      </c>
      <c r="F19" s="174" t="s">
        <v>618</v>
      </c>
      <c r="G19" s="175">
        <v>41011</v>
      </c>
      <c r="H19" s="180">
        <v>41017</v>
      </c>
      <c r="I19" s="177">
        <v>41197</v>
      </c>
      <c r="J19" s="178" t="s">
        <v>619</v>
      </c>
      <c r="K19" s="159" t="s">
        <v>540</v>
      </c>
      <c r="L19" s="158" t="s">
        <v>0</v>
      </c>
      <c r="M19" s="179">
        <v>0</v>
      </c>
    </row>
    <row r="20" spans="1:16" ht="25.35" customHeight="1">
      <c r="A20" s="173" t="s">
        <v>620</v>
      </c>
      <c r="B20" s="123" t="s">
        <v>621</v>
      </c>
      <c r="C20" s="173" t="s">
        <v>529</v>
      </c>
      <c r="D20" s="173" t="s">
        <v>606</v>
      </c>
      <c r="E20" s="173" t="s">
        <v>622</v>
      </c>
      <c r="F20" s="174" t="s">
        <v>623</v>
      </c>
      <c r="G20" s="175">
        <v>42475</v>
      </c>
      <c r="H20" s="180">
        <v>42505</v>
      </c>
      <c r="I20" s="177">
        <v>42735</v>
      </c>
      <c r="J20" s="178" t="s">
        <v>624</v>
      </c>
      <c r="K20" s="159" t="s">
        <v>73</v>
      </c>
      <c r="L20" s="159" t="s">
        <v>74</v>
      </c>
      <c r="M20" s="179">
        <v>1</v>
      </c>
    </row>
    <row r="21" spans="1:16" ht="25.35" customHeight="1">
      <c r="A21" s="173" t="s">
        <v>625</v>
      </c>
      <c r="B21" s="123" t="s">
        <v>626</v>
      </c>
      <c r="C21" s="173" t="s">
        <v>529</v>
      </c>
      <c r="D21" s="173" t="s">
        <v>627</v>
      </c>
      <c r="E21" s="173" t="s">
        <v>628</v>
      </c>
      <c r="F21" s="174" t="s">
        <v>629</v>
      </c>
      <c r="G21" s="175">
        <v>41093</v>
      </c>
      <c r="H21" s="180">
        <v>41183</v>
      </c>
      <c r="I21" s="177">
        <v>41333</v>
      </c>
      <c r="J21" s="158" t="s">
        <v>630</v>
      </c>
      <c r="K21" s="159" t="s">
        <v>540</v>
      </c>
      <c r="L21" s="158" t="s">
        <v>0</v>
      </c>
      <c r="M21" s="179">
        <v>2</v>
      </c>
    </row>
    <row r="22" spans="1:16" ht="25.35" customHeight="1">
      <c r="A22" s="173" t="s">
        <v>631</v>
      </c>
      <c r="B22" s="114" t="s">
        <v>632</v>
      </c>
      <c r="C22" s="173" t="s">
        <v>529</v>
      </c>
      <c r="D22" s="173" t="s">
        <v>627</v>
      </c>
      <c r="E22" s="173" t="s">
        <v>633</v>
      </c>
      <c r="F22" s="174" t="s">
        <v>634</v>
      </c>
      <c r="G22" s="175">
        <v>40276</v>
      </c>
      <c r="H22" s="180">
        <v>40452</v>
      </c>
      <c r="I22" s="177">
        <v>40515</v>
      </c>
      <c r="J22" s="178" t="s">
        <v>552</v>
      </c>
      <c r="K22" s="159" t="s">
        <v>73</v>
      </c>
      <c r="L22" s="159" t="s">
        <v>74</v>
      </c>
      <c r="M22" s="179">
        <v>5</v>
      </c>
    </row>
    <row r="23" spans="1:16" ht="25.35" customHeight="1">
      <c r="A23" s="173" t="s">
        <v>635</v>
      </c>
      <c r="B23" s="114" t="s">
        <v>636</v>
      </c>
      <c r="C23" s="173" t="s">
        <v>529</v>
      </c>
      <c r="D23" s="173" t="s">
        <v>627</v>
      </c>
      <c r="E23" s="173" t="s">
        <v>628</v>
      </c>
      <c r="F23" s="174" t="s">
        <v>629</v>
      </c>
      <c r="G23" s="175">
        <v>41094</v>
      </c>
      <c r="H23" s="180">
        <v>41183</v>
      </c>
      <c r="I23" s="177">
        <v>41508</v>
      </c>
      <c r="J23" s="178" t="s">
        <v>619</v>
      </c>
      <c r="K23" s="159" t="s">
        <v>540</v>
      </c>
      <c r="L23" s="158" t="s">
        <v>0</v>
      </c>
      <c r="M23" s="179">
        <v>2</v>
      </c>
    </row>
    <row r="24" spans="1:16" ht="25.35" customHeight="1">
      <c r="A24" s="173" t="s">
        <v>637</v>
      </c>
      <c r="B24" s="114" t="s">
        <v>638</v>
      </c>
      <c r="C24" s="173" t="s">
        <v>529</v>
      </c>
      <c r="D24" s="173" t="s">
        <v>606</v>
      </c>
      <c r="E24" s="173" t="s">
        <v>639</v>
      </c>
      <c r="F24" s="174" t="s">
        <v>640</v>
      </c>
      <c r="G24" s="175">
        <v>42524</v>
      </c>
      <c r="H24" s="180">
        <v>42553</v>
      </c>
      <c r="I24" s="177">
        <v>42735</v>
      </c>
      <c r="J24" s="178" t="s">
        <v>641</v>
      </c>
      <c r="K24" s="159" t="s">
        <v>73</v>
      </c>
      <c r="L24" s="159" t="s">
        <v>74</v>
      </c>
      <c r="M24" s="179">
        <v>0</v>
      </c>
    </row>
    <row r="25" spans="1:16" ht="25.35" customHeight="1">
      <c r="A25" s="173" t="s">
        <v>642</v>
      </c>
      <c r="B25" s="114" t="s">
        <v>643</v>
      </c>
      <c r="C25" s="173" t="s">
        <v>529</v>
      </c>
      <c r="D25" s="173" t="s">
        <v>606</v>
      </c>
      <c r="E25" s="173" t="s">
        <v>644</v>
      </c>
      <c r="F25" s="174" t="s">
        <v>572</v>
      </c>
      <c r="G25" s="175">
        <v>40262</v>
      </c>
      <c r="H25" s="180">
        <v>40480</v>
      </c>
      <c r="I25" s="177">
        <v>40535</v>
      </c>
      <c r="J25" s="178" t="s">
        <v>609</v>
      </c>
      <c r="K25" s="159" t="s">
        <v>73</v>
      </c>
      <c r="L25" s="159" t="s">
        <v>74</v>
      </c>
      <c r="M25" s="179">
        <v>7</v>
      </c>
    </row>
    <row r="26" spans="1:16" ht="25.35" customHeight="1">
      <c r="A26" s="173" t="s">
        <v>645</v>
      </c>
      <c r="B26" s="114" t="s">
        <v>646</v>
      </c>
      <c r="C26" s="173" t="s">
        <v>529</v>
      </c>
      <c r="D26" s="173" t="s">
        <v>606</v>
      </c>
      <c r="E26" s="173" t="s">
        <v>647</v>
      </c>
      <c r="F26" s="174" t="s">
        <v>648</v>
      </c>
      <c r="G26" s="175">
        <v>40682</v>
      </c>
      <c r="H26" s="180" t="s">
        <v>546</v>
      </c>
      <c r="I26" s="177"/>
      <c r="J26" s="178" t="s">
        <v>649</v>
      </c>
      <c r="K26" s="159" t="s">
        <v>75</v>
      </c>
      <c r="L26" s="159" t="s">
        <v>103</v>
      </c>
      <c r="M26" s="179"/>
    </row>
    <row r="27" spans="1:16" ht="25.35" customHeight="1">
      <c r="A27" s="173" t="s">
        <v>650</v>
      </c>
      <c r="B27" s="114" t="s">
        <v>651</v>
      </c>
      <c r="C27" s="173" t="s">
        <v>529</v>
      </c>
      <c r="D27" s="173" t="s">
        <v>606</v>
      </c>
      <c r="E27" s="173" t="s">
        <v>652</v>
      </c>
      <c r="F27" s="174" t="s">
        <v>653</v>
      </c>
      <c r="G27" s="175">
        <v>42644</v>
      </c>
      <c r="H27" s="180" t="s">
        <v>533</v>
      </c>
      <c r="I27" s="177">
        <v>42734</v>
      </c>
      <c r="J27" s="178" t="s">
        <v>654</v>
      </c>
      <c r="K27" s="159" t="s">
        <v>540</v>
      </c>
      <c r="L27" s="158" t="s">
        <v>0</v>
      </c>
      <c r="M27" s="179"/>
    </row>
    <row r="28" spans="1:16" ht="25.35" customHeight="1">
      <c r="A28" s="173" t="s">
        <v>655</v>
      </c>
      <c r="B28" s="114" t="s">
        <v>656</v>
      </c>
      <c r="C28" s="173" t="s">
        <v>529</v>
      </c>
      <c r="D28" s="173" t="s">
        <v>606</v>
      </c>
      <c r="E28" s="173" t="s">
        <v>657</v>
      </c>
      <c r="F28" s="174" t="s">
        <v>572</v>
      </c>
      <c r="G28" s="175">
        <v>40410</v>
      </c>
      <c r="H28" s="180" t="s">
        <v>546</v>
      </c>
      <c r="I28" s="177"/>
      <c r="J28" s="178" t="s">
        <v>658</v>
      </c>
      <c r="K28" s="159" t="s">
        <v>73</v>
      </c>
      <c r="L28" s="159" t="s">
        <v>74</v>
      </c>
      <c r="M28" s="179"/>
    </row>
    <row r="29" spans="1:16" ht="25.35" customHeight="1">
      <c r="A29" s="173" t="s">
        <v>659</v>
      </c>
      <c r="B29" s="123" t="s">
        <v>660</v>
      </c>
      <c r="C29" s="173" t="s">
        <v>529</v>
      </c>
      <c r="D29" s="173" t="s">
        <v>606</v>
      </c>
      <c r="E29" s="173" t="s">
        <v>661</v>
      </c>
      <c r="F29" s="174" t="s">
        <v>572</v>
      </c>
      <c r="G29" s="175">
        <v>40410</v>
      </c>
      <c r="H29" s="180">
        <v>40421</v>
      </c>
      <c r="I29" s="177">
        <v>40421</v>
      </c>
      <c r="J29" s="178" t="s">
        <v>662</v>
      </c>
      <c r="K29" s="159" t="s">
        <v>73</v>
      </c>
      <c r="L29" s="159" t="s">
        <v>28</v>
      </c>
      <c r="M29" s="179">
        <v>0</v>
      </c>
    </row>
    <row r="30" spans="1:16" ht="25.35" customHeight="1">
      <c r="A30" s="173" t="s">
        <v>663</v>
      </c>
      <c r="B30" s="114" t="s">
        <v>664</v>
      </c>
      <c r="C30" s="173" t="s">
        <v>529</v>
      </c>
      <c r="D30" s="173" t="s">
        <v>606</v>
      </c>
      <c r="E30" s="173" t="s">
        <v>665</v>
      </c>
      <c r="F30" s="174" t="s">
        <v>572</v>
      </c>
      <c r="G30" s="175">
        <v>40414</v>
      </c>
      <c r="H30" s="180" t="s">
        <v>666</v>
      </c>
      <c r="I30" s="177"/>
      <c r="J30" s="178" t="s">
        <v>577</v>
      </c>
      <c r="K30" s="159" t="s">
        <v>73</v>
      </c>
      <c r="L30" s="159" t="s">
        <v>74</v>
      </c>
      <c r="M30" s="179"/>
    </row>
    <row r="31" spans="1:16" ht="25.35" customHeight="1">
      <c r="A31" s="173" t="s">
        <v>667</v>
      </c>
      <c r="B31" s="114" t="s">
        <v>668</v>
      </c>
      <c r="C31" s="173" t="s">
        <v>529</v>
      </c>
      <c r="D31" s="173" t="s">
        <v>606</v>
      </c>
      <c r="E31" s="173" t="s">
        <v>669</v>
      </c>
      <c r="F31" s="174" t="s">
        <v>572</v>
      </c>
      <c r="G31" s="175">
        <v>40414</v>
      </c>
      <c r="H31" s="180">
        <v>40508</v>
      </c>
      <c r="I31" s="177">
        <v>40543</v>
      </c>
      <c r="J31" s="178" t="s">
        <v>552</v>
      </c>
      <c r="K31" s="159" t="s">
        <v>73</v>
      </c>
      <c r="L31" s="159" t="s">
        <v>74</v>
      </c>
      <c r="M31" s="179">
        <v>3</v>
      </c>
    </row>
    <row r="32" spans="1:16" ht="25.35" customHeight="1">
      <c r="A32" s="173" t="s">
        <v>670</v>
      </c>
      <c r="B32" s="114" t="s">
        <v>671</v>
      </c>
      <c r="C32" s="173" t="s">
        <v>529</v>
      </c>
      <c r="D32" s="173" t="s">
        <v>606</v>
      </c>
      <c r="E32" s="173" t="s">
        <v>672</v>
      </c>
      <c r="F32" s="174" t="s">
        <v>572</v>
      </c>
      <c r="G32" s="175">
        <v>40422</v>
      </c>
      <c r="H32" s="180">
        <v>40508</v>
      </c>
      <c r="I32" s="177">
        <v>40543</v>
      </c>
      <c r="J32" s="178" t="s">
        <v>582</v>
      </c>
      <c r="K32" s="159" t="s">
        <v>73</v>
      </c>
      <c r="L32" s="159" t="s">
        <v>74</v>
      </c>
      <c r="M32" s="179">
        <v>2</v>
      </c>
    </row>
    <row r="33" spans="1:13" ht="25.35" customHeight="1">
      <c r="A33" s="173" t="s">
        <v>673</v>
      </c>
      <c r="B33" s="114" t="s">
        <v>674</v>
      </c>
      <c r="C33" s="173" t="s">
        <v>529</v>
      </c>
      <c r="D33" s="173" t="s">
        <v>606</v>
      </c>
      <c r="E33" s="173" t="s">
        <v>675</v>
      </c>
      <c r="F33" s="174" t="s">
        <v>572</v>
      </c>
      <c r="G33" s="175">
        <v>40438</v>
      </c>
      <c r="H33" s="180">
        <v>40508</v>
      </c>
      <c r="I33" s="177">
        <v>40543</v>
      </c>
      <c r="J33" s="178" t="s">
        <v>582</v>
      </c>
      <c r="K33" s="159" t="s">
        <v>73</v>
      </c>
      <c r="L33" s="159" t="s">
        <v>74</v>
      </c>
      <c r="M33" s="179">
        <v>2</v>
      </c>
    </row>
    <row r="34" spans="1:13" ht="25.35" customHeight="1">
      <c r="A34" s="173" t="s">
        <v>676</v>
      </c>
      <c r="B34" s="123" t="s">
        <v>677</v>
      </c>
      <c r="C34" s="173" t="s">
        <v>529</v>
      </c>
      <c r="D34" s="173" t="s">
        <v>530</v>
      </c>
      <c r="E34" s="173" t="s">
        <v>678</v>
      </c>
      <c r="F34" s="174" t="s">
        <v>679</v>
      </c>
      <c r="G34" s="175">
        <v>41710</v>
      </c>
      <c r="H34" s="180" t="s">
        <v>546</v>
      </c>
      <c r="I34" s="177"/>
      <c r="J34" s="158" t="s">
        <v>680</v>
      </c>
      <c r="K34" s="159" t="s">
        <v>540</v>
      </c>
      <c r="L34" s="158" t="s">
        <v>0</v>
      </c>
      <c r="M34" s="179"/>
    </row>
    <row r="35" spans="1:13" ht="25.35" customHeight="1">
      <c r="A35" s="173" t="s">
        <v>681</v>
      </c>
      <c r="B35" s="114" t="s">
        <v>682</v>
      </c>
      <c r="C35" s="173" t="s">
        <v>529</v>
      </c>
      <c r="D35" s="173" t="s">
        <v>530</v>
      </c>
      <c r="E35" s="173" t="s">
        <v>683</v>
      </c>
      <c r="F35" s="174" t="s">
        <v>684</v>
      </c>
      <c r="G35" s="175">
        <v>40400</v>
      </c>
      <c r="H35" s="180">
        <v>40544</v>
      </c>
      <c r="I35" s="177">
        <v>40602</v>
      </c>
      <c r="J35" s="178" t="s">
        <v>685</v>
      </c>
      <c r="K35" s="159" t="s">
        <v>27</v>
      </c>
      <c r="L35" s="159" t="s">
        <v>28</v>
      </c>
      <c r="M35" s="179">
        <v>4</v>
      </c>
    </row>
    <row r="36" spans="1:13" ht="25.35" customHeight="1">
      <c r="A36" s="173" t="s">
        <v>686</v>
      </c>
      <c r="B36" s="114" t="s">
        <v>687</v>
      </c>
      <c r="C36" s="173" t="s">
        <v>529</v>
      </c>
      <c r="D36" s="173" t="s">
        <v>530</v>
      </c>
      <c r="E36" s="173" t="s">
        <v>688</v>
      </c>
      <c r="F36" s="174" t="s">
        <v>689</v>
      </c>
      <c r="G36" s="175">
        <v>41461</v>
      </c>
      <c r="H36" s="180">
        <v>41578</v>
      </c>
      <c r="I36" s="177">
        <v>41639</v>
      </c>
      <c r="J36" s="178" t="s">
        <v>690</v>
      </c>
      <c r="K36" s="159" t="s">
        <v>540</v>
      </c>
      <c r="L36" s="158" t="s">
        <v>0</v>
      </c>
      <c r="M36" s="179">
        <v>3</v>
      </c>
    </row>
    <row r="37" spans="1:13" ht="25.35" customHeight="1">
      <c r="A37" s="173" t="s">
        <v>691</v>
      </c>
      <c r="B37" s="114" t="s">
        <v>692</v>
      </c>
      <c r="C37" s="173" t="s">
        <v>529</v>
      </c>
      <c r="D37" s="173" t="s">
        <v>693</v>
      </c>
      <c r="E37" s="173" t="s">
        <v>694</v>
      </c>
      <c r="F37" s="174" t="s">
        <v>695</v>
      </c>
      <c r="G37" s="175">
        <v>41912</v>
      </c>
      <c r="H37" s="180">
        <v>42004</v>
      </c>
      <c r="I37" s="177">
        <v>42094</v>
      </c>
      <c r="J37" s="178" t="s">
        <v>696</v>
      </c>
      <c r="K37" s="159" t="s">
        <v>73</v>
      </c>
      <c r="L37" s="159" t="s">
        <v>74</v>
      </c>
      <c r="M37" s="179">
        <v>3</v>
      </c>
    </row>
    <row r="38" spans="1:13" ht="25.35" customHeight="1">
      <c r="A38" s="173" t="s">
        <v>697</v>
      </c>
      <c r="B38" s="114" t="s">
        <v>698</v>
      </c>
      <c r="C38" s="173" t="s">
        <v>529</v>
      </c>
      <c r="D38" s="173" t="s">
        <v>530</v>
      </c>
      <c r="E38" s="173" t="s">
        <v>699</v>
      </c>
      <c r="F38" s="174" t="s">
        <v>700</v>
      </c>
      <c r="G38" s="175">
        <v>40115</v>
      </c>
      <c r="H38" s="180">
        <v>40268</v>
      </c>
      <c r="I38" s="177">
        <v>40452</v>
      </c>
      <c r="J38" s="178" t="s">
        <v>701</v>
      </c>
      <c r="K38" s="159" t="s">
        <v>27</v>
      </c>
      <c r="L38" s="159" t="s">
        <v>28</v>
      </c>
      <c r="M38" s="179">
        <v>5</v>
      </c>
    </row>
    <row r="39" spans="1:13" ht="25.35" customHeight="1">
      <c r="A39" s="173" t="s">
        <v>1235</v>
      </c>
      <c r="B39" s="118" t="s">
        <v>1236</v>
      </c>
      <c r="C39" s="173" t="s">
        <v>529</v>
      </c>
      <c r="D39" s="173" t="s">
        <v>530</v>
      </c>
      <c r="E39" s="173" t="s">
        <v>1237</v>
      </c>
      <c r="F39" s="174" t="s">
        <v>1238</v>
      </c>
      <c r="G39" s="175">
        <v>40564</v>
      </c>
      <c r="H39" s="180">
        <v>40756</v>
      </c>
      <c r="I39" s="181">
        <v>40940</v>
      </c>
      <c r="J39" s="178" t="s">
        <v>1239</v>
      </c>
      <c r="K39" s="159" t="s">
        <v>27</v>
      </c>
      <c r="L39" s="159" t="s">
        <v>28</v>
      </c>
      <c r="M39" s="179">
        <v>6</v>
      </c>
    </row>
    <row r="40" spans="1:13" ht="25.35" customHeight="1">
      <c r="A40" s="173" t="s">
        <v>1240</v>
      </c>
      <c r="B40" s="118" t="s">
        <v>1241</v>
      </c>
      <c r="C40" s="173" t="s">
        <v>529</v>
      </c>
      <c r="D40" s="173" t="s">
        <v>530</v>
      </c>
      <c r="E40" s="173" t="s">
        <v>1242</v>
      </c>
      <c r="F40" s="174" t="s">
        <v>1243</v>
      </c>
      <c r="G40" s="175">
        <v>40572</v>
      </c>
      <c r="H40" s="180">
        <v>40755</v>
      </c>
      <c r="I40" s="177">
        <v>40908</v>
      </c>
      <c r="J40" s="178" t="s">
        <v>1244</v>
      </c>
      <c r="K40" s="159" t="s">
        <v>27</v>
      </c>
      <c r="L40" s="159" t="s">
        <v>28</v>
      </c>
      <c r="M40" s="179">
        <v>6</v>
      </c>
    </row>
    <row r="41" spans="1:13" ht="25.35" customHeight="1">
      <c r="A41" s="173" t="s">
        <v>1245</v>
      </c>
      <c r="B41" s="118" t="s">
        <v>1246</v>
      </c>
      <c r="C41" s="173" t="s">
        <v>529</v>
      </c>
      <c r="D41" s="173" t="s">
        <v>570</v>
      </c>
      <c r="E41" s="173" t="s">
        <v>1247</v>
      </c>
      <c r="F41" s="174" t="s">
        <v>1248</v>
      </c>
      <c r="G41" s="175">
        <v>41089</v>
      </c>
      <c r="H41" s="180">
        <v>41090</v>
      </c>
      <c r="I41" s="177">
        <v>41547</v>
      </c>
      <c r="J41" s="178" t="s">
        <v>1249</v>
      </c>
      <c r="K41" s="159" t="s">
        <v>27</v>
      </c>
      <c r="L41" s="159" t="s">
        <v>28</v>
      </c>
      <c r="M41" s="179">
        <v>0</v>
      </c>
    </row>
    <row r="42" spans="1:13" ht="25.35" customHeight="1">
      <c r="A42" s="173" t="s">
        <v>1250</v>
      </c>
      <c r="B42" s="118" t="s">
        <v>1251</v>
      </c>
      <c r="C42" s="173" t="s">
        <v>529</v>
      </c>
      <c r="D42" s="173" t="s">
        <v>570</v>
      </c>
      <c r="E42" s="173" t="s">
        <v>1252</v>
      </c>
      <c r="F42" s="174" t="s">
        <v>1253</v>
      </c>
      <c r="G42" s="175">
        <v>40444</v>
      </c>
      <c r="H42" s="180">
        <v>40633</v>
      </c>
      <c r="I42" s="177">
        <v>40816</v>
      </c>
      <c r="J42" s="178" t="s">
        <v>1249</v>
      </c>
      <c r="K42" s="159" t="s">
        <v>27</v>
      </c>
      <c r="L42" s="159" t="s">
        <v>28</v>
      </c>
      <c r="M42" s="179">
        <v>6</v>
      </c>
    </row>
    <row r="43" spans="1:13" ht="25.35" customHeight="1">
      <c r="A43" s="173" t="s">
        <v>1254</v>
      </c>
      <c r="B43" s="118" t="s">
        <v>1255</v>
      </c>
      <c r="C43" s="173" t="s">
        <v>529</v>
      </c>
      <c r="D43" s="173" t="s">
        <v>570</v>
      </c>
      <c r="E43" s="173" t="s">
        <v>1256</v>
      </c>
      <c r="F43" s="174" t="s">
        <v>1257</v>
      </c>
      <c r="G43" s="175">
        <v>40583</v>
      </c>
      <c r="H43" s="180">
        <v>40968</v>
      </c>
      <c r="I43" s="177">
        <v>41152</v>
      </c>
      <c r="J43" s="178" t="s">
        <v>1249</v>
      </c>
      <c r="K43" s="159" t="s">
        <v>27</v>
      </c>
      <c r="L43" s="159" t="s">
        <v>28</v>
      </c>
      <c r="M43" s="179">
        <v>0</v>
      </c>
    </row>
    <row r="44" spans="1:13" ht="25.35" customHeight="1">
      <c r="A44" s="173" t="s">
        <v>1258</v>
      </c>
      <c r="B44" s="118" t="s">
        <v>1259</v>
      </c>
      <c r="C44" s="173" t="s">
        <v>529</v>
      </c>
      <c r="D44" s="173" t="s">
        <v>570</v>
      </c>
      <c r="E44" s="173" t="s">
        <v>1260</v>
      </c>
      <c r="F44" s="174" t="s">
        <v>1261</v>
      </c>
      <c r="G44" s="175">
        <v>41089</v>
      </c>
      <c r="H44" s="180">
        <v>41090</v>
      </c>
      <c r="I44" s="177">
        <v>41547</v>
      </c>
      <c r="J44" s="178" t="s">
        <v>1249</v>
      </c>
      <c r="K44" s="159" t="s">
        <v>27</v>
      </c>
      <c r="L44" s="159" t="s">
        <v>28</v>
      </c>
      <c r="M44" s="179">
        <v>0</v>
      </c>
    </row>
    <row r="45" spans="1:13" ht="25.35" customHeight="1">
      <c r="A45" s="173" t="s">
        <v>1262</v>
      </c>
      <c r="B45" s="118" t="s">
        <v>1263</v>
      </c>
      <c r="C45" s="173" t="s">
        <v>529</v>
      </c>
      <c r="D45" s="173" t="s">
        <v>530</v>
      </c>
      <c r="E45" s="173" t="s">
        <v>1264</v>
      </c>
      <c r="F45" s="174" t="s">
        <v>1265</v>
      </c>
      <c r="G45" s="175">
        <v>41403</v>
      </c>
      <c r="H45" s="180">
        <v>44135</v>
      </c>
      <c r="I45" s="177" t="s">
        <v>1266</v>
      </c>
      <c r="J45" s="178" t="s">
        <v>1267</v>
      </c>
      <c r="K45" s="159" t="s">
        <v>540</v>
      </c>
      <c r="L45" s="158" t="s">
        <v>0</v>
      </c>
      <c r="M45" s="179">
        <v>5</v>
      </c>
    </row>
    <row r="46" spans="1:13" ht="25.35" customHeight="1">
      <c r="A46" s="173" t="s">
        <v>1268</v>
      </c>
      <c r="B46" s="118" t="s">
        <v>1269</v>
      </c>
      <c r="C46" s="173" t="s">
        <v>529</v>
      </c>
      <c r="D46" s="173" t="s">
        <v>570</v>
      </c>
      <c r="E46" s="173" t="s">
        <v>1270</v>
      </c>
      <c r="F46" s="174" t="s">
        <v>1271</v>
      </c>
      <c r="G46" s="175">
        <v>41089</v>
      </c>
      <c r="H46" s="180">
        <v>41090</v>
      </c>
      <c r="I46" s="177">
        <v>41547</v>
      </c>
      <c r="J46" s="178" t="s">
        <v>1249</v>
      </c>
      <c r="K46" s="159" t="s">
        <v>27</v>
      </c>
      <c r="L46" s="159" t="s">
        <v>28</v>
      </c>
      <c r="M46" s="179">
        <v>0</v>
      </c>
    </row>
    <row r="47" spans="1:13" ht="25.35" customHeight="1">
      <c r="A47" s="173" t="s">
        <v>1272</v>
      </c>
      <c r="B47" s="118" t="s">
        <v>1273</v>
      </c>
      <c r="C47" s="173" t="s">
        <v>529</v>
      </c>
      <c r="D47" s="173" t="s">
        <v>570</v>
      </c>
      <c r="E47" s="173" t="s">
        <v>1274</v>
      </c>
      <c r="F47" s="174" t="s">
        <v>1275</v>
      </c>
      <c r="G47" s="175">
        <v>41786</v>
      </c>
      <c r="H47" s="180">
        <v>41943</v>
      </c>
      <c r="I47" s="177">
        <v>42124</v>
      </c>
      <c r="J47" s="178" t="s">
        <v>1276</v>
      </c>
      <c r="K47" s="159" t="s">
        <v>75</v>
      </c>
      <c r="L47" s="159" t="s">
        <v>103</v>
      </c>
      <c r="M47" s="179">
        <v>5</v>
      </c>
    </row>
    <row r="48" spans="1:13" ht="25.35" customHeight="1">
      <c r="A48" s="173" t="s">
        <v>1277</v>
      </c>
      <c r="B48" s="118" t="s">
        <v>1278</v>
      </c>
      <c r="C48" s="173" t="s">
        <v>529</v>
      </c>
      <c r="D48" s="173" t="s">
        <v>570</v>
      </c>
      <c r="E48" s="173" t="s">
        <v>1279</v>
      </c>
      <c r="F48" s="174" t="s">
        <v>1280</v>
      </c>
      <c r="G48" s="175">
        <v>40897</v>
      </c>
      <c r="H48" s="180">
        <v>41090</v>
      </c>
      <c r="I48" s="177">
        <v>41138</v>
      </c>
      <c r="J48" s="178" t="s">
        <v>1239</v>
      </c>
      <c r="K48" s="159" t="s">
        <v>27</v>
      </c>
      <c r="L48" s="159" t="s">
        <v>28</v>
      </c>
      <c r="M48" s="179">
        <v>6</v>
      </c>
    </row>
    <row r="49" spans="1:19" ht="25.35" customHeight="1">
      <c r="A49" s="173" t="s">
        <v>1281</v>
      </c>
      <c r="B49" s="118" t="s">
        <v>1282</v>
      </c>
      <c r="C49" s="173" t="s">
        <v>529</v>
      </c>
      <c r="D49" s="173" t="s">
        <v>606</v>
      </c>
      <c r="E49" s="173" t="s">
        <v>1283</v>
      </c>
      <c r="F49" s="174" t="s">
        <v>1284</v>
      </c>
      <c r="G49" s="175">
        <v>41857</v>
      </c>
      <c r="H49" s="180">
        <v>42004</v>
      </c>
      <c r="I49" s="177" t="s">
        <v>1285</v>
      </c>
      <c r="J49" s="178" t="s">
        <v>1286</v>
      </c>
      <c r="K49" s="159" t="s">
        <v>36</v>
      </c>
      <c r="L49" s="159" t="s">
        <v>28</v>
      </c>
      <c r="M49" s="179">
        <v>4</v>
      </c>
    </row>
    <row r="50" spans="1:19" ht="25.35" customHeight="1">
      <c r="A50" s="173" t="s">
        <v>1287</v>
      </c>
      <c r="B50" s="118" t="s">
        <v>1288</v>
      </c>
      <c r="C50" s="173" t="s">
        <v>529</v>
      </c>
      <c r="D50" s="173" t="s">
        <v>570</v>
      </c>
      <c r="E50" s="173" t="s">
        <v>1289</v>
      </c>
      <c r="F50" s="174" t="s">
        <v>1290</v>
      </c>
      <c r="G50" s="175">
        <v>41354</v>
      </c>
      <c r="H50" s="180">
        <v>41455</v>
      </c>
      <c r="I50" s="177">
        <v>41639</v>
      </c>
      <c r="J50" s="178" t="s">
        <v>1249</v>
      </c>
      <c r="K50" s="159" t="s">
        <v>27</v>
      </c>
      <c r="L50" s="159" t="s">
        <v>28</v>
      </c>
      <c r="M50" s="179">
        <v>3</v>
      </c>
    </row>
    <row r="51" spans="1:19" ht="25.35" customHeight="1">
      <c r="A51" s="173" t="s">
        <v>1338</v>
      </c>
      <c r="B51" s="118" t="s">
        <v>1339</v>
      </c>
      <c r="C51" s="173" t="s">
        <v>529</v>
      </c>
      <c r="D51" s="173" t="s">
        <v>1340</v>
      </c>
      <c r="E51" s="173" t="s">
        <v>1341</v>
      </c>
      <c r="F51" s="174" t="s">
        <v>1342</v>
      </c>
      <c r="G51" s="175">
        <v>40572</v>
      </c>
      <c r="H51" s="180" t="s">
        <v>1343</v>
      </c>
      <c r="I51" s="177"/>
      <c r="J51" s="178" t="s">
        <v>1344</v>
      </c>
      <c r="K51" s="159"/>
      <c r="L51" s="159"/>
      <c r="M51" s="179"/>
    </row>
    <row r="52" spans="1:19" ht="25.35" customHeight="1">
      <c r="A52" s="173" t="s">
        <v>1345</v>
      </c>
      <c r="B52" s="118" t="s">
        <v>1346</v>
      </c>
      <c r="C52" s="173" t="s">
        <v>529</v>
      </c>
      <c r="D52" s="173" t="s">
        <v>1340</v>
      </c>
      <c r="E52" s="173" t="s">
        <v>1347</v>
      </c>
      <c r="F52" s="174" t="s">
        <v>1348</v>
      </c>
      <c r="G52" s="175">
        <v>41682</v>
      </c>
      <c r="H52" s="180">
        <v>41854</v>
      </c>
      <c r="I52" s="177">
        <v>42038</v>
      </c>
      <c r="J52" s="174" t="s">
        <v>1349</v>
      </c>
      <c r="K52" s="159" t="s">
        <v>27</v>
      </c>
      <c r="L52" s="159" t="s">
        <v>28</v>
      </c>
      <c r="M52" s="179">
        <v>5</v>
      </c>
    </row>
    <row r="53" spans="1:19" ht="25.35" customHeight="1">
      <c r="A53" s="173" t="s">
        <v>1350</v>
      </c>
      <c r="B53" s="118" t="s">
        <v>1351</v>
      </c>
      <c r="C53" s="173" t="s">
        <v>529</v>
      </c>
      <c r="D53" s="173" t="s">
        <v>1340</v>
      </c>
      <c r="E53" s="173" t="s">
        <v>1352</v>
      </c>
      <c r="F53" s="174" t="s">
        <v>1353</v>
      </c>
      <c r="G53" s="175">
        <v>42770</v>
      </c>
      <c r="H53" s="180">
        <v>42967</v>
      </c>
      <c r="I53" s="177">
        <v>43151</v>
      </c>
      <c r="J53" s="174" t="s">
        <v>1354</v>
      </c>
      <c r="K53" s="159" t="s">
        <v>36</v>
      </c>
      <c r="L53" s="159" t="s">
        <v>28</v>
      </c>
      <c r="M53" s="179">
        <v>6</v>
      </c>
    </row>
    <row r="54" spans="1:19" ht="25.35" customHeight="1">
      <c r="A54" s="173" t="s">
        <v>1355</v>
      </c>
      <c r="B54" s="118" t="s">
        <v>1356</v>
      </c>
      <c r="C54" s="173" t="s">
        <v>529</v>
      </c>
      <c r="D54" s="173" t="s">
        <v>1340</v>
      </c>
      <c r="E54" s="173" t="s">
        <v>1357</v>
      </c>
      <c r="F54" s="174" t="s">
        <v>1358</v>
      </c>
      <c r="G54" s="175">
        <v>40572</v>
      </c>
      <c r="H54" s="180" t="s">
        <v>1359</v>
      </c>
      <c r="I54" s="177"/>
      <c r="J54" s="174" t="s">
        <v>1360</v>
      </c>
      <c r="K54" s="159"/>
      <c r="L54" s="159"/>
      <c r="M54" s="179"/>
    </row>
    <row r="55" spans="1:19" ht="25.35" customHeight="1">
      <c r="A55" s="173" t="s">
        <v>1361</v>
      </c>
      <c r="B55" s="118" t="s">
        <v>1362</v>
      </c>
      <c r="C55" s="173" t="s">
        <v>529</v>
      </c>
      <c r="D55" s="173" t="s">
        <v>1340</v>
      </c>
      <c r="E55" s="173" t="s">
        <v>1363</v>
      </c>
      <c r="F55" s="174" t="s">
        <v>1364</v>
      </c>
      <c r="G55" s="175">
        <v>41370</v>
      </c>
      <c r="H55" s="180">
        <v>41550</v>
      </c>
      <c r="I55" s="177">
        <v>41729</v>
      </c>
      <c r="J55" s="174" t="s">
        <v>1349</v>
      </c>
      <c r="K55" s="159" t="s">
        <v>27</v>
      </c>
      <c r="L55" s="159" t="s">
        <v>28</v>
      </c>
      <c r="M55" s="179">
        <v>5</v>
      </c>
    </row>
    <row r="56" spans="1:19" ht="25.35" customHeight="1">
      <c r="A56" s="173" t="s">
        <v>1365</v>
      </c>
      <c r="B56" s="118" t="s">
        <v>1366</v>
      </c>
      <c r="C56" s="173" t="s">
        <v>529</v>
      </c>
      <c r="D56" s="173" t="s">
        <v>1340</v>
      </c>
      <c r="E56" s="173" t="s">
        <v>1367</v>
      </c>
      <c r="F56" s="174" t="s">
        <v>1368</v>
      </c>
      <c r="G56" s="175">
        <v>41890</v>
      </c>
      <c r="H56" s="180" t="s">
        <v>666</v>
      </c>
      <c r="I56" s="181"/>
      <c r="J56" s="174" t="s">
        <v>1349</v>
      </c>
      <c r="K56" s="159" t="s">
        <v>27</v>
      </c>
      <c r="L56" s="159" t="s">
        <v>28</v>
      </c>
      <c r="M56" s="179"/>
    </row>
    <row r="57" spans="1:19" ht="25.35" customHeight="1">
      <c r="A57" s="173" t="s">
        <v>1369</v>
      </c>
      <c r="B57" s="118" t="s">
        <v>1370</v>
      </c>
      <c r="C57" s="173" t="s">
        <v>529</v>
      </c>
      <c r="D57" s="173" t="s">
        <v>1340</v>
      </c>
      <c r="E57" s="173" t="s">
        <v>1371</v>
      </c>
      <c r="F57" s="174" t="s">
        <v>1372</v>
      </c>
      <c r="G57" s="175">
        <v>42770</v>
      </c>
      <c r="H57" s="180">
        <v>42947</v>
      </c>
      <c r="I57" s="177">
        <v>43131</v>
      </c>
      <c r="J57" s="174" t="s">
        <v>1349</v>
      </c>
      <c r="K57" s="159" t="s">
        <v>27</v>
      </c>
      <c r="L57" s="159" t="s">
        <v>28</v>
      </c>
      <c r="M57" s="179">
        <v>5</v>
      </c>
      <c r="N57" s="167"/>
      <c r="O57" s="167"/>
      <c r="P57" s="167"/>
      <c r="Q57" s="167"/>
      <c r="R57" s="167"/>
      <c r="S57" s="167"/>
    </row>
    <row r="58" spans="1:19" ht="25.35" customHeight="1">
      <c r="A58" s="173" t="s">
        <v>1373</v>
      </c>
      <c r="B58" s="118" t="s">
        <v>1374</v>
      </c>
      <c r="C58" s="173" t="s">
        <v>529</v>
      </c>
      <c r="D58" s="173" t="s">
        <v>1340</v>
      </c>
      <c r="E58" s="173" t="s">
        <v>1375</v>
      </c>
      <c r="F58" s="174" t="s">
        <v>1376</v>
      </c>
      <c r="G58" s="175">
        <v>41370</v>
      </c>
      <c r="H58" s="180">
        <v>41550</v>
      </c>
      <c r="I58" s="181">
        <v>41729</v>
      </c>
      <c r="J58" s="174" t="s">
        <v>1349</v>
      </c>
      <c r="K58" s="159" t="s">
        <v>27</v>
      </c>
      <c r="L58" s="159" t="s">
        <v>28</v>
      </c>
      <c r="M58" s="179">
        <v>5</v>
      </c>
    </row>
    <row r="59" spans="1:19" ht="25.35" customHeight="1">
      <c r="A59" s="173" t="s">
        <v>1377</v>
      </c>
      <c r="B59" s="118" t="s">
        <v>1378</v>
      </c>
      <c r="C59" s="173" t="s">
        <v>529</v>
      </c>
      <c r="D59" s="173" t="s">
        <v>1340</v>
      </c>
      <c r="E59" s="173" t="s">
        <v>1379</v>
      </c>
      <c r="F59" s="174" t="s">
        <v>1380</v>
      </c>
      <c r="G59" s="175">
        <v>41890</v>
      </c>
      <c r="H59" s="180" t="s">
        <v>1381</v>
      </c>
      <c r="I59" s="177"/>
      <c r="J59" s="174" t="s">
        <v>1349</v>
      </c>
      <c r="K59" s="159" t="s">
        <v>27</v>
      </c>
      <c r="L59" s="159" t="s">
        <v>28</v>
      </c>
      <c r="M59" s="179"/>
    </row>
    <row r="60" spans="1:19" ht="25.35" customHeight="1">
      <c r="A60" s="182" t="s">
        <v>1382</v>
      </c>
      <c r="B60" s="118" t="s">
        <v>1383</v>
      </c>
      <c r="C60" s="182" t="s">
        <v>529</v>
      </c>
      <c r="D60" s="182" t="s">
        <v>1340</v>
      </c>
      <c r="E60" s="182" t="s">
        <v>1384</v>
      </c>
      <c r="F60" s="183" t="s">
        <v>1385</v>
      </c>
      <c r="G60" s="175">
        <v>42770</v>
      </c>
      <c r="H60" s="180">
        <v>42947</v>
      </c>
      <c r="I60" s="177">
        <v>43131</v>
      </c>
      <c r="J60" s="174" t="s">
        <v>1349</v>
      </c>
      <c r="K60" s="159" t="s">
        <v>27</v>
      </c>
      <c r="L60" s="159" t="s">
        <v>28</v>
      </c>
      <c r="M60" s="179">
        <v>5</v>
      </c>
    </row>
    <row r="61" spans="1:19" ht="25.35" customHeight="1">
      <c r="A61" s="173" t="s">
        <v>1386</v>
      </c>
      <c r="B61" s="118" t="s">
        <v>1387</v>
      </c>
      <c r="C61" s="173" t="s">
        <v>529</v>
      </c>
      <c r="D61" s="173" t="s">
        <v>1340</v>
      </c>
      <c r="E61" s="173" t="s">
        <v>1388</v>
      </c>
      <c r="F61" s="174" t="s">
        <v>1389</v>
      </c>
      <c r="G61" s="175">
        <v>41391</v>
      </c>
      <c r="H61" s="180">
        <v>41570</v>
      </c>
      <c r="I61" s="177">
        <v>41752</v>
      </c>
      <c r="J61" s="174" t="s">
        <v>1349</v>
      </c>
      <c r="K61" s="159" t="s">
        <v>27</v>
      </c>
      <c r="L61" s="159" t="s">
        <v>28</v>
      </c>
      <c r="M61" s="179">
        <v>5</v>
      </c>
    </row>
    <row r="62" spans="1:19" ht="25.35" customHeight="1">
      <c r="A62" s="173" t="s">
        <v>1390</v>
      </c>
      <c r="B62" s="118" t="s">
        <v>1391</v>
      </c>
      <c r="C62" s="173" t="s">
        <v>529</v>
      </c>
      <c r="D62" s="173" t="s">
        <v>1340</v>
      </c>
      <c r="E62" s="173" t="s">
        <v>1392</v>
      </c>
      <c r="F62" s="174" t="s">
        <v>1393</v>
      </c>
      <c r="G62" s="175">
        <v>42767</v>
      </c>
      <c r="H62" s="180">
        <v>42940</v>
      </c>
      <c r="I62" s="177">
        <v>43124</v>
      </c>
      <c r="J62" s="174" t="s">
        <v>1349</v>
      </c>
      <c r="K62" s="159" t="s">
        <v>27</v>
      </c>
      <c r="L62" s="159" t="s">
        <v>28</v>
      </c>
      <c r="M62" s="179">
        <v>5</v>
      </c>
    </row>
    <row r="63" spans="1:19" ht="25.35" customHeight="1">
      <c r="A63" s="173" t="s">
        <v>1394</v>
      </c>
      <c r="B63" s="118" t="s">
        <v>1395</v>
      </c>
      <c r="C63" s="173" t="s">
        <v>529</v>
      </c>
      <c r="D63" s="173" t="s">
        <v>1340</v>
      </c>
      <c r="E63" s="173" t="s">
        <v>1396</v>
      </c>
      <c r="F63" s="174" t="s">
        <v>1397</v>
      </c>
      <c r="G63" s="175">
        <v>41398</v>
      </c>
      <c r="H63" s="180">
        <v>41577</v>
      </c>
      <c r="I63" s="177">
        <v>41759</v>
      </c>
      <c r="J63" s="174" t="s">
        <v>1349</v>
      </c>
      <c r="K63" s="159" t="s">
        <v>27</v>
      </c>
      <c r="L63" s="159" t="s">
        <v>28</v>
      </c>
      <c r="M63" s="179">
        <v>5</v>
      </c>
    </row>
    <row r="64" spans="1:19" ht="25.35" customHeight="1">
      <c r="A64" s="173" t="s">
        <v>1398</v>
      </c>
      <c r="B64" s="118" t="s">
        <v>1399</v>
      </c>
      <c r="C64" s="173" t="s">
        <v>529</v>
      </c>
      <c r="D64" s="173" t="s">
        <v>1340</v>
      </c>
      <c r="E64" s="173" t="s">
        <v>1400</v>
      </c>
      <c r="F64" s="174" t="s">
        <v>1401</v>
      </c>
      <c r="G64" s="175">
        <v>42767</v>
      </c>
      <c r="H64" s="180">
        <v>42940</v>
      </c>
      <c r="I64" s="177">
        <v>43124</v>
      </c>
      <c r="J64" s="174" t="s">
        <v>1349</v>
      </c>
      <c r="K64" s="159" t="s">
        <v>27</v>
      </c>
      <c r="L64" s="159" t="s">
        <v>28</v>
      </c>
      <c r="M64" s="179">
        <v>5</v>
      </c>
    </row>
    <row r="65" spans="1:13" ht="25.35" customHeight="1">
      <c r="A65" s="173" t="s">
        <v>1402</v>
      </c>
      <c r="B65" s="118" t="s">
        <v>1403</v>
      </c>
      <c r="C65" s="173" t="s">
        <v>529</v>
      </c>
      <c r="D65" s="173" t="s">
        <v>1340</v>
      </c>
      <c r="E65" s="173" t="s">
        <v>1404</v>
      </c>
      <c r="F65" s="174" t="s">
        <v>1405</v>
      </c>
      <c r="G65" s="175">
        <v>41429</v>
      </c>
      <c r="H65" s="180">
        <v>41605</v>
      </c>
      <c r="I65" s="177">
        <v>41786</v>
      </c>
      <c r="J65" s="174" t="s">
        <v>1349</v>
      </c>
      <c r="K65" s="159" t="s">
        <v>27</v>
      </c>
      <c r="L65" s="159" t="s">
        <v>28</v>
      </c>
      <c r="M65" s="179">
        <v>5</v>
      </c>
    </row>
    <row r="66" spans="1:13" ht="25.35" customHeight="1">
      <c r="A66" s="173" t="s">
        <v>1406</v>
      </c>
      <c r="B66" s="118" t="s">
        <v>1407</v>
      </c>
      <c r="C66" s="173" t="s">
        <v>529</v>
      </c>
      <c r="D66" s="173" t="s">
        <v>1340</v>
      </c>
      <c r="E66" s="173" t="s">
        <v>1408</v>
      </c>
      <c r="F66" s="174" t="s">
        <v>1409</v>
      </c>
      <c r="G66" s="175">
        <v>42767</v>
      </c>
      <c r="H66" s="180">
        <v>42940</v>
      </c>
      <c r="I66" s="177">
        <v>43124</v>
      </c>
      <c r="J66" s="174" t="s">
        <v>1349</v>
      </c>
      <c r="K66" s="159" t="s">
        <v>27</v>
      </c>
      <c r="L66" s="159" t="s">
        <v>28</v>
      </c>
      <c r="M66" s="179">
        <v>5</v>
      </c>
    </row>
    <row r="67" spans="1:13" ht="25.35" customHeight="1">
      <c r="A67" s="173" t="s">
        <v>1410</v>
      </c>
      <c r="B67" s="118" t="s">
        <v>1411</v>
      </c>
      <c r="C67" s="173" t="s">
        <v>529</v>
      </c>
      <c r="D67" s="173" t="s">
        <v>1340</v>
      </c>
      <c r="E67" s="173" t="s">
        <v>1412</v>
      </c>
      <c r="F67" s="174" t="s">
        <v>1413</v>
      </c>
      <c r="G67" s="175">
        <v>42767</v>
      </c>
      <c r="H67" s="180">
        <v>42940</v>
      </c>
      <c r="I67" s="177">
        <v>43124</v>
      </c>
      <c r="J67" s="174" t="s">
        <v>1349</v>
      </c>
      <c r="K67" s="159" t="s">
        <v>27</v>
      </c>
      <c r="L67" s="159" t="s">
        <v>28</v>
      </c>
      <c r="M67" s="179">
        <v>5</v>
      </c>
    </row>
    <row r="68" spans="1:13" ht="25.35" customHeight="1">
      <c r="A68" s="173" t="s">
        <v>1414</v>
      </c>
      <c r="B68" s="118" t="s">
        <v>1415</v>
      </c>
      <c r="C68" s="173" t="s">
        <v>529</v>
      </c>
      <c r="D68" s="173" t="s">
        <v>1340</v>
      </c>
      <c r="E68" s="173" t="s">
        <v>1416</v>
      </c>
      <c r="F68" s="174" t="s">
        <v>1417</v>
      </c>
      <c r="G68" s="175">
        <v>41629</v>
      </c>
      <c r="H68" s="176">
        <v>41714</v>
      </c>
      <c r="I68" s="181"/>
      <c r="J68" s="174" t="s">
        <v>1349</v>
      </c>
      <c r="K68" s="159" t="s">
        <v>27</v>
      </c>
      <c r="L68" s="159" t="s">
        <v>28</v>
      </c>
      <c r="M68" s="179">
        <v>2</v>
      </c>
    </row>
    <row r="69" spans="1:13" ht="25.35" customHeight="1">
      <c r="A69" s="173" t="s">
        <v>2116</v>
      </c>
      <c r="B69" s="118" t="s">
        <v>2117</v>
      </c>
      <c r="C69" s="173" t="s">
        <v>529</v>
      </c>
      <c r="D69" s="173" t="s">
        <v>606</v>
      </c>
      <c r="E69" s="173" t="s">
        <v>2118</v>
      </c>
      <c r="F69" s="174" t="s">
        <v>2119</v>
      </c>
      <c r="G69" s="175">
        <v>40227</v>
      </c>
      <c r="H69" s="168">
        <v>40405</v>
      </c>
      <c r="I69" s="181">
        <v>40589</v>
      </c>
      <c r="J69" s="158" t="s">
        <v>2120</v>
      </c>
      <c r="K69" s="159" t="s">
        <v>578</v>
      </c>
      <c r="L69" s="159" t="s">
        <v>28</v>
      </c>
      <c r="M69" s="179">
        <v>5</v>
      </c>
    </row>
    <row r="70" spans="1:13" ht="25.35" customHeight="1">
      <c r="A70" s="173" t="s">
        <v>2121</v>
      </c>
      <c r="B70" s="118" t="s">
        <v>2122</v>
      </c>
      <c r="C70" s="173" t="s">
        <v>529</v>
      </c>
      <c r="D70" s="173" t="s">
        <v>2123</v>
      </c>
      <c r="E70" s="173" t="s">
        <v>2124</v>
      </c>
      <c r="F70" s="174" t="s">
        <v>2125</v>
      </c>
      <c r="G70" s="175">
        <v>42768</v>
      </c>
      <c r="H70" s="168">
        <v>42961</v>
      </c>
      <c r="I70" s="181">
        <v>43007</v>
      </c>
      <c r="J70" s="158" t="s">
        <v>2126</v>
      </c>
      <c r="K70" s="159" t="s">
        <v>73</v>
      </c>
      <c r="L70" s="159" t="s">
        <v>74</v>
      </c>
      <c r="M70" s="179">
        <v>6</v>
      </c>
    </row>
    <row r="71" spans="1:13" ht="25.35" customHeight="1">
      <c r="A71" s="173" t="s">
        <v>2127</v>
      </c>
      <c r="B71" s="118" t="s">
        <v>2128</v>
      </c>
      <c r="C71" s="173" t="s">
        <v>529</v>
      </c>
      <c r="D71" s="173" t="s">
        <v>606</v>
      </c>
      <c r="E71" s="173" t="s">
        <v>2129</v>
      </c>
      <c r="F71" s="174" t="s">
        <v>2130</v>
      </c>
      <c r="G71" s="175">
        <v>42606</v>
      </c>
      <c r="H71" s="168" t="s">
        <v>1359</v>
      </c>
      <c r="I71" s="181" t="s">
        <v>1359</v>
      </c>
      <c r="J71" s="158" t="s">
        <v>2131</v>
      </c>
      <c r="K71" s="159"/>
      <c r="L71" s="159"/>
      <c r="M71" s="179"/>
    </row>
    <row r="72" spans="1:13" ht="25.35" customHeight="1">
      <c r="A72" s="173" t="s">
        <v>2132</v>
      </c>
      <c r="B72" s="118" t="s">
        <v>2133</v>
      </c>
      <c r="C72" s="173" t="s">
        <v>529</v>
      </c>
      <c r="D72" s="173" t="s">
        <v>2123</v>
      </c>
      <c r="E72" s="173" t="s">
        <v>2134</v>
      </c>
      <c r="F72" s="174" t="s">
        <v>2135</v>
      </c>
      <c r="G72" s="175">
        <v>42768</v>
      </c>
      <c r="H72" s="168">
        <v>42930</v>
      </c>
      <c r="I72" s="181">
        <v>43007</v>
      </c>
      <c r="J72" s="158" t="s">
        <v>2126</v>
      </c>
      <c r="K72" s="159" t="s">
        <v>73</v>
      </c>
      <c r="L72" s="159" t="s">
        <v>74</v>
      </c>
      <c r="M72" s="179">
        <v>5</v>
      </c>
    </row>
    <row r="73" spans="1:13" ht="25.35" customHeight="1">
      <c r="A73" s="173" t="s">
        <v>2136</v>
      </c>
      <c r="B73" s="118" t="s">
        <v>2137</v>
      </c>
      <c r="C73" s="173" t="s">
        <v>529</v>
      </c>
      <c r="D73" s="173" t="s">
        <v>2123</v>
      </c>
      <c r="E73" s="173" t="s">
        <v>2138</v>
      </c>
      <c r="F73" s="174" t="s">
        <v>2139</v>
      </c>
      <c r="G73" s="175">
        <v>41856</v>
      </c>
      <c r="H73" s="168" t="s">
        <v>1359</v>
      </c>
      <c r="I73" s="177" t="s">
        <v>1359</v>
      </c>
      <c r="J73" s="178" t="s">
        <v>2140</v>
      </c>
      <c r="K73" s="159" t="s">
        <v>73</v>
      </c>
      <c r="L73" s="159" t="s">
        <v>74</v>
      </c>
      <c r="M73" s="179"/>
    </row>
    <row r="74" spans="1:13" ht="25.35" customHeight="1">
      <c r="A74" s="173" t="s">
        <v>2141</v>
      </c>
      <c r="B74" s="118" t="s">
        <v>2142</v>
      </c>
      <c r="C74" s="173" t="s">
        <v>529</v>
      </c>
      <c r="D74" s="173" t="s">
        <v>606</v>
      </c>
      <c r="E74" s="173" t="s">
        <v>2143</v>
      </c>
      <c r="F74" s="174" t="s">
        <v>2144</v>
      </c>
      <c r="G74" s="175">
        <v>40133</v>
      </c>
      <c r="H74" s="168">
        <v>40329</v>
      </c>
      <c r="I74" s="181">
        <v>40390</v>
      </c>
      <c r="J74" s="158" t="s">
        <v>2145</v>
      </c>
      <c r="K74" s="159" t="s">
        <v>73</v>
      </c>
      <c r="L74" s="159" t="s">
        <v>74</v>
      </c>
      <c r="M74" s="179">
        <v>6</v>
      </c>
    </row>
    <row r="75" spans="1:13" ht="25.35" customHeight="1">
      <c r="A75" s="173" t="s">
        <v>2146</v>
      </c>
      <c r="B75" s="118" t="s">
        <v>2147</v>
      </c>
      <c r="C75" s="173" t="s">
        <v>529</v>
      </c>
      <c r="D75" s="173" t="s">
        <v>606</v>
      </c>
      <c r="E75" s="173" t="s">
        <v>2148</v>
      </c>
      <c r="F75" s="174" t="s">
        <v>2149</v>
      </c>
      <c r="G75" s="175">
        <v>41906</v>
      </c>
      <c r="H75" s="168">
        <v>42078</v>
      </c>
      <c r="I75" s="181">
        <v>42262</v>
      </c>
      <c r="J75" s="158" t="s">
        <v>2150</v>
      </c>
      <c r="K75" s="159" t="s">
        <v>73</v>
      </c>
      <c r="L75" s="159" t="s">
        <v>74</v>
      </c>
      <c r="M75" s="179">
        <v>5</v>
      </c>
    </row>
    <row r="76" spans="1:13" ht="25.35" customHeight="1">
      <c r="A76" s="173" t="s">
        <v>2146</v>
      </c>
      <c r="B76" s="118" t="s">
        <v>2151</v>
      </c>
      <c r="C76" s="173" t="s">
        <v>529</v>
      </c>
      <c r="D76" s="173" t="s">
        <v>606</v>
      </c>
      <c r="E76" s="173" t="s">
        <v>2148</v>
      </c>
      <c r="F76" s="174" t="s">
        <v>2152</v>
      </c>
      <c r="G76" s="175">
        <v>41935</v>
      </c>
      <c r="H76" s="168">
        <v>42078</v>
      </c>
      <c r="I76" s="181">
        <v>42262</v>
      </c>
      <c r="J76" s="158" t="s">
        <v>2150</v>
      </c>
      <c r="K76" s="159" t="s">
        <v>73</v>
      </c>
      <c r="L76" s="159" t="s">
        <v>74</v>
      </c>
      <c r="M76" s="179">
        <v>4</v>
      </c>
    </row>
    <row r="77" spans="1:13" ht="25.35" customHeight="1">
      <c r="A77" s="173" t="s">
        <v>2153</v>
      </c>
      <c r="B77" s="118" t="s">
        <v>2154</v>
      </c>
      <c r="C77" s="173" t="s">
        <v>529</v>
      </c>
      <c r="D77" s="173" t="s">
        <v>606</v>
      </c>
      <c r="E77" s="173" t="s">
        <v>2155</v>
      </c>
      <c r="F77" s="174" t="s">
        <v>2156</v>
      </c>
      <c r="G77" s="175">
        <v>40136</v>
      </c>
      <c r="H77" s="168">
        <v>39722</v>
      </c>
      <c r="I77" s="177">
        <v>39745</v>
      </c>
      <c r="J77" s="158" t="s">
        <v>2157</v>
      </c>
      <c r="K77" s="159" t="s">
        <v>27</v>
      </c>
      <c r="L77" s="159" t="s">
        <v>28</v>
      </c>
      <c r="M77" s="179"/>
    </row>
    <row r="78" spans="1:13" ht="25.35" customHeight="1">
      <c r="A78" s="173" t="s">
        <v>2158</v>
      </c>
      <c r="B78" s="118" t="s">
        <v>2159</v>
      </c>
      <c r="C78" s="173" t="s">
        <v>529</v>
      </c>
      <c r="D78" s="173" t="s">
        <v>606</v>
      </c>
      <c r="E78" s="173" t="s">
        <v>2160</v>
      </c>
      <c r="F78" s="174" t="s">
        <v>2161</v>
      </c>
      <c r="G78" s="175">
        <v>40441</v>
      </c>
      <c r="H78" s="168">
        <v>40614</v>
      </c>
      <c r="I78" s="177">
        <v>40798</v>
      </c>
      <c r="J78" s="158" t="s">
        <v>2162</v>
      </c>
      <c r="K78" s="159"/>
      <c r="L78" s="159"/>
      <c r="M78" s="179">
        <v>5</v>
      </c>
    </row>
    <row r="79" spans="1:13" ht="25.35" customHeight="1">
      <c r="A79" s="173" t="s">
        <v>2163</v>
      </c>
      <c r="B79" s="118" t="s">
        <v>2164</v>
      </c>
      <c r="C79" s="173" t="s">
        <v>529</v>
      </c>
      <c r="D79" s="173" t="s">
        <v>606</v>
      </c>
      <c r="E79" s="173" t="s">
        <v>2165</v>
      </c>
      <c r="F79" s="174" t="s">
        <v>2166</v>
      </c>
      <c r="G79" s="175">
        <v>41992</v>
      </c>
      <c r="H79" s="168"/>
      <c r="I79" s="181">
        <v>41974</v>
      </c>
      <c r="J79" s="178" t="s">
        <v>2167</v>
      </c>
      <c r="K79" s="159" t="s">
        <v>73</v>
      </c>
      <c r="L79" s="159" t="s">
        <v>74</v>
      </c>
      <c r="M79" s="179"/>
    </row>
    <row r="80" spans="1:13" ht="25.35" customHeight="1">
      <c r="A80" s="173" t="s">
        <v>2168</v>
      </c>
      <c r="B80" s="118" t="s">
        <v>2169</v>
      </c>
      <c r="C80" s="173" t="s">
        <v>529</v>
      </c>
      <c r="D80" s="173" t="s">
        <v>606</v>
      </c>
      <c r="E80" s="173" t="s">
        <v>2170</v>
      </c>
      <c r="F80" s="174" t="s">
        <v>2171</v>
      </c>
      <c r="G80" s="175">
        <v>42009</v>
      </c>
      <c r="H80" s="168">
        <v>42175</v>
      </c>
      <c r="I80" s="181">
        <v>42358</v>
      </c>
      <c r="J80" s="158" t="s">
        <v>2172</v>
      </c>
      <c r="K80" s="159" t="s">
        <v>73</v>
      </c>
      <c r="L80" s="159" t="s">
        <v>74</v>
      </c>
      <c r="M80" s="179">
        <v>5</v>
      </c>
    </row>
    <row r="81" spans="1:13" ht="25.35" customHeight="1">
      <c r="A81" s="173" t="s">
        <v>2173</v>
      </c>
      <c r="B81" s="118" t="s">
        <v>2174</v>
      </c>
      <c r="C81" s="173" t="s">
        <v>529</v>
      </c>
      <c r="D81" s="173" t="s">
        <v>606</v>
      </c>
      <c r="E81" s="173" t="s">
        <v>2170</v>
      </c>
      <c r="F81" s="174" t="s">
        <v>2171</v>
      </c>
      <c r="G81" s="175">
        <v>41996</v>
      </c>
      <c r="H81" s="168">
        <v>42175</v>
      </c>
      <c r="I81" s="177">
        <v>42358</v>
      </c>
      <c r="J81" s="178" t="s">
        <v>2175</v>
      </c>
      <c r="K81" s="159" t="s">
        <v>36</v>
      </c>
      <c r="L81" s="159" t="s">
        <v>28</v>
      </c>
      <c r="M81" s="179">
        <v>5</v>
      </c>
    </row>
    <row r="82" spans="1:13" ht="25.35" customHeight="1">
      <c r="A82" s="173" t="s">
        <v>2176</v>
      </c>
      <c r="B82" s="118" t="s">
        <v>2177</v>
      </c>
      <c r="C82" s="173" t="s">
        <v>529</v>
      </c>
      <c r="D82" s="173" t="s">
        <v>606</v>
      </c>
      <c r="E82" s="173" t="s">
        <v>2178</v>
      </c>
      <c r="F82" s="174" t="s">
        <v>2179</v>
      </c>
      <c r="G82" s="175">
        <v>41996</v>
      </c>
      <c r="H82" s="168">
        <v>42157</v>
      </c>
      <c r="I82" s="181">
        <v>42358</v>
      </c>
      <c r="J82" s="174" t="s">
        <v>2175</v>
      </c>
      <c r="K82" s="159" t="s">
        <v>36</v>
      </c>
      <c r="L82" s="159" t="s">
        <v>28</v>
      </c>
      <c r="M82" s="179">
        <v>5</v>
      </c>
    </row>
    <row r="83" spans="1:13" ht="25.35" customHeight="1">
      <c r="A83" s="184" t="s">
        <v>2176</v>
      </c>
      <c r="B83" s="114" t="s">
        <v>2180</v>
      </c>
      <c r="C83" s="173" t="s">
        <v>529</v>
      </c>
      <c r="D83" s="173" t="s">
        <v>606</v>
      </c>
      <c r="E83" s="173" t="s">
        <v>2181</v>
      </c>
      <c r="F83" s="174" t="s">
        <v>2179</v>
      </c>
      <c r="G83" s="175">
        <v>42010</v>
      </c>
      <c r="H83" s="168">
        <v>42157</v>
      </c>
      <c r="I83" s="181">
        <v>42358</v>
      </c>
      <c r="J83" s="174" t="s">
        <v>2175</v>
      </c>
      <c r="K83" s="159" t="s">
        <v>36</v>
      </c>
      <c r="L83" s="159" t="s">
        <v>28</v>
      </c>
      <c r="M83" s="179">
        <v>4</v>
      </c>
    </row>
    <row r="84" spans="1:13" ht="25.35" customHeight="1">
      <c r="A84" s="173" t="s">
        <v>2182</v>
      </c>
      <c r="B84" s="123" t="s">
        <v>2183</v>
      </c>
      <c r="C84" s="173" t="s">
        <v>529</v>
      </c>
      <c r="D84" s="173" t="s">
        <v>606</v>
      </c>
      <c r="E84" s="173" t="s">
        <v>2184</v>
      </c>
      <c r="F84" s="174" t="s">
        <v>2185</v>
      </c>
      <c r="G84" s="175">
        <v>42009</v>
      </c>
      <c r="H84" s="168"/>
      <c r="I84" s="181"/>
      <c r="J84" s="158" t="s">
        <v>2186</v>
      </c>
      <c r="K84" s="159" t="s">
        <v>578</v>
      </c>
      <c r="L84" s="159" t="s">
        <v>28</v>
      </c>
      <c r="M84" s="179"/>
    </row>
    <row r="85" spans="1:13" ht="25.35" customHeight="1">
      <c r="A85" s="173" t="s">
        <v>2240</v>
      </c>
      <c r="B85" s="114" t="s">
        <v>2241</v>
      </c>
      <c r="C85" s="173" t="s">
        <v>529</v>
      </c>
      <c r="D85" s="173" t="s">
        <v>530</v>
      </c>
      <c r="E85" s="173" t="s">
        <v>2242</v>
      </c>
      <c r="F85" s="174" t="s">
        <v>2243</v>
      </c>
      <c r="G85" s="175">
        <v>43154</v>
      </c>
      <c r="H85" s="168">
        <v>43332</v>
      </c>
      <c r="I85" s="181">
        <v>43516</v>
      </c>
      <c r="J85" s="174" t="s">
        <v>2244</v>
      </c>
      <c r="K85" s="159" t="s">
        <v>73</v>
      </c>
      <c r="L85" s="159" t="s">
        <v>74</v>
      </c>
      <c r="M85" s="179">
        <v>5</v>
      </c>
    </row>
    <row r="86" spans="1:13" ht="25.35" customHeight="1">
      <c r="A86" s="173" t="s">
        <v>2245</v>
      </c>
      <c r="B86" s="118" t="s">
        <v>2246</v>
      </c>
      <c r="C86" s="173" t="s">
        <v>529</v>
      </c>
      <c r="D86" s="173" t="s">
        <v>570</v>
      </c>
      <c r="E86" s="173" t="s">
        <v>2247</v>
      </c>
      <c r="F86" s="174" t="s">
        <v>2248</v>
      </c>
      <c r="G86" s="175">
        <v>44114</v>
      </c>
      <c r="H86" s="168">
        <v>44287</v>
      </c>
      <c r="I86" s="181">
        <v>44470</v>
      </c>
      <c r="J86" s="158" t="s">
        <v>2249</v>
      </c>
      <c r="K86" s="159" t="s">
        <v>73</v>
      </c>
      <c r="L86" s="159" t="s">
        <v>74</v>
      </c>
      <c r="M86" s="179">
        <v>5</v>
      </c>
    </row>
    <row r="87" spans="1:13" ht="25.35" customHeight="1">
      <c r="A87" s="173" t="s">
        <v>2256</v>
      </c>
      <c r="B87" s="118" t="s">
        <v>2257</v>
      </c>
      <c r="C87" s="173" t="s">
        <v>529</v>
      </c>
      <c r="D87" s="173" t="s">
        <v>530</v>
      </c>
      <c r="E87" s="173" t="s">
        <v>2258</v>
      </c>
      <c r="F87" s="174" t="s">
        <v>2259</v>
      </c>
      <c r="G87" s="175">
        <v>43449</v>
      </c>
      <c r="H87" s="168">
        <v>43627</v>
      </c>
      <c r="I87" s="181">
        <v>43810</v>
      </c>
      <c r="J87" s="174" t="s">
        <v>2260</v>
      </c>
      <c r="K87" s="159" t="s">
        <v>73</v>
      </c>
      <c r="L87" s="159" t="s">
        <v>74</v>
      </c>
      <c r="M87" s="179">
        <v>5</v>
      </c>
    </row>
    <row r="88" spans="1:13" ht="25.35" customHeight="1">
      <c r="A88" s="173" t="s">
        <v>2261</v>
      </c>
      <c r="B88" s="118" t="s">
        <v>2262</v>
      </c>
      <c r="C88" s="173" t="s">
        <v>529</v>
      </c>
      <c r="D88" s="173" t="s">
        <v>570</v>
      </c>
      <c r="E88" s="173" t="s">
        <v>2263</v>
      </c>
      <c r="F88" s="174" t="s">
        <v>2264</v>
      </c>
      <c r="G88" s="175">
        <v>43159</v>
      </c>
      <c r="H88" s="168">
        <v>43343</v>
      </c>
      <c r="I88" s="181">
        <v>43524</v>
      </c>
      <c r="J88" s="178" t="s">
        <v>1359</v>
      </c>
      <c r="K88" s="159"/>
      <c r="L88" s="159"/>
      <c r="M88" s="179">
        <v>6</v>
      </c>
    </row>
    <row r="89" spans="1:13" ht="25.35" customHeight="1">
      <c r="A89" s="173" t="s">
        <v>2265</v>
      </c>
      <c r="B89" s="118" t="s">
        <v>2266</v>
      </c>
      <c r="C89" s="173" t="s">
        <v>529</v>
      </c>
      <c r="D89" s="173" t="s">
        <v>530</v>
      </c>
      <c r="E89" s="173" t="s">
        <v>2267</v>
      </c>
      <c r="F89" s="174" t="s">
        <v>2268</v>
      </c>
      <c r="G89" s="175">
        <v>43623</v>
      </c>
      <c r="H89" s="168"/>
      <c r="I89" s="177"/>
      <c r="J89" s="178" t="s">
        <v>2269</v>
      </c>
      <c r="K89" s="159" t="s">
        <v>540</v>
      </c>
      <c r="L89" s="158" t="s">
        <v>0</v>
      </c>
      <c r="M89" s="179"/>
    </row>
    <row r="90" spans="1:13" ht="25.35" customHeight="1">
      <c r="A90" s="173" t="s">
        <v>2270</v>
      </c>
      <c r="B90" s="118" t="s">
        <v>2271</v>
      </c>
      <c r="C90" s="173" t="s">
        <v>529</v>
      </c>
      <c r="D90" s="173" t="s">
        <v>530</v>
      </c>
      <c r="E90" s="173" t="s">
        <v>2272</v>
      </c>
      <c r="F90" s="174" t="s">
        <v>2273</v>
      </c>
      <c r="G90" s="175">
        <v>43985</v>
      </c>
      <c r="H90" s="168">
        <v>44316</v>
      </c>
      <c r="I90" s="177">
        <v>44439</v>
      </c>
      <c r="J90" s="178" t="s">
        <v>2274</v>
      </c>
      <c r="K90" s="159" t="s">
        <v>540</v>
      </c>
      <c r="L90" s="158" t="s">
        <v>0</v>
      </c>
      <c r="M90" s="179">
        <v>10</v>
      </c>
    </row>
    <row r="91" spans="1:13" ht="25.35" customHeight="1">
      <c r="A91" s="173" t="s">
        <v>2275</v>
      </c>
      <c r="B91" s="118" t="s">
        <v>2276</v>
      </c>
      <c r="C91" s="173" t="s">
        <v>529</v>
      </c>
      <c r="D91" s="173" t="s">
        <v>530</v>
      </c>
      <c r="E91" s="173" t="s">
        <v>2277</v>
      </c>
      <c r="F91" s="174" t="s">
        <v>2278</v>
      </c>
      <c r="G91" s="175">
        <v>44252</v>
      </c>
      <c r="H91" s="168">
        <v>44286</v>
      </c>
      <c r="I91" s="177">
        <v>44561</v>
      </c>
      <c r="J91" s="178" t="s">
        <v>2274</v>
      </c>
      <c r="K91" s="159" t="s">
        <v>540</v>
      </c>
      <c r="L91" s="158" t="s">
        <v>0</v>
      </c>
      <c r="M91" s="179">
        <v>1</v>
      </c>
    </row>
    <row r="92" spans="1:13" ht="25.35" customHeight="1">
      <c r="A92" s="173" t="s">
        <v>2279</v>
      </c>
      <c r="B92" s="118" t="s">
        <v>2280</v>
      </c>
      <c r="C92" s="173" t="s">
        <v>529</v>
      </c>
      <c r="D92" s="173" t="s">
        <v>570</v>
      </c>
      <c r="E92" s="173" t="s">
        <v>2281</v>
      </c>
      <c r="F92" s="174" t="s">
        <v>2282</v>
      </c>
      <c r="G92" s="175">
        <v>43697</v>
      </c>
      <c r="H92" s="168"/>
      <c r="I92" s="177"/>
      <c r="J92" s="178" t="s">
        <v>2283</v>
      </c>
      <c r="K92" s="159" t="s">
        <v>540</v>
      </c>
      <c r="L92" s="158" t="s">
        <v>0</v>
      </c>
      <c r="M92" s="179"/>
    </row>
    <row r="93" spans="1:13" ht="25.35" customHeight="1">
      <c r="A93" s="173" t="s">
        <v>2284</v>
      </c>
      <c r="B93" s="118" t="s">
        <v>2285</v>
      </c>
      <c r="C93" s="173" t="s">
        <v>529</v>
      </c>
      <c r="D93" s="173" t="s">
        <v>560</v>
      </c>
      <c r="E93" s="173" t="s">
        <v>2286</v>
      </c>
      <c r="F93" s="174" t="s">
        <v>2287</v>
      </c>
      <c r="G93" s="175">
        <v>44252</v>
      </c>
      <c r="H93" s="168">
        <v>44286</v>
      </c>
      <c r="I93" s="177">
        <v>44561</v>
      </c>
      <c r="J93" s="178" t="s">
        <v>2274</v>
      </c>
      <c r="K93" s="159" t="s">
        <v>540</v>
      </c>
      <c r="L93" s="158" t="s">
        <v>0</v>
      </c>
      <c r="M93" s="179">
        <v>1</v>
      </c>
    </row>
    <row r="94" spans="1:13" ht="25.35" customHeight="1">
      <c r="A94" s="173" t="s">
        <v>2302</v>
      </c>
      <c r="B94" s="118" t="s">
        <v>2303</v>
      </c>
      <c r="C94" s="173" t="s">
        <v>529</v>
      </c>
      <c r="D94" s="173" t="s">
        <v>606</v>
      </c>
      <c r="E94" s="173" t="s">
        <v>2304</v>
      </c>
      <c r="F94" s="174" t="s">
        <v>2305</v>
      </c>
      <c r="G94" s="175">
        <v>43596</v>
      </c>
      <c r="H94" s="168"/>
      <c r="I94" s="181">
        <v>43911</v>
      </c>
      <c r="J94" s="178" t="s">
        <v>2306</v>
      </c>
      <c r="K94" s="159" t="s">
        <v>540</v>
      </c>
      <c r="L94" s="159" t="s">
        <v>0</v>
      </c>
      <c r="M94" s="179"/>
    </row>
    <row r="95" spans="1:13" ht="25.35" customHeight="1">
      <c r="A95" s="173" t="s">
        <v>2307</v>
      </c>
      <c r="B95" s="118" t="s">
        <v>2308</v>
      </c>
      <c r="C95" s="173" t="s">
        <v>529</v>
      </c>
      <c r="D95" s="173" t="s">
        <v>1425</v>
      </c>
      <c r="E95" s="173" t="s">
        <v>2309</v>
      </c>
      <c r="F95" s="174" t="s">
        <v>2310</v>
      </c>
      <c r="G95" s="175">
        <v>43910</v>
      </c>
      <c r="H95" s="168"/>
      <c r="I95" s="177"/>
      <c r="J95" s="178"/>
      <c r="K95" s="159"/>
      <c r="L95" s="159"/>
      <c r="M95" s="179"/>
    </row>
    <row r="96" spans="1:13" ht="25.35" customHeight="1">
      <c r="A96" s="173" t="s">
        <v>2311</v>
      </c>
      <c r="B96" s="118" t="s">
        <v>2312</v>
      </c>
      <c r="C96" s="173" t="s">
        <v>529</v>
      </c>
      <c r="D96" s="173" t="s">
        <v>530</v>
      </c>
      <c r="E96" s="173" t="s">
        <v>2313</v>
      </c>
      <c r="F96" s="174" t="s">
        <v>2314</v>
      </c>
      <c r="G96" s="175">
        <v>43916</v>
      </c>
      <c r="H96" s="168"/>
      <c r="I96" s="177"/>
      <c r="J96" s="178"/>
      <c r="K96" s="159"/>
      <c r="L96" s="159"/>
      <c r="M96" s="179"/>
    </row>
    <row r="97" spans="1:13" ht="25.35" customHeight="1">
      <c r="A97" s="173" t="s">
        <v>2321</v>
      </c>
      <c r="B97" s="118" t="s">
        <v>2322</v>
      </c>
      <c r="C97" s="173" t="s">
        <v>529</v>
      </c>
      <c r="D97" s="173" t="s">
        <v>1425</v>
      </c>
      <c r="E97" s="173" t="s">
        <v>2323</v>
      </c>
      <c r="F97" s="174" t="s">
        <v>2324</v>
      </c>
      <c r="G97" s="175">
        <v>43944</v>
      </c>
      <c r="H97" s="168"/>
      <c r="I97" s="177"/>
      <c r="J97" s="178" t="s">
        <v>2325</v>
      </c>
      <c r="K97" s="159" t="s">
        <v>73</v>
      </c>
      <c r="L97" s="159" t="s">
        <v>74</v>
      </c>
      <c r="M97" s="179"/>
    </row>
    <row r="98" spans="1:13" ht="25.35" customHeight="1">
      <c r="A98" s="173" t="s">
        <v>2694</v>
      </c>
      <c r="B98" s="118" t="s">
        <v>2695</v>
      </c>
      <c r="C98" s="173" t="s">
        <v>529</v>
      </c>
      <c r="D98" s="173" t="s">
        <v>530</v>
      </c>
      <c r="E98" s="173" t="s">
        <v>2696</v>
      </c>
      <c r="F98" s="174" t="s">
        <v>2697</v>
      </c>
      <c r="G98" s="175">
        <v>43213</v>
      </c>
      <c r="H98" s="168">
        <v>43386</v>
      </c>
      <c r="I98" s="181">
        <v>43751</v>
      </c>
      <c r="J98" s="178" t="s">
        <v>2698</v>
      </c>
      <c r="K98" s="159" t="s">
        <v>27</v>
      </c>
      <c r="L98" s="159" t="s">
        <v>28</v>
      </c>
      <c r="M98" s="179">
        <v>5</v>
      </c>
    </row>
    <row r="99" spans="1:13" ht="25.35" customHeight="1">
      <c r="A99" s="173" t="s">
        <v>2699</v>
      </c>
      <c r="B99" s="118" t="s">
        <v>2700</v>
      </c>
      <c r="C99" s="173" t="s">
        <v>529</v>
      </c>
      <c r="D99" s="173" t="s">
        <v>570</v>
      </c>
      <c r="E99" s="173" t="s">
        <v>2701</v>
      </c>
      <c r="F99" s="174" t="s">
        <v>2702</v>
      </c>
      <c r="G99" s="175">
        <v>43539</v>
      </c>
      <c r="H99" s="168">
        <v>43716</v>
      </c>
      <c r="I99" s="181">
        <v>43898</v>
      </c>
      <c r="J99" s="178" t="s">
        <v>2698</v>
      </c>
      <c r="K99" s="159" t="s">
        <v>27</v>
      </c>
      <c r="L99" s="159" t="s">
        <v>28</v>
      </c>
      <c r="M99" s="179">
        <v>5</v>
      </c>
    </row>
    <row r="100" spans="1:13" ht="25.35" customHeight="1">
      <c r="A100" s="173" t="s">
        <v>2703</v>
      </c>
      <c r="B100" s="118" t="s">
        <v>2704</v>
      </c>
      <c r="C100" s="173" t="s">
        <v>529</v>
      </c>
      <c r="D100" s="173" t="s">
        <v>560</v>
      </c>
      <c r="E100" s="173" t="s">
        <v>2705</v>
      </c>
      <c r="F100" s="174" t="s">
        <v>2706</v>
      </c>
      <c r="G100" s="175">
        <v>44210</v>
      </c>
      <c r="H100" s="168">
        <v>44385</v>
      </c>
      <c r="I100" s="181">
        <v>44569</v>
      </c>
      <c r="J100" s="178" t="s">
        <v>2698</v>
      </c>
      <c r="K100" s="159" t="s">
        <v>27</v>
      </c>
      <c r="L100" s="159" t="s">
        <v>28</v>
      </c>
      <c r="M100" s="179">
        <v>5</v>
      </c>
    </row>
    <row r="101" spans="1:13" ht="25.35" customHeight="1">
      <c r="A101" s="173" t="s">
        <v>2713</v>
      </c>
      <c r="B101" s="118" t="s">
        <v>2714</v>
      </c>
      <c r="C101" s="173" t="s">
        <v>529</v>
      </c>
      <c r="D101" s="173" t="s">
        <v>530</v>
      </c>
      <c r="E101" s="173" t="s">
        <v>2715</v>
      </c>
      <c r="F101" s="174" t="s">
        <v>2716</v>
      </c>
      <c r="G101" s="175">
        <v>43213</v>
      </c>
      <c r="H101" s="168">
        <v>43386</v>
      </c>
      <c r="I101" s="181">
        <v>43751</v>
      </c>
      <c r="J101" s="178" t="s">
        <v>2698</v>
      </c>
      <c r="K101" s="159" t="s">
        <v>27</v>
      </c>
      <c r="L101" s="159" t="s">
        <v>28</v>
      </c>
      <c r="M101" s="179">
        <v>5</v>
      </c>
    </row>
    <row r="102" spans="1:13" ht="25.35" customHeight="1">
      <c r="A102" s="173" t="s">
        <v>2717</v>
      </c>
      <c r="B102" s="118" t="s">
        <v>2718</v>
      </c>
      <c r="C102" s="173" t="s">
        <v>529</v>
      </c>
      <c r="D102" s="173" t="s">
        <v>570</v>
      </c>
      <c r="E102" s="173" t="s">
        <v>2719</v>
      </c>
      <c r="F102" s="174" t="s">
        <v>2720</v>
      </c>
      <c r="G102" s="175">
        <v>43539</v>
      </c>
      <c r="H102" s="168">
        <v>43716</v>
      </c>
      <c r="I102" s="181">
        <v>43898</v>
      </c>
      <c r="J102" s="178" t="s">
        <v>2698</v>
      </c>
      <c r="K102" s="159" t="s">
        <v>27</v>
      </c>
      <c r="L102" s="159" t="s">
        <v>28</v>
      </c>
      <c r="M102" s="179">
        <v>5</v>
      </c>
    </row>
    <row r="103" spans="1:13" ht="25.35" customHeight="1">
      <c r="A103" s="173" t="s">
        <v>2721</v>
      </c>
      <c r="B103" s="118" t="s">
        <v>2722</v>
      </c>
      <c r="C103" s="173" t="s">
        <v>529</v>
      </c>
      <c r="D103" s="173" t="s">
        <v>530</v>
      </c>
      <c r="E103" s="173" t="s">
        <v>2723</v>
      </c>
      <c r="F103" s="174" t="s">
        <v>2724</v>
      </c>
      <c r="G103" s="175">
        <v>43213</v>
      </c>
      <c r="H103" s="168">
        <v>43386</v>
      </c>
      <c r="I103" s="181">
        <v>43568</v>
      </c>
      <c r="J103" s="178" t="s">
        <v>2698</v>
      </c>
      <c r="K103" s="159" t="s">
        <v>27</v>
      </c>
      <c r="L103" s="159" t="s">
        <v>28</v>
      </c>
      <c r="M103" s="179">
        <v>5</v>
      </c>
    </row>
    <row r="104" spans="1:13" ht="25.35" customHeight="1">
      <c r="A104" s="173" t="s">
        <v>2725</v>
      </c>
      <c r="B104" s="118" t="s">
        <v>2726</v>
      </c>
      <c r="C104" s="173" t="s">
        <v>529</v>
      </c>
      <c r="D104" s="173" t="s">
        <v>570</v>
      </c>
      <c r="E104" s="173" t="s">
        <v>2727</v>
      </c>
      <c r="F104" s="174" t="s">
        <v>2728</v>
      </c>
      <c r="G104" s="175">
        <v>43213</v>
      </c>
      <c r="H104" s="168">
        <v>43751</v>
      </c>
      <c r="I104" s="181">
        <v>43751</v>
      </c>
      <c r="J104" s="178" t="s">
        <v>2698</v>
      </c>
      <c r="K104" s="159" t="s">
        <v>27</v>
      </c>
      <c r="L104" s="159" t="s">
        <v>28</v>
      </c>
      <c r="M104" s="179">
        <v>17</v>
      </c>
    </row>
    <row r="105" spans="1:13" ht="25.35" customHeight="1">
      <c r="A105" s="173" t="s">
        <v>2729</v>
      </c>
      <c r="B105" s="118" t="s">
        <v>2730</v>
      </c>
      <c r="C105" s="173" t="s">
        <v>529</v>
      </c>
      <c r="D105" s="173" t="s">
        <v>570</v>
      </c>
      <c r="E105" s="173" t="s">
        <v>2731</v>
      </c>
      <c r="F105" s="174" t="s">
        <v>2732</v>
      </c>
      <c r="G105" s="175">
        <v>43213</v>
      </c>
      <c r="H105" s="168">
        <v>43386</v>
      </c>
      <c r="I105" s="181">
        <v>43751</v>
      </c>
      <c r="J105" s="178" t="s">
        <v>2698</v>
      </c>
      <c r="K105" s="159" t="s">
        <v>27</v>
      </c>
      <c r="L105" s="159" t="s">
        <v>28</v>
      </c>
      <c r="M105" s="179">
        <v>5</v>
      </c>
    </row>
    <row r="106" spans="1:13" ht="25.35" customHeight="1">
      <c r="A106" s="173" t="s">
        <v>2733</v>
      </c>
      <c r="B106" s="118" t="s">
        <v>2734</v>
      </c>
      <c r="C106" s="173" t="s">
        <v>529</v>
      </c>
      <c r="D106" s="173" t="s">
        <v>2123</v>
      </c>
      <c r="E106" s="173" t="s">
        <v>2735</v>
      </c>
      <c r="F106" s="174" t="s">
        <v>2736</v>
      </c>
      <c r="G106" s="175">
        <v>43532</v>
      </c>
      <c r="H106" s="168">
        <v>43555</v>
      </c>
      <c r="I106" s="181">
        <v>43708</v>
      </c>
      <c r="J106" s="158" t="s">
        <v>2737</v>
      </c>
      <c r="K106" s="159" t="s">
        <v>36</v>
      </c>
      <c r="L106" s="159" t="s">
        <v>28</v>
      </c>
      <c r="M106" s="179">
        <v>0</v>
      </c>
    </row>
    <row r="107" spans="1:13" ht="25.35" customHeight="1">
      <c r="A107" s="173" t="s">
        <v>2738</v>
      </c>
      <c r="B107" s="118" t="s">
        <v>2739</v>
      </c>
      <c r="C107" s="173" t="s">
        <v>529</v>
      </c>
      <c r="D107" s="173" t="s">
        <v>1340</v>
      </c>
      <c r="E107" s="173" t="s">
        <v>2740</v>
      </c>
      <c r="F107" s="174" t="s">
        <v>2741</v>
      </c>
      <c r="G107" s="175">
        <v>43858</v>
      </c>
      <c r="H107" s="168">
        <v>44028</v>
      </c>
      <c r="I107" s="181">
        <v>44120</v>
      </c>
      <c r="J107" s="158" t="s">
        <v>2737</v>
      </c>
      <c r="K107" s="159" t="s">
        <v>36</v>
      </c>
      <c r="L107" s="159" t="s">
        <v>28</v>
      </c>
      <c r="M107" s="179">
        <v>5</v>
      </c>
    </row>
    <row r="108" spans="1:13" ht="25.35" customHeight="1">
      <c r="A108" s="173" t="s">
        <v>2742</v>
      </c>
      <c r="B108" s="118" t="s">
        <v>2743</v>
      </c>
      <c r="C108" s="173" t="s">
        <v>529</v>
      </c>
      <c r="D108" s="173" t="s">
        <v>2123</v>
      </c>
      <c r="E108" s="173" t="s">
        <v>2744</v>
      </c>
      <c r="F108" s="174" t="s">
        <v>2745</v>
      </c>
      <c r="G108" s="175">
        <v>43532</v>
      </c>
      <c r="H108" s="168">
        <v>43555</v>
      </c>
      <c r="I108" s="177">
        <v>43708</v>
      </c>
      <c r="J108" s="158" t="s">
        <v>2737</v>
      </c>
      <c r="K108" s="159" t="s">
        <v>36</v>
      </c>
      <c r="L108" s="159" t="s">
        <v>28</v>
      </c>
      <c r="M108" s="179">
        <v>0</v>
      </c>
    </row>
    <row r="109" spans="1:13" ht="25.35" customHeight="1">
      <c r="A109" s="173" t="s">
        <v>2746</v>
      </c>
      <c r="B109" s="118" t="s">
        <v>2747</v>
      </c>
      <c r="C109" s="173" t="s">
        <v>529</v>
      </c>
      <c r="D109" s="173" t="s">
        <v>1340</v>
      </c>
      <c r="E109" s="173" t="s">
        <v>2748</v>
      </c>
      <c r="F109" s="174" t="s">
        <v>2749</v>
      </c>
      <c r="G109" s="175">
        <v>43558</v>
      </c>
      <c r="H109" s="168">
        <v>43746</v>
      </c>
      <c r="I109" s="177">
        <v>43929</v>
      </c>
      <c r="J109" s="158" t="s">
        <v>2737</v>
      </c>
      <c r="K109" s="159" t="s">
        <v>36</v>
      </c>
      <c r="L109" s="159" t="s">
        <v>28</v>
      </c>
      <c r="M109" s="179">
        <v>6</v>
      </c>
    </row>
    <row r="110" spans="1:13" ht="25.35" customHeight="1">
      <c r="A110" s="173" t="s">
        <v>2746</v>
      </c>
      <c r="B110" s="118" t="s">
        <v>2750</v>
      </c>
      <c r="C110" s="173" t="s">
        <v>529</v>
      </c>
      <c r="D110" s="173" t="s">
        <v>1340</v>
      </c>
      <c r="E110" s="173" t="s">
        <v>2751</v>
      </c>
      <c r="F110" s="174" t="s">
        <v>2749</v>
      </c>
      <c r="G110" s="175">
        <v>43568</v>
      </c>
      <c r="H110" s="168">
        <v>43746</v>
      </c>
      <c r="I110" s="177">
        <v>43929</v>
      </c>
      <c r="J110" s="158" t="s">
        <v>2737</v>
      </c>
      <c r="K110" s="159" t="s">
        <v>36</v>
      </c>
      <c r="L110" s="159" t="s">
        <v>28</v>
      </c>
      <c r="M110" s="179">
        <v>5</v>
      </c>
    </row>
    <row r="111" spans="1:13" ht="25.35" customHeight="1">
      <c r="A111" s="173" t="s">
        <v>2752</v>
      </c>
      <c r="B111" s="118" t="s">
        <v>2753</v>
      </c>
      <c r="C111" s="173" t="s">
        <v>529</v>
      </c>
      <c r="D111" s="173" t="s">
        <v>1340</v>
      </c>
      <c r="E111" s="173" t="s">
        <v>2754</v>
      </c>
      <c r="F111" s="174" t="s">
        <v>2755</v>
      </c>
      <c r="G111" s="175">
        <v>43558</v>
      </c>
      <c r="H111" s="168">
        <v>43734</v>
      </c>
      <c r="I111" s="177">
        <v>43916</v>
      </c>
      <c r="J111" s="158" t="s">
        <v>2737</v>
      </c>
      <c r="K111" s="159" t="s">
        <v>36</v>
      </c>
      <c r="L111" s="159" t="s">
        <v>28</v>
      </c>
      <c r="M111" s="179">
        <v>5</v>
      </c>
    </row>
    <row r="112" spans="1:13" ht="25.35" customHeight="1">
      <c r="A112" s="173" t="s">
        <v>2761</v>
      </c>
      <c r="B112" s="118" t="s">
        <v>2762</v>
      </c>
      <c r="C112" s="173" t="s">
        <v>529</v>
      </c>
      <c r="D112" s="173" t="s">
        <v>1340</v>
      </c>
      <c r="E112" s="173" t="s">
        <v>2763</v>
      </c>
      <c r="F112" s="174" t="s">
        <v>2764</v>
      </c>
      <c r="G112" s="175">
        <v>43558</v>
      </c>
      <c r="H112" s="168">
        <v>43734</v>
      </c>
      <c r="I112" s="177">
        <v>43916</v>
      </c>
      <c r="J112" s="158" t="s">
        <v>2737</v>
      </c>
      <c r="K112" s="159" t="s">
        <v>36</v>
      </c>
      <c r="L112" s="159" t="s">
        <v>28</v>
      </c>
      <c r="M112" s="179">
        <v>5</v>
      </c>
    </row>
    <row r="113" spans="1:13" ht="25.35" customHeight="1">
      <c r="A113" s="173" t="s">
        <v>2765</v>
      </c>
      <c r="B113" s="118" t="s">
        <v>2766</v>
      </c>
      <c r="C113" s="173" t="s">
        <v>529</v>
      </c>
      <c r="D113" s="173" t="s">
        <v>1340</v>
      </c>
      <c r="E113" s="173" t="s">
        <v>2767</v>
      </c>
      <c r="F113" s="174" t="s">
        <v>1413</v>
      </c>
      <c r="G113" s="175">
        <v>43558</v>
      </c>
      <c r="H113" s="168">
        <v>43734</v>
      </c>
      <c r="I113" s="177">
        <v>43916</v>
      </c>
      <c r="J113" s="158" t="s">
        <v>2737</v>
      </c>
      <c r="K113" s="159" t="s">
        <v>36</v>
      </c>
      <c r="L113" s="159" t="s">
        <v>28</v>
      </c>
      <c r="M113" s="179">
        <v>5</v>
      </c>
    </row>
    <row r="114" spans="1:13" ht="25.35" customHeight="1">
      <c r="A114" s="173" t="s">
        <v>2772</v>
      </c>
      <c r="B114" s="118" t="s">
        <v>2773</v>
      </c>
      <c r="C114" s="173" t="s">
        <v>529</v>
      </c>
      <c r="D114" s="173" t="s">
        <v>2123</v>
      </c>
      <c r="E114" s="173" t="s">
        <v>2774</v>
      </c>
      <c r="F114" s="174" t="s">
        <v>2775</v>
      </c>
      <c r="G114" s="175">
        <v>43267</v>
      </c>
      <c r="H114" s="168">
        <v>43442</v>
      </c>
      <c r="I114" s="177">
        <v>43624</v>
      </c>
      <c r="J114" s="158" t="s">
        <v>2737</v>
      </c>
      <c r="K114" s="159" t="s">
        <v>36</v>
      </c>
      <c r="L114" s="159" t="s">
        <v>28</v>
      </c>
      <c r="M114" s="179">
        <v>5</v>
      </c>
    </row>
    <row r="115" spans="1:13" ht="25.35" customHeight="1">
      <c r="A115" s="173" t="s">
        <v>2776</v>
      </c>
      <c r="B115" s="118" t="s">
        <v>2777</v>
      </c>
      <c r="C115" s="173" t="s">
        <v>529</v>
      </c>
      <c r="D115" s="173" t="s">
        <v>1340</v>
      </c>
      <c r="E115" s="173" t="s">
        <v>2778</v>
      </c>
      <c r="F115" s="174" t="s">
        <v>2779</v>
      </c>
      <c r="G115" s="175">
        <v>43355</v>
      </c>
      <c r="H115" s="168">
        <v>43529</v>
      </c>
      <c r="I115" s="177">
        <v>43713</v>
      </c>
      <c r="J115" s="158" t="s">
        <v>2737</v>
      </c>
      <c r="K115" s="159" t="s">
        <v>36</v>
      </c>
      <c r="L115" s="159" t="s">
        <v>28</v>
      </c>
      <c r="M115" s="179">
        <v>5</v>
      </c>
    </row>
    <row r="116" spans="1:13" ht="25.35" customHeight="1">
      <c r="A116" s="173" t="s">
        <v>2780</v>
      </c>
      <c r="B116" s="118" t="s">
        <v>2781</v>
      </c>
      <c r="C116" s="173" t="s">
        <v>529</v>
      </c>
      <c r="D116" s="173" t="s">
        <v>1340</v>
      </c>
      <c r="E116" s="173" t="s">
        <v>2782</v>
      </c>
      <c r="F116" s="174" t="s">
        <v>2783</v>
      </c>
      <c r="G116" s="175">
        <v>43721</v>
      </c>
      <c r="H116" s="168">
        <v>43894</v>
      </c>
      <c r="I116" s="177">
        <v>43986</v>
      </c>
      <c r="J116" s="158" t="s">
        <v>2737</v>
      </c>
      <c r="K116" s="159" t="s">
        <v>36</v>
      </c>
      <c r="L116" s="159" t="s">
        <v>28</v>
      </c>
      <c r="M116" s="179">
        <v>5</v>
      </c>
    </row>
    <row r="117" spans="1:13" ht="25.35" customHeight="1">
      <c r="A117" s="173" t="s">
        <v>2788</v>
      </c>
      <c r="B117" s="118" t="s">
        <v>2789</v>
      </c>
      <c r="C117" s="173" t="s">
        <v>529</v>
      </c>
      <c r="D117" s="173" t="s">
        <v>1340</v>
      </c>
      <c r="E117" s="173" t="s">
        <v>2790</v>
      </c>
      <c r="F117" s="174" t="s">
        <v>2791</v>
      </c>
      <c r="G117" s="175">
        <v>42929</v>
      </c>
      <c r="H117" s="168">
        <v>43103</v>
      </c>
      <c r="I117" s="177">
        <v>43284</v>
      </c>
      <c r="J117" s="158" t="s">
        <v>2792</v>
      </c>
      <c r="K117" s="159" t="s">
        <v>27</v>
      </c>
      <c r="L117" s="159" t="s">
        <v>28</v>
      </c>
      <c r="M117" s="179">
        <v>5</v>
      </c>
    </row>
    <row r="118" spans="1:13" ht="25.35" customHeight="1">
      <c r="A118" s="173" t="s">
        <v>2793</v>
      </c>
      <c r="B118" s="118" t="s">
        <v>2794</v>
      </c>
      <c r="C118" s="173" t="s">
        <v>529</v>
      </c>
      <c r="D118" s="173" t="s">
        <v>1340</v>
      </c>
      <c r="E118" s="173" t="s">
        <v>2795</v>
      </c>
      <c r="F118" s="174" t="s">
        <v>2796</v>
      </c>
      <c r="G118" s="175">
        <v>43351</v>
      </c>
      <c r="H118" s="168">
        <v>43527</v>
      </c>
      <c r="I118" s="177">
        <v>43711</v>
      </c>
      <c r="J118" s="178" t="s">
        <v>533</v>
      </c>
      <c r="K118" s="159"/>
      <c r="L118" s="159"/>
      <c r="M118" s="179">
        <v>5</v>
      </c>
    </row>
    <row r="119" spans="1:13" ht="25.35" customHeight="1">
      <c r="A119" s="173" t="s">
        <v>2797</v>
      </c>
      <c r="B119" s="118" t="s">
        <v>2798</v>
      </c>
      <c r="C119" s="173" t="s">
        <v>529</v>
      </c>
      <c r="D119" s="173" t="s">
        <v>1340</v>
      </c>
      <c r="E119" s="173" t="s">
        <v>2799</v>
      </c>
      <c r="F119" s="174" t="s">
        <v>1380</v>
      </c>
      <c r="G119" s="175">
        <v>43558</v>
      </c>
      <c r="H119" s="168">
        <v>43734</v>
      </c>
      <c r="I119" s="177">
        <v>43916</v>
      </c>
      <c r="J119" s="158" t="s">
        <v>2737</v>
      </c>
      <c r="K119" s="159" t="s">
        <v>36</v>
      </c>
      <c r="L119" s="159" t="s">
        <v>28</v>
      </c>
      <c r="M119" s="179">
        <v>5</v>
      </c>
    </row>
    <row r="120" spans="1:13" ht="25.35" customHeight="1">
      <c r="A120" s="173" t="s">
        <v>2804</v>
      </c>
      <c r="B120" s="118" t="s">
        <v>2805</v>
      </c>
      <c r="C120" s="173" t="s">
        <v>529</v>
      </c>
      <c r="D120" s="173" t="s">
        <v>1340</v>
      </c>
      <c r="E120" s="173" t="s">
        <v>2806</v>
      </c>
      <c r="F120" s="174" t="s">
        <v>2807</v>
      </c>
      <c r="G120" s="175">
        <v>43004</v>
      </c>
      <c r="H120" s="168">
        <v>43166</v>
      </c>
      <c r="I120" s="177">
        <v>43350</v>
      </c>
      <c r="J120" s="158" t="s">
        <v>2792</v>
      </c>
      <c r="K120" s="159" t="s">
        <v>73</v>
      </c>
      <c r="L120" s="159" t="s">
        <v>74</v>
      </c>
      <c r="M120" s="179">
        <v>5</v>
      </c>
    </row>
    <row r="121" spans="1:13" ht="25.35" customHeight="1">
      <c r="A121" s="173" t="s">
        <v>2808</v>
      </c>
      <c r="B121" s="118" t="s">
        <v>2809</v>
      </c>
      <c r="C121" s="173" t="s">
        <v>529</v>
      </c>
      <c r="D121" s="173" t="s">
        <v>1340</v>
      </c>
      <c r="E121" s="173" t="s">
        <v>2810</v>
      </c>
      <c r="F121" s="174" t="s">
        <v>2811</v>
      </c>
      <c r="G121" s="175">
        <v>43558</v>
      </c>
      <c r="H121" s="168">
        <v>43734</v>
      </c>
      <c r="I121" s="177">
        <v>43916</v>
      </c>
      <c r="J121" s="158" t="s">
        <v>2737</v>
      </c>
      <c r="K121" s="159" t="s">
        <v>36</v>
      </c>
      <c r="L121" s="159" t="s">
        <v>28</v>
      </c>
      <c r="M121" s="179">
        <v>5</v>
      </c>
    </row>
    <row r="122" spans="1:13" ht="25.35" customHeight="1">
      <c r="A122" s="173" t="s">
        <v>2816</v>
      </c>
      <c r="B122" s="118" t="s">
        <v>2817</v>
      </c>
      <c r="C122" s="173" t="s">
        <v>529</v>
      </c>
      <c r="D122" s="173" t="s">
        <v>1340</v>
      </c>
      <c r="E122" s="173" t="s">
        <v>2818</v>
      </c>
      <c r="F122" s="174" t="s">
        <v>2819</v>
      </c>
      <c r="G122" s="175">
        <v>43004</v>
      </c>
      <c r="H122" s="168">
        <v>43166</v>
      </c>
      <c r="I122" s="177">
        <v>43350</v>
      </c>
      <c r="J122" s="158" t="s">
        <v>2792</v>
      </c>
      <c r="K122" s="159" t="s">
        <v>73</v>
      </c>
      <c r="L122" s="159" t="s">
        <v>74</v>
      </c>
      <c r="M122" s="179">
        <v>5</v>
      </c>
    </row>
    <row r="123" spans="1:13" ht="25.35" customHeight="1">
      <c r="A123" s="173" t="s">
        <v>2820</v>
      </c>
      <c r="B123" s="118" t="s">
        <v>2821</v>
      </c>
      <c r="C123" s="173" t="s">
        <v>529</v>
      </c>
      <c r="D123" s="173" t="s">
        <v>1340</v>
      </c>
      <c r="E123" s="173" t="s">
        <v>2822</v>
      </c>
      <c r="F123" s="174" t="s">
        <v>2823</v>
      </c>
      <c r="G123" s="175">
        <v>43004</v>
      </c>
      <c r="H123" s="168">
        <v>43166</v>
      </c>
      <c r="I123" s="177">
        <v>43350</v>
      </c>
      <c r="J123" s="158" t="s">
        <v>2792</v>
      </c>
      <c r="K123" s="159" t="s">
        <v>73</v>
      </c>
      <c r="L123" s="159" t="s">
        <v>74</v>
      </c>
      <c r="M123" s="179">
        <v>5</v>
      </c>
    </row>
    <row r="124" spans="1:13" ht="25.35" customHeight="1">
      <c r="A124" s="173" t="s">
        <v>2824</v>
      </c>
      <c r="B124" s="118" t="s">
        <v>2825</v>
      </c>
      <c r="C124" s="173" t="s">
        <v>529</v>
      </c>
      <c r="D124" s="173" t="s">
        <v>1340</v>
      </c>
      <c r="E124" s="173" t="s">
        <v>2826</v>
      </c>
      <c r="F124" s="174" t="s">
        <v>2827</v>
      </c>
      <c r="G124" s="175">
        <v>43558</v>
      </c>
      <c r="H124" s="168">
        <v>43734</v>
      </c>
      <c r="I124" s="177">
        <v>43916</v>
      </c>
      <c r="J124" s="158" t="s">
        <v>2737</v>
      </c>
      <c r="K124" s="159" t="s">
        <v>36</v>
      </c>
      <c r="L124" s="159" t="s">
        <v>28</v>
      </c>
      <c r="M124" s="179">
        <v>5</v>
      </c>
    </row>
    <row r="125" spans="1:13" ht="25.35" customHeight="1">
      <c r="A125" s="173" t="s">
        <v>2832</v>
      </c>
      <c r="B125" s="118" t="s">
        <v>2833</v>
      </c>
      <c r="C125" s="173" t="s">
        <v>529</v>
      </c>
      <c r="D125" s="173" t="s">
        <v>1340</v>
      </c>
      <c r="E125" s="173" t="s">
        <v>2834</v>
      </c>
      <c r="F125" s="174" t="s">
        <v>2835</v>
      </c>
      <c r="G125" s="175">
        <v>43004</v>
      </c>
      <c r="H125" s="168">
        <v>43166</v>
      </c>
      <c r="I125" s="177">
        <v>43350</v>
      </c>
      <c r="J125" s="158" t="s">
        <v>2792</v>
      </c>
      <c r="K125" s="159" t="s">
        <v>73</v>
      </c>
      <c r="L125" s="159" t="s">
        <v>74</v>
      </c>
      <c r="M125" s="179">
        <v>5</v>
      </c>
    </row>
    <row r="126" spans="1:13" ht="25.35" customHeight="1">
      <c r="A126" s="173" t="s">
        <v>2836</v>
      </c>
      <c r="B126" s="118" t="s">
        <v>2837</v>
      </c>
      <c r="C126" s="173" t="s">
        <v>529</v>
      </c>
      <c r="D126" s="173" t="s">
        <v>1340</v>
      </c>
      <c r="E126" s="173" t="s">
        <v>2838</v>
      </c>
      <c r="F126" s="174" t="s">
        <v>2839</v>
      </c>
      <c r="G126" s="175">
        <v>43117</v>
      </c>
      <c r="H126" s="168">
        <v>43190</v>
      </c>
      <c r="I126" s="177">
        <v>43312</v>
      </c>
      <c r="J126" s="158" t="s">
        <v>2840</v>
      </c>
      <c r="K126" s="159" t="s">
        <v>36</v>
      </c>
      <c r="L126" s="159" t="s">
        <v>28</v>
      </c>
      <c r="M126" s="179">
        <v>2</v>
      </c>
    </row>
    <row r="127" spans="1:13" ht="25.35" customHeight="1">
      <c r="A127" s="173" t="s">
        <v>2841</v>
      </c>
      <c r="B127" s="118" t="s">
        <v>2842</v>
      </c>
      <c r="C127" s="173" t="s">
        <v>529</v>
      </c>
      <c r="D127" s="173" t="s">
        <v>2123</v>
      </c>
      <c r="E127" s="173" t="s">
        <v>2843</v>
      </c>
      <c r="F127" s="174" t="s">
        <v>2844</v>
      </c>
      <c r="G127" s="175">
        <v>43434</v>
      </c>
      <c r="H127" s="168">
        <v>43576</v>
      </c>
      <c r="I127" s="177">
        <v>43790</v>
      </c>
      <c r="J127" s="158" t="s">
        <v>2737</v>
      </c>
      <c r="K127" s="159" t="s">
        <v>36</v>
      </c>
      <c r="L127" s="159" t="s">
        <v>28</v>
      </c>
      <c r="M127" s="179">
        <v>4</v>
      </c>
    </row>
    <row r="128" spans="1:13" ht="25.35" customHeight="1">
      <c r="A128" s="173" t="s">
        <v>2845</v>
      </c>
      <c r="B128" s="118" t="s">
        <v>2846</v>
      </c>
      <c r="C128" s="173" t="s">
        <v>529</v>
      </c>
      <c r="D128" s="173" t="s">
        <v>1340</v>
      </c>
      <c r="E128" s="173" t="s">
        <v>2847</v>
      </c>
      <c r="F128" s="174" t="s">
        <v>2848</v>
      </c>
      <c r="G128" s="175">
        <v>43558</v>
      </c>
      <c r="H128" s="168">
        <v>43734</v>
      </c>
      <c r="I128" s="177">
        <v>43916</v>
      </c>
      <c r="J128" s="158" t="s">
        <v>2737</v>
      </c>
      <c r="K128" s="159" t="s">
        <v>36</v>
      </c>
      <c r="L128" s="159" t="s">
        <v>28</v>
      </c>
      <c r="M128" s="179">
        <v>5</v>
      </c>
    </row>
    <row r="129" spans="1:13" ht="25.35" customHeight="1">
      <c r="A129" s="173" t="s">
        <v>2849</v>
      </c>
      <c r="B129" s="118" t="s">
        <v>2850</v>
      </c>
      <c r="C129" s="173" t="s">
        <v>529</v>
      </c>
      <c r="D129" s="173" t="s">
        <v>1340</v>
      </c>
      <c r="E129" s="173" t="s">
        <v>2851</v>
      </c>
      <c r="F129" s="174" t="s">
        <v>2852</v>
      </c>
      <c r="G129" s="175">
        <v>43839</v>
      </c>
      <c r="H129" s="168">
        <v>43994</v>
      </c>
      <c r="I129" s="177">
        <v>44086</v>
      </c>
      <c r="J129" s="158" t="s">
        <v>2737</v>
      </c>
      <c r="K129" s="159" t="s">
        <v>36</v>
      </c>
      <c r="L129" s="159" t="s">
        <v>28</v>
      </c>
      <c r="M129" s="179">
        <v>5</v>
      </c>
    </row>
    <row r="130" spans="1:13" ht="25.35" customHeight="1">
      <c r="A130" s="173" t="s">
        <v>2853</v>
      </c>
      <c r="B130" s="118" t="s">
        <v>2854</v>
      </c>
      <c r="C130" s="173" t="s">
        <v>529</v>
      </c>
      <c r="D130" s="173" t="s">
        <v>1340</v>
      </c>
      <c r="E130" s="173" t="s">
        <v>2855</v>
      </c>
      <c r="F130" s="174" t="s">
        <v>2856</v>
      </c>
      <c r="G130" s="175">
        <v>43785</v>
      </c>
      <c r="H130" s="168">
        <v>43959</v>
      </c>
      <c r="I130" s="177">
        <v>44051</v>
      </c>
      <c r="J130" s="158" t="s">
        <v>2737</v>
      </c>
      <c r="K130" s="159" t="s">
        <v>36</v>
      </c>
      <c r="L130" s="159" t="s">
        <v>28</v>
      </c>
      <c r="M130" s="179">
        <v>5</v>
      </c>
    </row>
    <row r="131" spans="1:13" ht="25.35" customHeight="1">
      <c r="A131" s="173" t="s">
        <v>2853</v>
      </c>
      <c r="B131" s="118" t="s">
        <v>2857</v>
      </c>
      <c r="C131" s="173" t="s">
        <v>529</v>
      </c>
      <c r="D131" s="173" t="s">
        <v>1340</v>
      </c>
      <c r="E131" s="173" t="s">
        <v>2855</v>
      </c>
      <c r="F131" s="174" t="s">
        <v>2858</v>
      </c>
      <c r="G131" s="175">
        <v>43797</v>
      </c>
      <c r="H131" s="168">
        <v>43959</v>
      </c>
      <c r="I131" s="177">
        <v>44051</v>
      </c>
      <c r="J131" s="158" t="s">
        <v>2737</v>
      </c>
      <c r="K131" s="159" t="s">
        <v>36</v>
      </c>
      <c r="L131" s="159" t="s">
        <v>28</v>
      </c>
      <c r="M131" s="179">
        <v>5</v>
      </c>
    </row>
    <row r="132" spans="1:13" ht="25.35" customHeight="1">
      <c r="A132" s="173" t="s">
        <v>3124</v>
      </c>
      <c r="B132" s="118" t="s">
        <v>3125</v>
      </c>
      <c r="C132" s="173" t="s">
        <v>529</v>
      </c>
      <c r="D132" s="173" t="s">
        <v>606</v>
      </c>
      <c r="E132" s="173" t="s">
        <v>3126</v>
      </c>
      <c r="F132" s="174" t="s">
        <v>3127</v>
      </c>
      <c r="G132" s="175">
        <v>43130</v>
      </c>
      <c r="H132" s="168">
        <v>43301</v>
      </c>
      <c r="I132" s="177">
        <v>43485</v>
      </c>
      <c r="J132" s="158" t="s">
        <v>3128</v>
      </c>
      <c r="K132" s="159" t="s">
        <v>73</v>
      </c>
      <c r="L132" s="159" t="s">
        <v>74</v>
      </c>
      <c r="M132" s="179">
        <v>5</v>
      </c>
    </row>
    <row r="133" spans="1:13" ht="25.35" customHeight="1">
      <c r="A133" s="173" t="s">
        <v>3129</v>
      </c>
      <c r="B133" s="118" t="s">
        <v>3130</v>
      </c>
      <c r="C133" s="173" t="s">
        <v>529</v>
      </c>
      <c r="D133" s="173" t="s">
        <v>3131</v>
      </c>
      <c r="E133" s="173" t="s">
        <v>3132</v>
      </c>
      <c r="F133" s="174" t="s">
        <v>3133</v>
      </c>
      <c r="G133" s="175">
        <v>42928</v>
      </c>
      <c r="H133" s="168">
        <v>43100</v>
      </c>
      <c r="I133" s="177">
        <v>43281</v>
      </c>
      <c r="J133" s="158" t="s">
        <v>3134</v>
      </c>
      <c r="K133" s="159" t="s">
        <v>73</v>
      </c>
      <c r="L133" s="159" t="s">
        <v>74</v>
      </c>
      <c r="M133" s="179">
        <v>5</v>
      </c>
    </row>
    <row r="134" spans="1:13" ht="25.35" customHeight="1">
      <c r="A134" s="173" t="s">
        <v>3135</v>
      </c>
      <c r="B134" s="118" t="s">
        <v>3136</v>
      </c>
      <c r="C134" s="173" t="s">
        <v>529</v>
      </c>
      <c r="D134" s="173" t="s">
        <v>606</v>
      </c>
      <c r="E134" s="173" t="s">
        <v>3137</v>
      </c>
      <c r="F134" s="174" t="s">
        <v>3138</v>
      </c>
      <c r="G134" s="175">
        <v>43041</v>
      </c>
      <c r="H134" s="168">
        <v>42969</v>
      </c>
      <c r="I134" s="177">
        <v>42794</v>
      </c>
      <c r="J134" s="178" t="s">
        <v>3139</v>
      </c>
      <c r="K134" s="159" t="s">
        <v>27</v>
      </c>
      <c r="L134" s="159" t="s">
        <v>28</v>
      </c>
      <c r="M134" s="179"/>
    </row>
    <row r="135" spans="1:13" ht="25.35" customHeight="1">
      <c r="A135" s="173" t="s">
        <v>3140</v>
      </c>
      <c r="B135" s="118" t="s">
        <v>3141</v>
      </c>
      <c r="C135" s="173" t="s">
        <v>529</v>
      </c>
      <c r="D135" s="173" t="s">
        <v>606</v>
      </c>
      <c r="E135" s="173" t="s">
        <v>3142</v>
      </c>
      <c r="F135" s="174" t="s">
        <v>3143</v>
      </c>
      <c r="G135" s="175">
        <v>43012</v>
      </c>
      <c r="H135" s="168">
        <v>43190</v>
      </c>
      <c r="I135" s="177">
        <v>43311</v>
      </c>
      <c r="J135" s="178" t="s">
        <v>3144</v>
      </c>
      <c r="K135" s="159" t="s">
        <v>73</v>
      </c>
      <c r="L135" s="159" t="s">
        <v>74</v>
      </c>
      <c r="M135" s="179">
        <v>5</v>
      </c>
    </row>
  </sheetData>
  <hyperlinks>
    <hyperlink ref="B2" r:id="rId1"/>
    <hyperlink ref="B4" r:id="rId2"/>
    <hyperlink ref="B5" r:id="rId3"/>
    <hyperlink ref="B20" r:id="rId4"/>
    <hyperlink ref="B6" r:id="rId5"/>
    <hyperlink ref="B17" r:id="rId6"/>
    <hyperlink ref="B21" r:id="rId7"/>
    <hyperlink ref="B29" r:id="rId8"/>
    <hyperlink ref="B34" r:id="rId9"/>
    <hyperlink ref="B50" r:id="rId10"/>
    <hyperlink ref="B49" r:id="rId11"/>
    <hyperlink ref="B48" r:id="rId12"/>
    <hyperlink ref="B47" r:id="rId13"/>
    <hyperlink ref="B46" r:id="rId14"/>
    <hyperlink ref="B45" r:id="rId15"/>
    <hyperlink ref="B44" r:id="rId16"/>
    <hyperlink ref="B43" r:id="rId17"/>
    <hyperlink ref="B42" r:id="rId18"/>
    <hyperlink ref="B41" r:id="rId19"/>
    <hyperlink ref="B40" r:id="rId20"/>
    <hyperlink ref="B39" r:id="rId21"/>
    <hyperlink ref="B68" r:id="rId22"/>
    <hyperlink ref="B60" r:id="rId23"/>
    <hyperlink ref="B61" r:id="rId24"/>
    <hyperlink ref="B62" r:id="rId25"/>
    <hyperlink ref="B63" r:id="rId26"/>
    <hyperlink ref="B64" r:id="rId27"/>
    <hyperlink ref="B65" r:id="rId28"/>
    <hyperlink ref="B66" r:id="rId29"/>
    <hyperlink ref="B67" r:id="rId30"/>
    <hyperlink ref="B59" r:id="rId31"/>
    <hyperlink ref="B58" r:id="rId32"/>
    <hyperlink ref="B57" r:id="rId33"/>
    <hyperlink ref="B56" r:id="rId34"/>
    <hyperlink ref="B55" r:id="rId35"/>
    <hyperlink ref="B54" r:id="rId36"/>
    <hyperlink ref="B53" r:id="rId37"/>
    <hyperlink ref="B52" r:id="rId38"/>
    <hyperlink ref="B51" r:id="rId39"/>
    <hyperlink ref="B69" r:id="rId40"/>
    <hyperlink ref="B70" r:id="rId41"/>
    <hyperlink ref="B71" r:id="rId42"/>
    <hyperlink ref="B72" r:id="rId43"/>
    <hyperlink ref="B73" r:id="rId44"/>
    <hyperlink ref="B74" r:id="rId45"/>
    <hyperlink ref="B75" r:id="rId46"/>
    <hyperlink ref="B76" r:id="rId47"/>
    <hyperlink ref="B77" r:id="rId48"/>
    <hyperlink ref="B78" r:id="rId49"/>
    <hyperlink ref="B79" r:id="rId50"/>
    <hyperlink ref="B80" r:id="rId51"/>
    <hyperlink ref="B81" r:id="rId52"/>
    <hyperlink ref="B82" r:id="rId53"/>
    <hyperlink ref="B84" r:id="rId54"/>
    <hyperlink ref="B86" r:id="rId55"/>
    <hyperlink ref="B90" r:id="rId56"/>
    <hyperlink ref="B91" r:id="rId57"/>
    <hyperlink ref="B92" r:id="rId58"/>
    <hyperlink ref="B93" r:id="rId59"/>
    <hyperlink ref="B89" r:id="rId60"/>
    <hyperlink ref="B88" r:id="rId61"/>
    <hyperlink ref="B87" r:id="rId62"/>
    <hyperlink ref="B94" r:id="rId63"/>
    <hyperlink ref="B95" r:id="rId64"/>
    <hyperlink ref="B96" r:id="rId65"/>
    <hyperlink ref="B97" r:id="rId66"/>
    <hyperlink ref="B98" r:id="rId67"/>
    <hyperlink ref="B99" r:id="rId68"/>
    <hyperlink ref="B100" r:id="rId69"/>
    <hyperlink ref="B101" r:id="rId70"/>
    <hyperlink ref="B102" r:id="rId71"/>
    <hyperlink ref="B103" r:id="rId72"/>
    <hyperlink ref="B104" r:id="rId73"/>
    <hyperlink ref="B105" r:id="rId74"/>
    <hyperlink ref="B106" r:id="rId75"/>
    <hyperlink ref="B107" r:id="rId76"/>
    <hyperlink ref="B108" r:id="rId77"/>
    <hyperlink ref="B109" r:id="rId78"/>
    <hyperlink ref="B110" r:id="rId79"/>
    <hyperlink ref="B111" r:id="rId80"/>
    <hyperlink ref="B112" r:id="rId81"/>
    <hyperlink ref="B113" r:id="rId82"/>
    <hyperlink ref="B114" r:id="rId83"/>
    <hyperlink ref="B115" r:id="rId84"/>
    <hyperlink ref="B116" r:id="rId85"/>
    <hyperlink ref="B117" r:id="rId86"/>
    <hyperlink ref="B118" r:id="rId87"/>
    <hyperlink ref="B119" r:id="rId88"/>
    <hyperlink ref="B120" r:id="rId89"/>
    <hyperlink ref="B121" r:id="rId90"/>
    <hyperlink ref="B122" r:id="rId91"/>
    <hyperlink ref="B123" r:id="rId92"/>
    <hyperlink ref="B124" r:id="rId93"/>
    <hyperlink ref="B125" r:id="rId94"/>
    <hyperlink ref="B126" r:id="rId95"/>
    <hyperlink ref="B127" r:id="rId96"/>
    <hyperlink ref="B128" r:id="rId97"/>
    <hyperlink ref="B129" r:id="rId98"/>
    <hyperlink ref="B130" r:id="rId99"/>
    <hyperlink ref="B131" r:id="rId100"/>
    <hyperlink ref="B132" r:id="rId101"/>
    <hyperlink ref="B133" r:id="rId102"/>
    <hyperlink ref="B134" r:id="rId103"/>
    <hyperlink ref="B135" r:id="rId104"/>
    <hyperlink ref="B3" r:id="rId105"/>
  </hyperlinks>
  <pageMargins left="0.7" right="0.7" top="0.75" bottom="0.75" header="0.3" footer="0.3"/>
  <drawing r:id="rId10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9"/>
  </sheetPr>
  <dimension ref="A1:AG201"/>
  <sheetViews>
    <sheetView topLeftCell="U64" zoomScale="85" zoomScaleNormal="85" workbookViewId="0">
      <selection activeCell="Y75" sqref="Y75"/>
    </sheetView>
  </sheetViews>
  <sheetFormatPr baseColWidth="10" defaultColWidth="11.41796875" defaultRowHeight="14.4"/>
  <cols>
    <col min="1" max="1" width="10.578125"/>
    <col min="2" max="3" width="17.41796875" bestFit="1" customWidth="1"/>
    <col min="4" max="4" width="13.578125" bestFit="1" customWidth="1"/>
    <col min="5" max="5" width="4.41796875" customWidth="1"/>
    <col min="6" max="6" width="12.41796875" bestFit="1" customWidth="1"/>
    <col min="7" max="7" width="25.578125" bestFit="1" customWidth="1"/>
    <col min="8" max="8" width="13.578125" bestFit="1" customWidth="1"/>
    <col min="9" max="9" width="19" style="59" bestFit="1" customWidth="1"/>
    <col min="10" max="10" width="16.578125" bestFit="1" customWidth="1"/>
    <col min="11" max="11" width="23.41796875" bestFit="1" customWidth="1"/>
    <col min="12" max="12" width="17.41796875" customWidth="1"/>
    <col min="13" max="13" width="48.578125" customWidth="1"/>
    <col min="14" max="14" width="11.41796875" bestFit="1" customWidth="1"/>
    <col min="15" max="16" width="30" bestFit="1" customWidth="1"/>
    <col min="17" max="18" width="68.578125" bestFit="1" customWidth="1"/>
    <col min="19" max="19" width="104.41796875" bestFit="1" customWidth="1"/>
    <col min="20" max="20" width="106.578125" bestFit="1" customWidth="1"/>
    <col min="22" max="22" width="34.41796875" customWidth="1"/>
    <col min="24" max="24" width="15" bestFit="1" customWidth="1"/>
    <col min="25" max="25" width="51.41796875" bestFit="1" customWidth="1"/>
    <col min="31" max="31" width="11.41796875" customWidth="1"/>
  </cols>
  <sheetData>
    <row r="1" spans="1:33">
      <c r="A1" s="2" t="s">
        <v>0</v>
      </c>
      <c r="B1" s="2" t="s">
        <v>1</v>
      </c>
      <c r="C1" s="2" t="s">
        <v>2</v>
      </c>
      <c r="D1" s="2" t="s">
        <v>3</v>
      </c>
      <c r="E1" s="2" t="s">
        <v>4</v>
      </c>
      <c r="F1" s="2" t="s">
        <v>5</v>
      </c>
      <c r="G1" s="2" t="s">
        <v>6</v>
      </c>
      <c r="H1" s="2" t="s">
        <v>7</v>
      </c>
      <c r="I1" s="6" t="s">
        <v>8</v>
      </c>
      <c r="J1" s="2" t="s">
        <v>9</v>
      </c>
      <c r="K1" s="2" t="s">
        <v>10</v>
      </c>
      <c r="L1" s="2" t="s">
        <v>11</v>
      </c>
      <c r="M1" s="2" t="s">
        <v>12</v>
      </c>
      <c r="N1" s="2" t="s">
        <v>13</v>
      </c>
      <c r="O1" s="40" t="s">
        <v>14</v>
      </c>
      <c r="P1" s="40" t="s">
        <v>15</v>
      </c>
      <c r="Q1" s="40" t="s">
        <v>16</v>
      </c>
      <c r="R1" s="40" t="s">
        <v>17</v>
      </c>
      <c r="S1" s="56" t="s">
        <v>18</v>
      </c>
      <c r="T1" s="56" t="s">
        <v>19</v>
      </c>
    </row>
    <row r="2" spans="1:33">
      <c r="A2" s="1" t="s">
        <v>20</v>
      </c>
      <c r="B2" s="1" t="s">
        <v>21</v>
      </c>
      <c r="C2" s="1" t="s">
        <v>22</v>
      </c>
      <c r="D2" s="1" t="s">
        <v>23</v>
      </c>
      <c r="E2" s="1" t="s">
        <v>23</v>
      </c>
      <c r="F2" s="1"/>
      <c r="G2" s="4">
        <v>39637</v>
      </c>
      <c r="H2" s="28" t="s">
        <v>24</v>
      </c>
      <c r="I2" s="7">
        <v>41148</v>
      </c>
      <c r="J2" s="4">
        <v>41334</v>
      </c>
      <c r="K2" s="1" t="s">
        <v>22</v>
      </c>
      <c r="L2" s="1" t="s">
        <v>22</v>
      </c>
      <c r="M2" s="1" t="s">
        <v>25</v>
      </c>
      <c r="N2" s="4" t="s">
        <v>26</v>
      </c>
      <c r="O2" s="41" t="s">
        <v>27</v>
      </c>
      <c r="P2" s="41" t="s">
        <v>28</v>
      </c>
      <c r="Q2" s="41">
        <f t="shared" ref="Q2:Q10" si="0">DATEDIF(N2,I2, "m")</f>
        <v>6</v>
      </c>
      <c r="R2" s="87">
        <f>Q2/12</f>
        <v>0.5</v>
      </c>
      <c r="S2" s="57">
        <f>DATEDIF(G2,I2,"m")</f>
        <v>49</v>
      </c>
      <c r="T2" s="86">
        <f>S2/12</f>
        <v>4.083333333333333</v>
      </c>
    </row>
    <row r="3" spans="1:33">
      <c r="A3" s="1" t="s">
        <v>20</v>
      </c>
      <c r="B3" s="1" t="s">
        <v>21</v>
      </c>
      <c r="C3" s="1" t="s">
        <v>22</v>
      </c>
      <c r="D3" s="1" t="s">
        <v>29</v>
      </c>
      <c r="E3" s="1" t="s">
        <v>23</v>
      </c>
      <c r="F3" s="1"/>
      <c r="G3" s="4">
        <v>42922</v>
      </c>
      <c r="H3" s="28" t="s">
        <v>30</v>
      </c>
      <c r="I3" s="7">
        <v>41148</v>
      </c>
      <c r="J3" s="4">
        <v>41334</v>
      </c>
      <c r="K3" s="1" t="s">
        <v>22</v>
      </c>
      <c r="L3" s="1" t="s">
        <v>23</v>
      </c>
      <c r="M3" s="1" t="s">
        <v>31</v>
      </c>
      <c r="N3" s="4" t="s">
        <v>26</v>
      </c>
      <c r="O3" s="41" t="s">
        <v>27</v>
      </c>
      <c r="P3" s="41" t="s">
        <v>28</v>
      </c>
      <c r="Q3" s="41">
        <f t="shared" si="0"/>
        <v>6</v>
      </c>
      <c r="R3" s="87">
        <f t="shared" ref="R3:R44" si="1">Q3/12</f>
        <v>0.5</v>
      </c>
      <c r="S3" s="57"/>
      <c r="T3" s="86"/>
    </row>
    <row r="4" spans="1:33">
      <c r="A4" s="1" t="s">
        <v>20</v>
      </c>
      <c r="B4" s="1" t="s">
        <v>21</v>
      </c>
      <c r="C4" s="1" t="s">
        <v>22</v>
      </c>
      <c r="D4" s="1" t="s">
        <v>32</v>
      </c>
      <c r="E4" s="1" t="s">
        <v>23</v>
      </c>
      <c r="F4" s="1"/>
      <c r="G4" s="4">
        <v>42872</v>
      </c>
      <c r="H4" s="28" t="s">
        <v>33</v>
      </c>
      <c r="I4" s="7">
        <v>42198</v>
      </c>
      <c r="J4" s="4">
        <v>42387</v>
      </c>
      <c r="K4" s="1" t="s">
        <v>22</v>
      </c>
      <c r="L4" s="1" t="s">
        <v>23</v>
      </c>
      <c r="M4" s="1" t="s">
        <v>34</v>
      </c>
      <c r="N4" s="4" t="s">
        <v>35</v>
      </c>
      <c r="O4" s="41" t="s">
        <v>36</v>
      </c>
      <c r="P4" s="41" t="s">
        <v>28</v>
      </c>
      <c r="Q4" s="41">
        <f t="shared" si="0"/>
        <v>5</v>
      </c>
      <c r="R4" s="87">
        <f t="shared" si="1"/>
        <v>0.41666666666666669</v>
      </c>
      <c r="S4" s="57"/>
      <c r="T4" s="86"/>
    </row>
    <row r="5" spans="1:33">
      <c r="A5" s="1" t="s">
        <v>20</v>
      </c>
      <c r="B5" s="1" t="s">
        <v>21</v>
      </c>
      <c r="C5" s="1" t="s">
        <v>22</v>
      </c>
      <c r="D5" s="1" t="s">
        <v>37</v>
      </c>
      <c r="E5" s="1" t="s">
        <v>23</v>
      </c>
      <c r="F5" s="1"/>
      <c r="G5" s="4">
        <v>43808</v>
      </c>
      <c r="H5" s="28" t="s">
        <v>38</v>
      </c>
      <c r="I5" s="7">
        <v>41155</v>
      </c>
      <c r="J5" s="4">
        <v>41337</v>
      </c>
      <c r="K5" s="1" t="s">
        <v>22</v>
      </c>
      <c r="L5" s="1" t="s">
        <v>22</v>
      </c>
      <c r="M5" s="1" t="s">
        <v>39</v>
      </c>
      <c r="N5" s="4">
        <v>41032</v>
      </c>
      <c r="O5" s="41" t="s">
        <v>27</v>
      </c>
      <c r="P5" s="41" t="s">
        <v>28</v>
      </c>
      <c r="Q5" s="41">
        <f t="shared" si="0"/>
        <v>4</v>
      </c>
      <c r="R5" s="87">
        <f t="shared" si="1"/>
        <v>0.33333333333333331</v>
      </c>
      <c r="S5" s="57"/>
      <c r="T5" s="86"/>
    </row>
    <row r="6" spans="1:33">
      <c r="A6" s="1" t="s">
        <v>20</v>
      </c>
      <c r="B6" s="1" t="s">
        <v>21</v>
      </c>
      <c r="C6" s="1" t="s">
        <v>22</v>
      </c>
      <c r="D6" s="1" t="s">
        <v>40</v>
      </c>
      <c r="E6" s="1" t="s">
        <v>23</v>
      </c>
      <c r="F6" s="1"/>
      <c r="G6" s="4">
        <v>38392</v>
      </c>
      <c r="H6" s="28" t="s">
        <v>41</v>
      </c>
      <c r="I6" s="7">
        <v>42632</v>
      </c>
      <c r="J6" s="4">
        <v>42814</v>
      </c>
      <c r="K6" s="1" t="s">
        <v>22</v>
      </c>
      <c r="L6" s="1" t="s">
        <v>23</v>
      </c>
      <c r="M6" s="1" t="s">
        <v>31</v>
      </c>
      <c r="N6" s="4" t="s">
        <v>42</v>
      </c>
      <c r="O6" s="41" t="s">
        <v>27</v>
      </c>
      <c r="P6" s="41" t="s">
        <v>28</v>
      </c>
      <c r="Q6" s="41">
        <f t="shared" si="0"/>
        <v>5</v>
      </c>
      <c r="R6" s="87">
        <f t="shared" si="1"/>
        <v>0.41666666666666669</v>
      </c>
      <c r="S6" s="57">
        <f>DATEDIF(G6,I6,"m")</f>
        <v>139</v>
      </c>
      <c r="T6" s="86">
        <f>S6/12</f>
        <v>11.583333333333334</v>
      </c>
      <c r="V6" s="36" t="s">
        <v>14</v>
      </c>
      <c r="W6" s="34"/>
      <c r="X6" s="37"/>
      <c r="Y6" s="46" t="s">
        <v>43</v>
      </c>
      <c r="Z6" s="55" t="s">
        <v>44</v>
      </c>
      <c r="AA6" s="46" t="s">
        <v>45</v>
      </c>
      <c r="AE6" s="46" t="s">
        <v>18</v>
      </c>
      <c r="AF6" s="55" t="s">
        <v>44</v>
      </c>
      <c r="AG6" s="46" t="s">
        <v>45</v>
      </c>
    </row>
    <row r="7" spans="1:33" ht="28.8">
      <c r="A7" s="1" t="s">
        <v>20</v>
      </c>
      <c r="B7" s="1" t="s">
        <v>21</v>
      </c>
      <c r="C7" t="s">
        <v>46</v>
      </c>
      <c r="D7" s="1" t="s">
        <v>47</v>
      </c>
      <c r="E7" s="1" t="s">
        <v>23</v>
      </c>
      <c r="F7" s="1"/>
      <c r="G7" s="4">
        <v>39927</v>
      </c>
      <c r="H7" s="28" t="s">
        <v>48</v>
      </c>
      <c r="I7" s="7">
        <v>42251</v>
      </c>
      <c r="J7" s="4">
        <v>42433</v>
      </c>
      <c r="K7" s="1" t="s">
        <v>23</v>
      </c>
      <c r="L7" s="1" t="s">
        <v>23</v>
      </c>
      <c r="M7" s="1" t="s">
        <v>49</v>
      </c>
      <c r="N7" s="4">
        <v>42158</v>
      </c>
      <c r="O7" s="41" t="s">
        <v>36</v>
      </c>
      <c r="P7" s="41" t="s">
        <v>28</v>
      </c>
      <c r="Q7" s="41">
        <f t="shared" si="0"/>
        <v>3</v>
      </c>
      <c r="R7" s="87">
        <f t="shared" si="1"/>
        <v>0.25</v>
      </c>
      <c r="S7" s="57">
        <f>DATEDIF(G7,I7,"m")</f>
        <v>76</v>
      </c>
      <c r="T7" s="86">
        <f>S7/12</f>
        <v>6.333333333333333</v>
      </c>
      <c r="V7" s="5" t="s">
        <v>540</v>
      </c>
      <c r="W7" s="1">
        <f>COUNTIF($O$2:$O$44,V7)</f>
        <v>0</v>
      </c>
      <c r="X7" s="38"/>
      <c r="Y7" s="49" t="s">
        <v>50</v>
      </c>
      <c r="Z7" s="51">
        <f>COUNTIF($Q$2:$Q$44,"&lt;4")</f>
        <v>2</v>
      </c>
      <c r="AA7" s="24">
        <f>Z7</f>
        <v>2</v>
      </c>
      <c r="AE7" s="49" t="s">
        <v>51</v>
      </c>
      <c r="AF7" s="51">
        <f>COUNTIF($S$2:$S$44,"&lt;21")</f>
        <v>4</v>
      </c>
      <c r="AG7" s="24">
        <f>AF7</f>
        <v>4</v>
      </c>
    </row>
    <row r="8" spans="1:33">
      <c r="A8" s="1" t="s">
        <v>20</v>
      </c>
      <c r="B8" s="1" t="s">
        <v>21</v>
      </c>
      <c r="C8" s="1" t="s">
        <v>22</v>
      </c>
      <c r="D8" s="1" t="s">
        <v>52</v>
      </c>
      <c r="E8" s="1" t="s">
        <v>23</v>
      </c>
      <c r="F8" s="1"/>
      <c r="G8" s="4">
        <v>39616</v>
      </c>
      <c r="H8" s="28" t="s">
        <v>53</v>
      </c>
      <c r="I8" s="7">
        <v>41215</v>
      </c>
      <c r="J8" s="4">
        <v>41397</v>
      </c>
      <c r="K8" s="1" t="s">
        <v>23</v>
      </c>
      <c r="L8" s="1" t="s">
        <v>23</v>
      </c>
      <c r="M8" s="1" t="s">
        <v>54</v>
      </c>
      <c r="N8" s="4">
        <v>41004</v>
      </c>
      <c r="O8" s="41" t="s">
        <v>27</v>
      </c>
      <c r="P8" s="41" t="s">
        <v>28</v>
      </c>
      <c r="Q8" s="41">
        <f t="shared" si="0"/>
        <v>6</v>
      </c>
      <c r="R8" s="87">
        <f t="shared" si="1"/>
        <v>0.5</v>
      </c>
      <c r="S8" s="57">
        <f>DATEDIF(G8,I8,"m")</f>
        <v>52</v>
      </c>
      <c r="T8" s="86">
        <f>S8/12</f>
        <v>4.333333333333333</v>
      </c>
      <c r="V8" s="5" t="s">
        <v>55</v>
      </c>
      <c r="W8" s="1">
        <f t="shared" ref="W8:W13" si="2">COUNTIF($O$2:$O$44,V8)</f>
        <v>1</v>
      </c>
      <c r="X8" s="38"/>
      <c r="Y8" s="41" t="s">
        <v>56</v>
      </c>
      <c r="Z8" s="51">
        <f>COUNTIF($Q$2:$Q$44,"&lt;7")</f>
        <v>32</v>
      </c>
      <c r="AA8" s="24">
        <f>Z8-Z7</f>
        <v>30</v>
      </c>
      <c r="AE8" s="41" t="s">
        <v>57</v>
      </c>
      <c r="AF8" s="51">
        <f>COUNTIF($S$2:$S$44,"&lt;41")</f>
        <v>7</v>
      </c>
      <c r="AG8" s="24">
        <f>AF8-AF7</f>
        <v>3</v>
      </c>
    </row>
    <row r="9" spans="1:33">
      <c r="A9" s="1" t="s">
        <v>20</v>
      </c>
      <c r="B9" s="1" t="s">
        <v>21</v>
      </c>
      <c r="C9" s="1" t="s">
        <v>22</v>
      </c>
      <c r="D9" s="1" t="s">
        <v>23</v>
      </c>
      <c r="E9" s="1" t="s">
        <v>23</v>
      </c>
      <c r="F9" s="1"/>
      <c r="G9" s="4">
        <v>42193</v>
      </c>
      <c r="H9" s="28" t="s">
        <v>58</v>
      </c>
      <c r="I9" s="7">
        <v>41687</v>
      </c>
      <c r="J9" s="4">
        <v>41869</v>
      </c>
      <c r="K9" s="1" t="s">
        <v>22</v>
      </c>
      <c r="L9" s="1" t="s">
        <v>22</v>
      </c>
      <c r="M9" s="1" t="s">
        <v>39</v>
      </c>
      <c r="N9" s="4" t="s">
        <v>59</v>
      </c>
      <c r="O9" s="41" t="s">
        <v>27</v>
      </c>
      <c r="P9" s="41" t="s">
        <v>28</v>
      </c>
      <c r="Q9" s="41">
        <f t="shared" si="0"/>
        <v>5</v>
      </c>
      <c r="R9" s="87">
        <f t="shared" si="1"/>
        <v>0.41666666666666669</v>
      </c>
      <c r="S9" s="57"/>
      <c r="T9" s="86"/>
      <c r="V9" s="5" t="s">
        <v>60</v>
      </c>
      <c r="W9" s="1">
        <f t="shared" si="2"/>
        <v>0</v>
      </c>
      <c r="X9" s="38"/>
      <c r="Y9" s="41" t="s">
        <v>61</v>
      </c>
      <c r="Z9" s="51">
        <f>COUNTIF($Q$2:$Q$44,"&lt;10")</f>
        <v>36</v>
      </c>
      <c r="AA9" s="24">
        <f>Z9-Z8</f>
        <v>4</v>
      </c>
      <c r="AE9" s="41" t="s">
        <v>62</v>
      </c>
      <c r="AF9" s="51">
        <f>COUNTIF($S$2:$S$44,"&lt;61")</f>
        <v>11</v>
      </c>
      <c r="AG9" s="24">
        <f>AF9-AF8</f>
        <v>4</v>
      </c>
    </row>
    <row r="10" spans="1:33">
      <c r="A10" s="1" t="s">
        <v>20</v>
      </c>
      <c r="B10" s="1" t="s">
        <v>21</v>
      </c>
      <c r="C10" t="s">
        <v>63</v>
      </c>
      <c r="D10" s="1" t="s">
        <v>64</v>
      </c>
      <c r="E10" s="1" t="s">
        <v>23</v>
      </c>
      <c r="F10" s="1"/>
      <c r="G10" s="4">
        <v>40080</v>
      </c>
      <c r="H10" s="28" t="s">
        <v>65</v>
      </c>
      <c r="I10" s="7">
        <v>42745</v>
      </c>
      <c r="J10" s="4">
        <v>42926</v>
      </c>
      <c r="K10" s="1" t="s">
        <v>23</v>
      </c>
      <c r="L10" s="1" t="s">
        <v>23</v>
      </c>
      <c r="M10" s="1" t="s">
        <v>31</v>
      </c>
      <c r="N10" s="4" t="s">
        <v>66</v>
      </c>
      <c r="O10" s="41" t="s">
        <v>27</v>
      </c>
      <c r="P10" s="41" t="s">
        <v>28</v>
      </c>
      <c r="Q10" s="41">
        <f t="shared" si="0"/>
        <v>6</v>
      </c>
      <c r="R10" s="87">
        <f t="shared" si="1"/>
        <v>0.5</v>
      </c>
      <c r="S10" s="57">
        <f>DATEDIF(G10,I10,"m")</f>
        <v>87</v>
      </c>
      <c r="T10" s="86">
        <f>S10/12</f>
        <v>7.25</v>
      </c>
      <c r="V10" s="5" t="s">
        <v>36</v>
      </c>
      <c r="W10" s="1">
        <f t="shared" si="2"/>
        <v>3</v>
      </c>
      <c r="X10" s="38"/>
      <c r="Y10" s="41" t="s">
        <v>67</v>
      </c>
      <c r="Z10" s="41">
        <f>COUNTIF($Q$2:$Q$44,"&lt;13")</f>
        <v>40</v>
      </c>
      <c r="AA10" s="24">
        <f>Z10-Z9</f>
        <v>4</v>
      </c>
      <c r="AE10" s="50" t="s">
        <v>68</v>
      </c>
      <c r="AF10" s="50">
        <f>COUNTIF($S$2:$S$44,"&lt;81")</f>
        <v>12</v>
      </c>
      <c r="AG10" s="47">
        <f>AF10-AF9</f>
        <v>1</v>
      </c>
    </row>
    <row r="11" spans="1:33">
      <c r="A11" s="1" t="s">
        <v>20</v>
      </c>
      <c r="B11" s="1" t="s">
        <v>21</v>
      </c>
      <c r="C11" t="s">
        <v>69</v>
      </c>
      <c r="D11" s="1" t="s">
        <v>23</v>
      </c>
      <c r="E11" s="1" t="s">
        <v>23</v>
      </c>
      <c r="F11" s="1"/>
      <c r="G11" s="1" t="s">
        <v>23</v>
      </c>
      <c r="H11" s="28" t="s">
        <v>70</v>
      </c>
      <c r="I11" s="7" t="s">
        <v>71</v>
      </c>
      <c r="J11" s="4">
        <v>42460</v>
      </c>
      <c r="K11" s="1" t="s">
        <v>22</v>
      </c>
      <c r="L11" s="1" t="s">
        <v>23</v>
      </c>
      <c r="M11" s="1" t="s">
        <v>72</v>
      </c>
      <c r="N11" s="4">
        <v>42008</v>
      </c>
      <c r="O11" s="41" t="s">
        <v>73</v>
      </c>
      <c r="P11" s="41" t="s">
        <v>74</v>
      </c>
      <c r="Q11" s="41"/>
      <c r="R11" s="87"/>
      <c r="S11" s="57"/>
      <c r="T11" s="86"/>
      <c r="V11" s="5" t="s">
        <v>75</v>
      </c>
      <c r="W11" s="1">
        <f t="shared" si="2"/>
        <v>4</v>
      </c>
      <c r="X11" s="38"/>
      <c r="Y11" s="47" t="s">
        <v>76</v>
      </c>
      <c r="Z11" s="52">
        <f>COUNTIF($Q$2:$Q$44,"&gt;12")</f>
        <v>0</v>
      </c>
      <c r="AA11" s="24"/>
      <c r="AE11" s="24" t="s">
        <v>77</v>
      </c>
      <c r="AF11" s="47">
        <f>COUNTIF($S$2:$S$44,"&lt;101")</f>
        <v>13</v>
      </c>
      <c r="AG11" s="24">
        <f>AF11-AF10</f>
        <v>1</v>
      </c>
    </row>
    <row r="12" spans="1:33">
      <c r="A12" s="1" t="s">
        <v>20</v>
      </c>
      <c r="B12" s="1" t="s">
        <v>21</v>
      </c>
      <c r="C12" s="1" t="s">
        <v>22</v>
      </c>
      <c r="D12" s="1" t="s">
        <v>23</v>
      </c>
      <c r="E12" s="1" t="s">
        <v>23</v>
      </c>
      <c r="F12" s="1"/>
      <c r="G12" s="1" t="s">
        <v>23</v>
      </c>
      <c r="H12" s="28" t="s">
        <v>78</v>
      </c>
      <c r="I12" s="8" t="s">
        <v>23</v>
      </c>
      <c r="J12" s="4" t="s">
        <v>23</v>
      </c>
      <c r="K12" s="1" t="s">
        <v>22</v>
      </c>
      <c r="L12" s="1" t="s">
        <v>23</v>
      </c>
      <c r="M12" s="1" t="s">
        <v>79</v>
      </c>
      <c r="N12" s="4">
        <v>42651</v>
      </c>
      <c r="O12" s="41" t="s">
        <v>73</v>
      </c>
      <c r="P12" s="41" t="s">
        <v>74</v>
      </c>
      <c r="Q12" s="41"/>
      <c r="R12" s="87"/>
      <c r="S12" s="57"/>
      <c r="T12" s="86"/>
      <c r="V12" s="5" t="s">
        <v>27</v>
      </c>
      <c r="W12" s="1">
        <f t="shared" si="2"/>
        <v>20</v>
      </c>
      <c r="Y12" s="35" t="s">
        <v>80</v>
      </c>
      <c r="Z12" s="53"/>
      <c r="AA12" s="54">
        <f>SUM(AA7:AA11)</f>
        <v>40</v>
      </c>
      <c r="AE12" s="41" t="s">
        <v>81</v>
      </c>
      <c r="AF12" s="48">
        <f>COUNTIF($S$2:$S$44,"&lt;121")</f>
        <v>14</v>
      </c>
      <c r="AG12" s="81">
        <f>AF12-AF11</f>
        <v>1</v>
      </c>
    </row>
    <row r="13" spans="1:33">
      <c r="A13" s="1" t="s">
        <v>20</v>
      </c>
      <c r="B13" s="1" t="s">
        <v>21</v>
      </c>
      <c r="C13" s="1" t="s">
        <v>22</v>
      </c>
      <c r="D13" s="1" t="s">
        <v>23</v>
      </c>
      <c r="E13" s="1" t="s">
        <v>23</v>
      </c>
      <c r="F13" s="1"/>
      <c r="G13" s="1" t="s">
        <v>23</v>
      </c>
      <c r="H13" s="1" t="s">
        <v>82</v>
      </c>
      <c r="I13" s="8" t="s">
        <v>23</v>
      </c>
      <c r="J13" s="4" t="s">
        <v>23</v>
      </c>
      <c r="K13" s="1" t="s">
        <v>22</v>
      </c>
      <c r="L13" s="1" t="s">
        <v>23</v>
      </c>
      <c r="M13" s="1" t="s">
        <v>83</v>
      </c>
      <c r="N13" s="4">
        <v>42714</v>
      </c>
      <c r="O13" s="41" t="s">
        <v>73</v>
      </c>
      <c r="P13" s="41" t="s">
        <v>74</v>
      </c>
      <c r="Q13" s="41"/>
      <c r="R13" s="87"/>
      <c r="S13" s="57"/>
      <c r="T13" s="86"/>
      <c r="V13" s="5" t="s">
        <v>73</v>
      </c>
      <c r="W13" s="1">
        <f t="shared" si="2"/>
        <v>15</v>
      </c>
      <c r="AE13" s="41" t="s">
        <v>84</v>
      </c>
      <c r="AF13" s="48">
        <f>COUNTIF($Q$2:$Q$44,"&gt;120")</f>
        <v>0</v>
      </c>
      <c r="AG13" s="81">
        <f>AF13</f>
        <v>0</v>
      </c>
    </row>
    <row r="14" spans="1:33">
      <c r="A14" s="1" t="s">
        <v>20</v>
      </c>
      <c r="B14" s="1" t="s">
        <v>21</v>
      </c>
      <c r="C14" s="1" t="s">
        <v>22</v>
      </c>
      <c r="D14" s="1" t="s">
        <v>23</v>
      </c>
      <c r="E14" s="1" t="s">
        <v>23</v>
      </c>
      <c r="F14" s="1"/>
      <c r="G14" s="1" t="s">
        <v>23</v>
      </c>
      <c r="H14" s="28" t="s">
        <v>85</v>
      </c>
      <c r="I14" s="7">
        <v>41316</v>
      </c>
      <c r="J14" s="4">
        <v>41498</v>
      </c>
      <c r="K14" s="1" t="s">
        <v>22</v>
      </c>
      <c r="L14" s="1" t="s">
        <v>23</v>
      </c>
      <c r="M14" s="1" t="s">
        <v>31</v>
      </c>
      <c r="N14" s="4" t="s">
        <v>86</v>
      </c>
      <c r="O14" s="41" t="s">
        <v>27</v>
      </c>
      <c r="P14" s="41" t="s">
        <v>28</v>
      </c>
      <c r="Q14" s="41">
        <f>DATEDIF(N14,I14, "m")</f>
        <v>5</v>
      </c>
      <c r="R14" s="87">
        <f t="shared" si="1"/>
        <v>0.41666666666666669</v>
      </c>
      <c r="S14" s="57"/>
      <c r="T14" s="86"/>
      <c r="V14" s="36" t="s">
        <v>80</v>
      </c>
      <c r="W14" s="39">
        <f>SUM(W7:W13)</f>
        <v>43</v>
      </c>
      <c r="AE14" s="83" t="s">
        <v>80</v>
      </c>
      <c r="AF14" s="84"/>
      <c r="AG14" s="85">
        <f>SUM(AG7:AG13)</f>
        <v>14</v>
      </c>
    </row>
    <row r="15" spans="1:33">
      <c r="A15" s="1" t="s">
        <v>20</v>
      </c>
      <c r="B15" s="1" t="s">
        <v>21</v>
      </c>
      <c r="C15" s="1" t="s">
        <v>22</v>
      </c>
      <c r="D15" s="1" t="s">
        <v>23</v>
      </c>
      <c r="E15" s="1" t="s">
        <v>23</v>
      </c>
      <c r="F15" s="1"/>
      <c r="G15" s="1" t="s">
        <v>23</v>
      </c>
      <c r="H15" s="28" t="s">
        <v>87</v>
      </c>
      <c r="I15" s="7">
        <v>42292</v>
      </c>
      <c r="J15" s="4">
        <v>42475</v>
      </c>
      <c r="K15" s="1" t="s">
        <v>22</v>
      </c>
      <c r="L15" s="1" t="s">
        <v>23</v>
      </c>
      <c r="M15" t="s">
        <v>88</v>
      </c>
      <c r="N15" s="4" t="s">
        <v>89</v>
      </c>
      <c r="O15" s="41" t="s">
        <v>36</v>
      </c>
      <c r="P15" s="41" t="s">
        <v>28</v>
      </c>
      <c r="Q15" s="41">
        <f>DATEDIF(N15,I15, "m")</f>
        <v>6</v>
      </c>
      <c r="R15" s="87">
        <f t="shared" si="1"/>
        <v>0.5</v>
      </c>
      <c r="S15" s="57"/>
      <c r="T15" s="86"/>
      <c r="Y15" s="46" t="s">
        <v>90</v>
      </c>
      <c r="Z15" s="55" t="s">
        <v>44</v>
      </c>
      <c r="AA15" s="46" t="s">
        <v>45</v>
      </c>
    </row>
    <row r="16" spans="1:33">
      <c r="A16" s="1" t="s">
        <v>20</v>
      </c>
      <c r="B16" s="1" t="s">
        <v>21</v>
      </c>
      <c r="C16" s="1" t="s">
        <v>22</v>
      </c>
      <c r="D16" s="1" t="s">
        <v>23</v>
      </c>
      <c r="E16" s="1" t="s">
        <v>23</v>
      </c>
      <c r="F16" s="1"/>
      <c r="G16" s="1" t="s">
        <v>23</v>
      </c>
      <c r="H16" s="28" t="s">
        <v>91</v>
      </c>
      <c r="I16" s="7">
        <v>42328</v>
      </c>
      <c r="J16" s="4">
        <v>42510</v>
      </c>
      <c r="K16" s="1" t="s">
        <v>22</v>
      </c>
      <c r="L16" s="1" t="s">
        <v>22</v>
      </c>
      <c r="M16" s="1" t="s">
        <v>92</v>
      </c>
      <c r="N16" s="4" t="s">
        <v>93</v>
      </c>
      <c r="O16" s="41" t="s">
        <v>73</v>
      </c>
      <c r="P16" s="41" t="s">
        <v>74</v>
      </c>
      <c r="Q16" s="41">
        <f>DATEDIF(N16,I16, "m")</f>
        <v>5</v>
      </c>
      <c r="R16" s="87">
        <f t="shared" si="1"/>
        <v>0.41666666666666669</v>
      </c>
      <c r="S16" s="57"/>
      <c r="T16" s="86"/>
      <c r="V16" s="36" t="s">
        <v>15</v>
      </c>
      <c r="W16" s="34"/>
      <c r="Y16" s="49" t="s">
        <v>94</v>
      </c>
      <c r="Z16" s="51">
        <f>COUNTIF($R$2:$R$44,"&lt;0,2")</f>
        <v>0</v>
      </c>
      <c r="AA16" s="24">
        <f>Z16</f>
        <v>0</v>
      </c>
    </row>
    <row r="17" spans="1:33">
      <c r="A17" s="1" t="s">
        <v>20</v>
      </c>
      <c r="B17" s="1" t="s">
        <v>21</v>
      </c>
      <c r="C17" s="1" t="s">
        <v>22</v>
      </c>
      <c r="D17" s="1" t="s">
        <v>23</v>
      </c>
      <c r="E17" s="1" t="s">
        <v>23</v>
      </c>
      <c r="F17" s="1"/>
      <c r="G17" s="1" t="s">
        <v>23</v>
      </c>
      <c r="H17" s="28" t="s">
        <v>95</v>
      </c>
      <c r="I17" s="7">
        <v>42807</v>
      </c>
      <c r="J17" s="4">
        <v>42989</v>
      </c>
      <c r="K17" s="1" t="s">
        <v>22</v>
      </c>
      <c r="L17" s="1" t="s">
        <v>23</v>
      </c>
      <c r="M17" s="1" t="s">
        <v>96</v>
      </c>
      <c r="N17" s="4">
        <v>42713</v>
      </c>
      <c r="O17" s="41" t="s">
        <v>27</v>
      </c>
      <c r="P17" s="41" t="s">
        <v>28</v>
      </c>
      <c r="Q17" s="41">
        <f t="shared" ref="Q17:Q33" si="3">DATEDIF(N17,I17, "m")</f>
        <v>3</v>
      </c>
      <c r="R17" s="87">
        <f t="shared" si="1"/>
        <v>0.25</v>
      </c>
      <c r="S17" s="57"/>
      <c r="T17" s="86"/>
      <c r="V17" s="5" t="s">
        <v>28</v>
      </c>
      <c r="W17" s="1">
        <f>COUNTIF($P$2:$P$44,V17)</f>
        <v>23</v>
      </c>
      <c r="Y17" s="41" t="s">
        <v>97</v>
      </c>
      <c r="Z17" s="51">
        <f>COUNTIF($R$2:$R$44,"&lt;0,4")</f>
        <v>3</v>
      </c>
      <c r="AA17" s="24">
        <f>Z17-Z16</f>
        <v>3</v>
      </c>
      <c r="AE17" s="46" t="s">
        <v>19</v>
      </c>
      <c r="AF17" s="55" t="s">
        <v>44</v>
      </c>
      <c r="AG17" s="46" t="s">
        <v>45</v>
      </c>
    </row>
    <row r="18" spans="1:33">
      <c r="A18" s="1" t="s">
        <v>20</v>
      </c>
      <c r="B18" s="1" t="s">
        <v>21</v>
      </c>
      <c r="C18" s="1" t="s">
        <v>22</v>
      </c>
      <c r="D18" s="1" t="s">
        <v>23</v>
      </c>
      <c r="E18" s="1" t="s">
        <v>23</v>
      </c>
      <c r="F18" s="1"/>
      <c r="G18" s="1" t="s">
        <v>23</v>
      </c>
      <c r="H18" s="28" t="s">
        <v>98</v>
      </c>
      <c r="I18" s="7">
        <v>42366</v>
      </c>
      <c r="J18" s="4">
        <v>42548</v>
      </c>
      <c r="K18" s="1" t="s">
        <v>23</v>
      </c>
      <c r="L18" s="1" t="s">
        <v>23</v>
      </c>
      <c r="M18" s="1" t="s">
        <v>92</v>
      </c>
      <c r="N18" s="4" t="s">
        <v>99</v>
      </c>
      <c r="O18" s="41" t="s">
        <v>73</v>
      </c>
      <c r="P18" s="41" t="s">
        <v>74</v>
      </c>
      <c r="Q18" s="41">
        <f>DATEDIF(N18,I18, "m")</f>
        <v>5</v>
      </c>
      <c r="R18" s="87">
        <f t="shared" si="1"/>
        <v>0.41666666666666669</v>
      </c>
      <c r="S18" s="57"/>
      <c r="T18" s="86"/>
      <c r="V18" s="5" t="s">
        <v>74</v>
      </c>
      <c r="W18" s="1">
        <f>COUNTIF($P$2:$P$44,V18)</f>
        <v>16</v>
      </c>
      <c r="Y18" s="41" t="s">
        <v>100</v>
      </c>
      <c r="Z18" s="51">
        <f>COUNTIF($R$2:$R$44,"&lt;0,6")</f>
        <v>33</v>
      </c>
      <c r="AA18" s="24">
        <f>Z18-Z17</f>
        <v>30</v>
      </c>
      <c r="AE18" s="49" t="s">
        <v>101</v>
      </c>
      <c r="AF18" s="51">
        <f>COUNTIF($T$2:$T$44,"&lt;2")</f>
        <v>4</v>
      </c>
      <c r="AG18" s="24">
        <f>AF18</f>
        <v>4</v>
      </c>
    </row>
    <row r="19" spans="1:33">
      <c r="A19" s="1" t="s">
        <v>20</v>
      </c>
      <c r="B19" s="1" t="s">
        <v>21</v>
      </c>
      <c r="C19" s="1" t="s">
        <v>22</v>
      </c>
      <c r="D19" s="1" t="s">
        <v>23</v>
      </c>
      <c r="E19" s="1" t="s">
        <v>23</v>
      </c>
      <c r="F19" s="1"/>
      <c r="G19" s="1" t="s">
        <v>23</v>
      </c>
      <c r="H19" s="28" t="s">
        <v>102</v>
      </c>
      <c r="I19" s="7">
        <v>41369</v>
      </c>
      <c r="J19" s="4">
        <v>41551</v>
      </c>
      <c r="K19" s="1" t="s">
        <v>22</v>
      </c>
      <c r="L19" s="1" t="s">
        <v>22</v>
      </c>
      <c r="M19" s="5" t="s">
        <v>79</v>
      </c>
      <c r="N19" s="4">
        <v>41039</v>
      </c>
      <c r="O19" s="41" t="s">
        <v>73</v>
      </c>
      <c r="P19" s="41" t="s">
        <v>74</v>
      </c>
      <c r="Q19" s="41">
        <f t="shared" si="3"/>
        <v>10</v>
      </c>
      <c r="R19" s="87">
        <f t="shared" si="1"/>
        <v>0.83333333333333337</v>
      </c>
      <c r="S19" s="57"/>
      <c r="T19" s="86"/>
      <c r="V19" s="5" t="s">
        <v>103</v>
      </c>
      <c r="W19" s="1">
        <f>COUNTIF($P$2:$P$44,V19)</f>
        <v>4</v>
      </c>
      <c r="Y19" s="41" t="s">
        <v>104</v>
      </c>
      <c r="Z19" s="51">
        <f>COUNTIF($R$2:$R$44,"&lt;0,8")</f>
        <v>36</v>
      </c>
      <c r="AA19" s="24">
        <f>Z19-Z18</f>
        <v>3</v>
      </c>
      <c r="AE19" s="41" t="s">
        <v>105</v>
      </c>
      <c r="AF19" s="51">
        <f>COUNTIF($T$2:$T$44,"&lt;4")</f>
        <v>8</v>
      </c>
      <c r="AG19" s="24">
        <f>AF19-AF18</f>
        <v>4</v>
      </c>
    </row>
    <row r="20" spans="1:33">
      <c r="A20" s="1" t="s">
        <v>20</v>
      </c>
      <c r="B20" s="1" t="s">
        <v>21</v>
      </c>
      <c r="C20" s="1" t="s">
        <v>22</v>
      </c>
      <c r="D20" s="1" t="s">
        <v>23</v>
      </c>
      <c r="E20" s="1" t="s">
        <v>23</v>
      </c>
      <c r="F20" s="1"/>
      <c r="G20" s="1" t="s">
        <v>23</v>
      </c>
      <c r="H20" s="28" t="s">
        <v>106</v>
      </c>
      <c r="I20" s="7">
        <v>42366</v>
      </c>
      <c r="J20" s="4">
        <v>42548</v>
      </c>
      <c r="K20" s="1" t="s">
        <v>107</v>
      </c>
      <c r="L20" s="1" t="s">
        <v>22</v>
      </c>
      <c r="M20" s="1" t="s">
        <v>108</v>
      </c>
      <c r="N20" s="4" t="s">
        <v>99</v>
      </c>
      <c r="O20" s="41" t="s">
        <v>27</v>
      </c>
      <c r="P20" s="41" t="s">
        <v>28</v>
      </c>
      <c r="Q20" s="41">
        <f>DATEDIF(N20,I20, "m")</f>
        <v>5</v>
      </c>
      <c r="R20" s="87">
        <f t="shared" si="1"/>
        <v>0.41666666666666669</v>
      </c>
      <c r="S20" s="57"/>
      <c r="T20" s="86"/>
      <c r="V20" s="5" t="s">
        <v>0</v>
      </c>
      <c r="W20" s="1">
        <f>COUNTIF($P$2:$P$44,V20)</f>
        <v>0</v>
      </c>
      <c r="Y20" s="47" t="s">
        <v>109</v>
      </c>
      <c r="Z20" s="88">
        <f>COUNTIF($R$2:$R$44,"&gt;0,7")</f>
        <v>4</v>
      </c>
      <c r="AA20" s="24">
        <f>Z20</f>
        <v>4</v>
      </c>
      <c r="AE20" s="41" t="s">
        <v>56</v>
      </c>
      <c r="AF20" s="51">
        <f>COUNTIF($T$2:$T$44,"&lt;6")</f>
        <v>11</v>
      </c>
      <c r="AG20" s="24">
        <f>AF20-AF19</f>
        <v>3</v>
      </c>
    </row>
    <row r="21" spans="1:33">
      <c r="A21" s="1" t="s">
        <v>20</v>
      </c>
      <c r="B21" s="1" t="s">
        <v>21</v>
      </c>
      <c r="C21" s="1" t="s">
        <v>22</v>
      </c>
      <c r="D21" s="1" t="s">
        <v>110</v>
      </c>
      <c r="E21" s="1" t="s">
        <v>23</v>
      </c>
      <c r="F21" s="1"/>
      <c r="G21" s="4">
        <v>39937</v>
      </c>
      <c r="H21" s="28" t="s">
        <v>111</v>
      </c>
      <c r="I21" s="7">
        <v>41369</v>
      </c>
      <c r="J21" s="4">
        <v>41551</v>
      </c>
      <c r="K21" s="1" t="s">
        <v>23</v>
      </c>
      <c r="L21" s="1" t="s">
        <v>23</v>
      </c>
      <c r="M21" s="1" t="s">
        <v>22</v>
      </c>
      <c r="N21" s="4">
        <v>41039</v>
      </c>
      <c r="O21" s="42" t="s">
        <v>55</v>
      </c>
      <c r="P21" s="41" t="s">
        <v>74</v>
      </c>
      <c r="Q21" s="41">
        <f t="shared" si="3"/>
        <v>10</v>
      </c>
      <c r="R21" s="87">
        <f t="shared" si="1"/>
        <v>0.83333333333333337</v>
      </c>
      <c r="S21" s="57">
        <f>DATEDIF(G21,I21,"m")</f>
        <v>47</v>
      </c>
      <c r="T21" s="86">
        <f>S21/12</f>
        <v>3.9166666666666665</v>
      </c>
      <c r="V21" s="36" t="s">
        <v>80</v>
      </c>
      <c r="W21" s="39">
        <f>SUM(W17:W20)</f>
        <v>43</v>
      </c>
      <c r="Y21" s="35" t="s">
        <v>80</v>
      </c>
      <c r="Z21" s="53"/>
      <c r="AA21" s="54">
        <f>SUM(AA16:AA20)</f>
        <v>40</v>
      </c>
      <c r="AE21" s="50" t="s">
        <v>112</v>
      </c>
      <c r="AF21" s="51">
        <f>COUNTIF($T$2:$T$44,"&lt;8")</f>
        <v>13</v>
      </c>
      <c r="AG21" s="47">
        <f>AF21-AF20</f>
        <v>2</v>
      </c>
    </row>
    <row r="22" spans="1:33">
      <c r="A22" s="1" t="s">
        <v>20</v>
      </c>
      <c r="B22" s="1" t="s">
        <v>21</v>
      </c>
      <c r="C22" s="1" t="s">
        <v>22</v>
      </c>
      <c r="D22" s="1" t="s">
        <v>113</v>
      </c>
      <c r="E22" s="1" t="s">
        <v>23</v>
      </c>
      <c r="F22" s="1"/>
      <c r="G22" s="4">
        <v>43362</v>
      </c>
      <c r="H22" s="28" t="s">
        <v>114</v>
      </c>
      <c r="I22" s="7">
        <v>42895</v>
      </c>
      <c r="J22" s="4">
        <v>43078</v>
      </c>
      <c r="K22" s="1" t="s">
        <v>22</v>
      </c>
      <c r="L22" s="1" t="s">
        <v>23</v>
      </c>
      <c r="M22" s="1" t="s">
        <v>115</v>
      </c>
      <c r="N22" s="4">
        <v>42625</v>
      </c>
      <c r="O22" s="41" t="s">
        <v>73</v>
      </c>
      <c r="P22" s="41" t="s">
        <v>74</v>
      </c>
      <c r="Q22" s="41">
        <f t="shared" si="3"/>
        <v>8</v>
      </c>
      <c r="R22" s="87">
        <f t="shared" si="1"/>
        <v>0.66666666666666663</v>
      </c>
      <c r="S22" s="57"/>
      <c r="T22" s="86"/>
      <c r="AE22" s="24" t="s">
        <v>116</v>
      </c>
      <c r="AF22" s="51">
        <f>COUNTIF($T$2:$T$44,"&lt;10")</f>
        <v>13</v>
      </c>
      <c r="AG22" s="24">
        <f>AF22-AF21</f>
        <v>0</v>
      </c>
    </row>
    <row r="23" spans="1:33">
      <c r="A23" s="1" t="s">
        <v>20</v>
      </c>
      <c r="B23" s="1" t="s">
        <v>21</v>
      </c>
      <c r="C23" s="1" t="s">
        <v>22</v>
      </c>
      <c r="D23" s="1" t="s">
        <v>23</v>
      </c>
      <c r="E23" s="1" t="s">
        <v>23</v>
      </c>
      <c r="F23" s="1"/>
      <c r="G23" s="1" t="s">
        <v>23</v>
      </c>
      <c r="H23" s="28" t="s">
        <v>117</v>
      </c>
      <c r="I23" s="7">
        <v>41424</v>
      </c>
      <c r="J23" s="4" t="s">
        <v>118</v>
      </c>
      <c r="K23" s="1" t="s">
        <v>22</v>
      </c>
      <c r="L23" s="1" t="s">
        <v>23</v>
      </c>
      <c r="M23" s="1" t="s">
        <v>119</v>
      </c>
      <c r="N23" s="4" t="s">
        <v>120</v>
      </c>
      <c r="O23" s="41" t="s">
        <v>27</v>
      </c>
      <c r="P23" s="41" t="s">
        <v>28</v>
      </c>
      <c r="Q23" s="41">
        <f>DATEDIF(N23,I23, "m")</f>
        <v>6</v>
      </c>
      <c r="R23" s="87">
        <f t="shared" si="1"/>
        <v>0.5</v>
      </c>
      <c r="S23" s="57"/>
      <c r="T23" s="86"/>
      <c r="AE23" s="41" t="s">
        <v>121</v>
      </c>
      <c r="AF23" s="51">
        <f>COUNTIF($T$2:$T$44,"&gt;9")</f>
        <v>6</v>
      </c>
      <c r="AG23" s="81">
        <f>AF23</f>
        <v>6</v>
      </c>
    </row>
    <row r="24" spans="1:33">
      <c r="A24" s="1" t="s">
        <v>20</v>
      </c>
      <c r="B24" s="1" t="s">
        <v>21</v>
      </c>
      <c r="C24" s="1" t="s">
        <v>22</v>
      </c>
      <c r="D24" s="1" t="s">
        <v>23</v>
      </c>
      <c r="E24" s="1" t="s">
        <v>23</v>
      </c>
      <c r="F24" s="1"/>
      <c r="G24" s="1" t="s">
        <v>23</v>
      </c>
      <c r="H24" s="28" t="s">
        <v>122</v>
      </c>
      <c r="I24" s="7">
        <v>40786</v>
      </c>
      <c r="J24" s="4">
        <v>40967</v>
      </c>
      <c r="K24" s="1" t="s">
        <v>22</v>
      </c>
      <c r="L24" s="1" t="s">
        <v>23</v>
      </c>
      <c r="M24" s="1" t="s">
        <v>123</v>
      </c>
      <c r="N24" s="4" t="s">
        <v>124</v>
      </c>
      <c r="O24" s="41" t="s">
        <v>75</v>
      </c>
      <c r="P24" s="41" t="s">
        <v>103</v>
      </c>
      <c r="Q24" s="41">
        <f>DATEDIF(N24,I24, "m")</f>
        <v>6</v>
      </c>
      <c r="R24" s="87">
        <f t="shared" si="1"/>
        <v>0.5</v>
      </c>
      <c r="S24" s="57"/>
      <c r="T24" s="86"/>
      <c r="AE24" s="83" t="s">
        <v>80</v>
      </c>
      <c r="AF24" s="84"/>
      <c r="AG24" s="85">
        <f>SUM(AG18:AG23)</f>
        <v>19</v>
      </c>
    </row>
    <row r="25" spans="1:33">
      <c r="A25" s="1" t="s">
        <v>20</v>
      </c>
      <c r="B25" s="1" t="s">
        <v>21</v>
      </c>
      <c r="C25" s="1" t="s">
        <v>125</v>
      </c>
      <c r="D25" s="1" t="s">
        <v>23</v>
      </c>
      <c r="E25" s="1" t="s">
        <v>23</v>
      </c>
      <c r="F25" s="1"/>
      <c r="G25" s="1" t="s">
        <v>23</v>
      </c>
      <c r="H25" s="28" t="s">
        <v>126</v>
      </c>
      <c r="I25" s="7">
        <v>40558</v>
      </c>
      <c r="J25" s="4">
        <v>40739</v>
      </c>
      <c r="K25" s="1" t="s">
        <v>22</v>
      </c>
      <c r="L25" s="1" t="s">
        <v>23</v>
      </c>
      <c r="M25" s="1" t="s">
        <v>127</v>
      </c>
      <c r="N25" s="4" t="s">
        <v>128</v>
      </c>
      <c r="O25" s="42" t="s">
        <v>27</v>
      </c>
      <c r="P25" s="41" t="s">
        <v>28</v>
      </c>
      <c r="Q25" s="41">
        <f>DATEDIF(N25,I25, "m")</f>
        <v>6</v>
      </c>
      <c r="R25" s="87">
        <f t="shared" si="1"/>
        <v>0.5</v>
      </c>
      <c r="S25" s="57"/>
      <c r="T25" s="86"/>
    </row>
    <row r="26" spans="1:33">
      <c r="A26" s="1" t="s">
        <v>20</v>
      </c>
      <c r="B26" s="1" t="s">
        <v>21</v>
      </c>
      <c r="C26" s="1" t="s">
        <v>129</v>
      </c>
      <c r="D26" s="1" t="s">
        <v>130</v>
      </c>
      <c r="E26" s="1" t="s">
        <v>23</v>
      </c>
      <c r="F26" s="1"/>
      <c r="G26" s="4">
        <v>42929</v>
      </c>
      <c r="H26" s="28" t="s">
        <v>131</v>
      </c>
      <c r="I26" s="7">
        <v>40558</v>
      </c>
      <c r="J26" s="4">
        <v>40739</v>
      </c>
      <c r="K26" s="1" t="s">
        <v>22</v>
      </c>
      <c r="L26" s="1" t="s">
        <v>23</v>
      </c>
      <c r="M26" s="1" t="s">
        <v>123</v>
      </c>
      <c r="N26" s="4" t="s">
        <v>128</v>
      </c>
      <c r="O26" s="41" t="s">
        <v>75</v>
      </c>
      <c r="P26" s="41" t="s">
        <v>103</v>
      </c>
      <c r="Q26" s="41">
        <f>DATEDIF(N26,I26, "m")</f>
        <v>6</v>
      </c>
      <c r="R26" s="87">
        <f t="shared" si="1"/>
        <v>0.5</v>
      </c>
      <c r="S26" s="57"/>
      <c r="T26" s="86"/>
    </row>
    <row r="27" spans="1:33">
      <c r="A27" s="1" t="s">
        <v>20</v>
      </c>
      <c r="B27" s="1" t="s">
        <v>21</v>
      </c>
      <c r="C27" s="1" t="s">
        <v>22</v>
      </c>
      <c r="D27" s="1" t="s">
        <v>23</v>
      </c>
      <c r="E27" s="1" t="s">
        <v>23</v>
      </c>
      <c r="F27" s="1"/>
      <c r="G27" s="1" t="s">
        <v>23</v>
      </c>
      <c r="H27" s="28" t="s">
        <v>132</v>
      </c>
      <c r="I27" s="7">
        <v>41034</v>
      </c>
      <c r="J27" s="4">
        <v>41157</v>
      </c>
      <c r="K27" s="1" t="s">
        <v>23</v>
      </c>
      <c r="L27" s="1" t="s">
        <v>23</v>
      </c>
      <c r="M27" s="1" t="s">
        <v>133</v>
      </c>
      <c r="N27" s="4">
        <v>40672</v>
      </c>
      <c r="O27" s="41" t="s">
        <v>27</v>
      </c>
      <c r="P27" s="41" t="s">
        <v>28</v>
      </c>
      <c r="Q27" s="41">
        <f t="shared" si="3"/>
        <v>11</v>
      </c>
      <c r="R27" s="87">
        <f t="shared" si="1"/>
        <v>0.91666666666666663</v>
      </c>
      <c r="S27" s="57"/>
      <c r="T27" s="86"/>
    </row>
    <row r="28" spans="1:33">
      <c r="A28" s="1" t="s">
        <v>20</v>
      </c>
      <c r="B28" s="1" t="s">
        <v>21</v>
      </c>
      <c r="C28" s="1" t="s">
        <v>22</v>
      </c>
      <c r="D28" s="1" t="s">
        <v>134</v>
      </c>
      <c r="E28" s="1" t="s">
        <v>23</v>
      </c>
      <c r="F28" s="1"/>
      <c r="G28" s="4">
        <v>39682</v>
      </c>
      <c r="H28" s="28" t="s">
        <v>135</v>
      </c>
      <c r="I28" s="7">
        <v>40178</v>
      </c>
      <c r="J28" s="4">
        <v>40268</v>
      </c>
      <c r="K28" s="1" t="s">
        <v>22</v>
      </c>
      <c r="L28" s="1" t="s">
        <v>22</v>
      </c>
      <c r="M28" s="5" t="s">
        <v>79</v>
      </c>
      <c r="N28" s="4">
        <v>39943</v>
      </c>
      <c r="O28" s="41" t="s">
        <v>73</v>
      </c>
      <c r="P28" s="41" t="s">
        <v>74</v>
      </c>
      <c r="Q28" s="41">
        <f t="shared" si="3"/>
        <v>7</v>
      </c>
      <c r="R28" s="87">
        <f t="shared" si="1"/>
        <v>0.58333333333333337</v>
      </c>
      <c r="S28" s="57">
        <f>DATEDIF(G28,I28,"m")</f>
        <v>16</v>
      </c>
      <c r="T28" s="86">
        <f>S28/12</f>
        <v>1.3333333333333333</v>
      </c>
    </row>
    <row r="29" spans="1:33">
      <c r="A29" s="1" t="s">
        <v>20</v>
      </c>
      <c r="B29" s="1" t="s">
        <v>21</v>
      </c>
      <c r="C29" s="1" t="s">
        <v>22</v>
      </c>
      <c r="D29" s="1" t="s">
        <v>136</v>
      </c>
      <c r="E29" s="1" t="s">
        <v>23</v>
      </c>
      <c r="F29" s="1"/>
      <c r="G29" s="4">
        <v>42193</v>
      </c>
      <c r="H29" s="28" t="s">
        <v>137</v>
      </c>
      <c r="I29" s="7">
        <v>40193</v>
      </c>
      <c r="J29" s="4">
        <v>40283</v>
      </c>
      <c r="K29" s="1" t="s">
        <v>22</v>
      </c>
      <c r="L29" s="1" t="s">
        <v>23</v>
      </c>
      <c r="M29" s="1" t="s">
        <v>123</v>
      </c>
      <c r="N29" s="4">
        <v>39943</v>
      </c>
      <c r="O29" s="41" t="s">
        <v>75</v>
      </c>
      <c r="P29" s="41" t="s">
        <v>103</v>
      </c>
      <c r="Q29" s="41">
        <f t="shared" si="3"/>
        <v>8</v>
      </c>
      <c r="R29" s="87">
        <f t="shared" si="1"/>
        <v>0.66666666666666663</v>
      </c>
      <c r="S29" s="57"/>
      <c r="T29" s="86"/>
    </row>
    <row r="30" spans="1:33">
      <c r="A30" s="1" t="s">
        <v>20</v>
      </c>
      <c r="B30" s="1" t="s">
        <v>21</v>
      </c>
      <c r="C30" s="1" t="s">
        <v>22</v>
      </c>
      <c r="D30" s="1" t="s">
        <v>23</v>
      </c>
      <c r="E30" s="1" t="s">
        <v>23</v>
      </c>
      <c r="F30" s="1"/>
      <c r="G30" s="1" t="s">
        <v>23</v>
      </c>
      <c r="H30" s="28" t="s">
        <v>138</v>
      </c>
      <c r="I30" s="7">
        <v>41008</v>
      </c>
      <c r="J30" s="4">
        <v>41190</v>
      </c>
      <c r="K30" s="1" t="s">
        <v>23</v>
      </c>
      <c r="L30" s="1" t="s">
        <v>23</v>
      </c>
      <c r="M30" s="1" t="s">
        <v>139</v>
      </c>
      <c r="N30" s="4">
        <v>40826</v>
      </c>
      <c r="O30" s="42" t="s">
        <v>27</v>
      </c>
      <c r="P30" s="41" t="s">
        <v>28</v>
      </c>
      <c r="Q30" s="41">
        <f t="shared" si="3"/>
        <v>5</v>
      </c>
      <c r="R30" s="87">
        <f t="shared" si="1"/>
        <v>0.41666666666666669</v>
      </c>
      <c r="S30" s="57"/>
      <c r="T30" s="86"/>
    </row>
    <row r="31" spans="1:33">
      <c r="A31" s="1" t="s">
        <v>20</v>
      </c>
      <c r="B31" s="1" t="s">
        <v>21</v>
      </c>
      <c r="C31" s="1" t="s">
        <v>22</v>
      </c>
      <c r="D31" s="1" t="s">
        <v>140</v>
      </c>
      <c r="E31" s="1" t="s">
        <v>23</v>
      </c>
      <c r="F31" s="1"/>
      <c r="G31" s="4">
        <v>42186</v>
      </c>
      <c r="H31" s="28" t="s">
        <v>141</v>
      </c>
      <c r="I31" s="7">
        <v>41078</v>
      </c>
      <c r="J31" s="4">
        <v>41260</v>
      </c>
      <c r="K31" s="1" t="s">
        <v>23</v>
      </c>
      <c r="L31" s="1" t="s">
        <v>23</v>
      </c>
      <c r="M31" s="1" t="s">
        <v>142</v>
      </c>
      <c r="N31" s="4" t="s">
        <v>143</v>
      </c>
      <c r="O31" s="41" t="s">
        <v>75</v>
      </c>
      <c r="P31" s="41" t="s">
        <v>103</v>
      </c>
      <c r="Q31" s="41">
        <f>DATEDIF(N31,I31, "m")</f>
        <v>5</v>
      </c>
      <c r="R31" s="87">
        <f t="shared" si="1"/>
        <v>0.41666666666666669</v>
      </c>
      <c r="S31" s="57"/>
      <c r="T31" s="86"/>
    </row>
    <row r="32" spans="1:33">
      <c r="A32" s="1" t="s">
        <v>20</v>
      </c>
      <c r="B32" s="1" t="s">
        <v>21</v>
      </c>
      <c r="C32" s="1" t="s">
        <v>22</v>
      </c>
      <c r="D32" s="1" t="s">
        <v>144</v>
      </c>
      <c r="E32" s="1" t="s">
        <v>23</v>
      </c>
      <c r="F32" s="1"/>
      <c r="G32" s="4">
        <v>44384</v>
      </c>
      <c r="H32" s="28" t="s">
        <v>145</v>
      </c>
      <c r="I32" s="7">
        <v>40663</v>
      </c>
      <c r="J32" s="4">
        <v>40847</v>
      </c>
      <c r="K32" s="1" t="s">
        <v>22</v>
      </c>
      <c r="L32" s="1" t="s">
        <v>23</v>
      </c>
      <c r="M32" s="1" t="s">
        <v>146</v>
      </c>
      <c r="N32" s="4">
        <v>40401</v>
      </c>
      <c r="O32" s="41" t="s">
        <v>27</v>
      </c>
      <c r="P32" s="41" t="s">
        <v>28</v>
      </c>
      <c r="Q32" s="41">
        <f t="shared" si="3"/>
        <v>8</v>
      </c>
      <c r="R32" s="87">
        <f t="shared" si="1"/>
        <v>0.66666666666666663</v>
      </c>
      <c r="S32" s="57"/>
      <c r="T32" s="86"/>
    </row>
    <row r="33" spans="1:20">
      <c r="A33" s="1" t="s">
        <v>20</v>
      </c>
      <c r="B33" s="1" t="s">
        <v>21</v>
      </c>
      <c r="C33" s="1" t="s">
        <v>22</v>
      </c>
      <c r="D33" s="1" t="s">
        <v>147</v>
      </c>
      <c r="E33" s="1" t="s">
        <v>23</v>
      </c>
      <c r="F33" s="1"/>
      <c r="G33" s="4">
        <v>43629</v>
      </c>
      <c r="H33" s="28" t="s">
        <v>148</v>
      </c>
      <c r="I33" s="7">
        <v>44410</v>
      </c>
      <c r="J33" s="4">
        <v>44594</v>
      </c>
      <c r="K33" s="1" t="s">
        <v>22</v>
      </c>
      <c r="L33" s="1" t="s">
        <v>23</v>
      </c>
      <c r="M33" s="1" t="s">
        <v>149</v>
      </c>
      <c r="N33" s="4">
        <v>44229</v>
      </c>
      <c r="O33" s="41" t="s">
        <v>27</v>
      </c>
      <c r="P33" s="41" t="s">
        <v>28</v>
      </c>
      <c r="Q33" s="41">
        <f t="shared" si="3"/>
        <v>6</v>
      </c>
      <c r="R33" s="87">
        <f t="shared" si="1"/>
        <v>0.5</v>
      </c>
      <c r="S33" s="57">
        <f t="shared" ref="S33:S44" si="4">DATEDIF(G33,I33,"m")</f>
        <v>25</v>
      </c>
      <c r="T33" s="86">
        <f>S33/12</f>
        <v>2.0833333333333335</v>
      </c>
    </row>
    <row r="34" spans="1:20">
      <c r="A34" s="1" t="s">
        <v>20</v>
      </c>
      <c r="B34" s="1" t="s">
        <v>21</v>
      </c>
      <c r="C34" s="1" t="s">
        <v>22</v>
      </c>
      <c r="D34" s="1" t="s">
        <v>150</v>
      </c>
      <c r="E34" s="1" t="s">
        <v>23</v>
      </c>
      <c r="F34" s="1"/>
      <c r="G34" s="4">
        <v>39541</v>
      </c>
      <c r="H34" s="28" t="s">
        <v>151</v>
      </c>
      <c r="I34" s="7">
        <v>43300</v>
      </c>
      <c r="J34" s="4">
        <v>43484</v>
      </c>
      <c r="K34" s="1" t="s">
        <v>22</v>
      </c>
      <c r="L34" s="1" t="s">
        <v>22</v>
      </c>
      <c r="M34" s="1" t="s">
        <v>96</v>
      </c>
      <c r="N34" s="4" t="s">
        <v>152</v>
      </c>
      <c r="O34" s="41" t="s">
        <v>27</v>
      </c>
      <c r="P34" s="41" t="s">
        <v>28</v>
      </c>
      <c r="Q34" s="41">
        <f t="shared" ref="Q34:Q39" si="5">DATEDIF(N34,I34, "m")</f>
        <v>6</v>
      </c>
      <c r="R34" s="87">
        <f t="shared" si="1"/>
        <v>0.5</v>
      </c>
      <c r="S34" s="57">
        <f t="shared" si="4"/>
        <v>123</v>
      </c>
      <c r="T34" s="86">
        <f t="shared" ref="T34:T44" si="6">S34/12</f>
        <v>10.25</v>
      </c>
    </row>
    <row r="35" spans="1:20">
      <c r="A35" s="1" t="s">
        <v>20</v>
      </c>
      <c r="B35" s="1" t="s">
        <v>21</v>
      </c>
      <c r="C35" s="1" t="s">
        <v>22</v>
      </c>
      <c r="D35" s="1" t="s">
        <v>153</v>
      </c>
      <c r="E35" s="1" t="s">
        <v>23</v>
      </c>
      <c r="F35" s="1"/>
      <c r="G35" s="4">
        <v>44095</v>
      </c>
      <c r="H35" s="28" t="s">
        <v>154</v>
      </c>
      <c r="I35" s="7">
        <v>44434</v>
      </c>
      <c r="J35" s="4">
        <v>44618</v>
      </c>
      <c r="K35" s="1" t="s">
        <v>22</v>
      </c>
      <c r="L35" s="1" t="s">
        <v>23</v>
      </c>
      <c r="M35" s="1" t="s">
        <v>155</v>
      </c>
      <c r="N35" s="4" t="s">
        <v>156</v>
      </c>
      <c r="O35" s="41" t="s">
        <v>73</v>
      </c>
      <c r="P35" s="41" t="s">
        <v>74</v>
      </c>
      <c r="Q35" s="41">
        <f t="shared" si="5"/>
        <v>6</v>
      </c>
      <c r="R35" s="87">
        <f t="shared" si="1"/>
        <v>0.5</v>
      </c>
      <c r="S35" s="57">
        <f t="shared" si="4"/>
        <v>11</v>
      </c>
      <c r="T35" s="86">
        <f t="shared" si="6"/>
        <v>0.91666666666666663</v>
      </c>
    </row>
    <row r="36" spans="1:20">
      <c r="A36" s="1" t="s">
        <v>20</v>
      </c>
      <c r="B36" s="1" t="s">
        <v>21</v>
      </c>
      <c r="C36" s="1" t="s">
        <v>22</v>
      </c>
      <c r="D36" s="1" t="s">
        <v>157</v>
      </c>
      <c r="E36" s="1" t="s">
        <v>23</v>
      </c>
      <c r="F36" s="1"/>
      <c r="G36" s="4">
        <v>40504</v>
      </c>
      <c r="H36" s="28" t="s">
        <v>158</v>
      </c>
      <c r="I36" s="7">
        <v>44183</v>
      </c>
      <c r="J36" s="4">
        <v>44365</v>
      </c>
      <c r="K36" s="1" t="s">
        <v>23</v>
      </c>
      <c r="L36" s="1" t="s">
        <v>23</v>
      </c>
      <c r="M36" s="1" t="s">
        <v>149</v>
      </c>
      <c r="N36" s="4" t="s">
        <v>159</v>
      </c>
      <c r="O36" s="41" t="s">
        <v>27</v>
      </c>
      <c r="P36" s="41" t="s">
        <v>28</v>
      </c>
      <c r="Q36" s="41">
        <f t="shared" si="5"/>
        <v>6</v>
      </c>
      <c r="R36" s="87">
        <f t="shared" si="1"/>
        <v>0.5</v>
      </c>
      <c r="S36" s="57">
        <f t="shared" si="4"/>
        <v>120</v>
      </c>
      <c r="T36" s="86">
        <f t="shared" si="6"/>
        <v>10</v>
      </c>
    </row>
    <row r="37" spans="1:20">
      <c r="A37" s="1" t="s">
        <v>20</v>
      </c>
      <c r="B37" s="1" t="s">
        <v>21</v>
      </c>
      <c r="C37" s="1" t="s">
        <v>22</v>
      </c>
      <c r="D37" s="1" t="s">
        <v>160</v>
      </c>
      <c r="E37" s="1" t="s">
        <v>23</v>
      </c>
      <c r="F37" s="1"/>
      <c r="G37" s="4">
        <v>40504</v>
      </c>
      <c r="H37" s="28" t="s">
        <v>161</v>
      </c>
      <c r="I37" s="7">
        <v>44193</v>
      </c>
      <c r="J37" s="4">
        <v>44375</v>
      </c>
      <c r="K37" s="1" t="s">
        <v>22</v>
      </c>
      <c r="L37" s="1" t="s">
        <v>23</v>
      </c>
      <c r="M37" s="1" t="s">
        <v>162</v>
      </c>
      <c r="N37" s="4" t="s">
        <v>163</v>
      </c>
      <c r="O37" s="50" t="s">
        <v>73</v>
      </c>
      <c r="P37" s="50" t="s">
        <v>74</v>
      </c>
      <c r="Q37" s="41">
        <f t="shared" si="5"/>
        <v>6</v>
      </c>
      <c r="R37" s="87">
        <f t="shared" si="1"/>
        <v>0.5</v>
      </c>
      <c r="S37" s="57">
        <f t="shared" si="4"/>
        <v>121</v>
      </c>
      <c r="T37" s="86">
        <f t="shared" si="6"/>
        <v>10.083333333333334</v>
      </c>
    </row>
    <row r="38" spans="1:20">
      <c r="A38" s="61" t="s">
        <v>20</v>
      </c>
      <c r="B38" s="61" t="s">
        <v>21</v>
      </c>
      <c r="C38" s="61" t="s">
        <v>22</v>
      </c>
      <c r="D38" s="61" t="s">
        <v>164</v>
      </c>
      <c r="E38" s="61" t="s">
        <v>23</v>
      </c>
      <c r="F38" s="61"/>
      <c r="G38" s="73">
        <v>42852</v>
      </c>
      <c r="H38" s="74" t="s">
        <v>165</v>
      </c>
      <c r="I38" s="75">
        <v>43256</v>
      </c>
      <c r="J38" s="73">
        <v>43439</v>
      </c>
      <c r="K38" s="1" t="s">
        <v>22</v>
      </c>
      <c r="L38" s="1" t="s">
        <v>22</v>
      </c>
      <c r="M38" s="1" t="s">
        <v>166</v>
      </c>
      <c r="N38" s="96">
        <v>42867</v>
      </c>
      <c r="O38" s="1" t="s">
        <v>73</v>
      </c>
      <c r="P38" s="1" t="s">
        <v>74</v>
      </c>
      <c r="Q38" s="76">
        <f t="shared" si="5"/>
        <v>12</v>
      </c>
      <c r="R38" s="87">
        <f t="shared" si="1"/>
        <v>1</v>
      </c>
      <c r="S38" s="57">
        <f t="shared" si="4"/>
        <v>13</v>
      </c>
      <c r="T38" s="86">
        <f t="shared" si="6"/>
        <v>1.0833333333333333</v>
      </c>
    </row>
    <row r="39" spans="1:20">
      <c r="A39" s="1" t="s">
        <v>20</v>
      </c>
      <c r="B39" s="1" t="s">
        <v>21</v>
      </c>
      <c r="C39" s="1" t="s">
        <v>22</v>
      </c>
      <c r="D39" s="1" t="s">
        <v>164</v>
      </c>
      <c r="E39" s="1" t="s">
        <v>23</v>
      </c>
      <c r="F39" s="1"/>
      <c r="G39" s="4">
        <v>42852</v>
      </c>
      <c r="H39" s="28" t="s">
        <v>167</v>
      </c>
      <c r="I39" s="75">
        <v>43848</v>
      </c>
      <c r="J39" s="73">
        <v>44030</v>
      </c>
      <c r="K39" s="63" t="s">
        <v>22</v>
      </c>
      <c r="L39" s="61" t="s">
        <v>23</v>
      </c>
      <c r="M39" s="61" t="s">
        <v>168</v>
      </c>
      <c r="N39" s="97" t="s">
        <v>169</v>
      </c>
      <c r="O39" s="1" t="s">
        <v>73</v>
      </c>
      <c r="P39" s="1" t="s">
        <v>74</v>
      </c>
      <c r="Q39" s="76">
        <f t="shared" si="5"/>
        <v>6</v>
      </c>
      <c r="R39" s="87">
        <f t="shared" si="1"/>
        <v>0.5</v>
      </c>
      <c r="S39" s="57">
        <f t="shared" si="4"/>
        <v>32</v>
      </c>
      <c r="T39" s="86">
        <f t="shared" si="6"/>
        <v>2.6666666666666665</v>
      </c>
    </row>
    <row r="40" spans="1:20">
      <c r="A40" s="1" t="s">
        <v>20</v>
      </c>
      <c r="B40" s="1" t="s">
        <v>21</v>
      </c>
      <c r="C40" s="1" t="s">
        <v>22</v>
      </c>
      <c r="D40" s="1" t="s">
        <v>170</v>
      </c>
      <c r="E40" s="1" t="s">
        <v>23</v>
      </c>
      <c r="F40" s="1"/>
      <c r="G40" s="4">
        <v>44386</v>
      </c>
      <c r="H40" s="77" t="s">
        <v>171</v>
      </c>
      <c r="I40" s="7">
        <v>44693</v>
      </c>
      <c r="J40" s="4">
        <v>44877</v>
      </c>
      <c r="K40" s="1" t="s">
        <v>23</v>
      </c>
      <c r="L40" s="1" t="s">
        <v>23</v>
      </c>
      <c r="M40" s="1" t="s">
        <v>172</v>
      </c>
      <c r="N40" s="96">
        <v>44541</v>
      </c>
      <c r="O40" s="1" t="s">
        <v>73</v>
      </c>
      <c r="P40" s="1" t="s">
        <v>74</v>
      </c>
      <c r="Q40" s="76">
        <f>DATEDIF(N40,I40, "m")</f>
        <v>5</v>
      </c>
      <c r="R40" s="87">
        <f t="shared" si="1"/>
        <v>0.41666666666666669</v>
      </c>
      <c r="S40" s="57">
        <f t="shared" si="4"/>
        <v>10</v>
      </c>
      <c r="T40" s="86">
        <f t="shared" si="6"/>
        <v>0.83333333333333337</v>
      </c>
    </row>
    <row r="41" spans="1:20">
      <c r="A41" s="1" t="s">
        <v>20</v>
      </c>
      <c r="B41" s="1" t="s">
        <v>21</v>
      </c>
      <c r="C41" s="1" t="s">
        <v>22</v>
      </c>
      <c r="D41" s="1" t="s">
        <v>173</v>
      </c>
      <c r="E41" s="1" t="s">
        <v>23</v>
      </c>
      <c r="F41" s="1"/>
      <c r="G41" s="4">
        <v>39716</v>
      </c>
      <c r="H41" s="77" t="s">
        <v>174</v>
      </c>
      <c r="I41" s="7">
        <v>43549</v>
      </c>
      <c r="J41" s="4">
        <v>43733</v>
      </c>
      <c r="K41" s="1" t="s">
        <v>23</v>
      </c>
      <c r="L41" s="1" t="s">
        <v>23</v>
      </c>
      <c r="M41" s="1" t="s">
        <v>83</v>
      </c>
      <c r="N41" s="96" t="s">
        <v>175</v>
      </c>
      <c r="O41" s="1" t="s">
        <v>73</v>
      </c>
      <c r="P41" s="1" t="s">
        <v>74</v>
      </c>
      <c r="Q41" s="76">
        <f>DATEDIF(N41,I41, "m")</f>
        <v>6</v>
      </c>
      <c r="R41" s="87">
        <f t="shared" si="1"/>
        <v>0.5</v>
      </c>
      <c r="S41" s="57">
        <f t="shared" si="4"/>
        <v>126</v>
      </c>
      <c r="T41" s="86">
        <f t="shared" si="6"/>
        <v>10.5</v>
      </c>
    </row>
    <row r="42" spans="1:20">
      <c r="A42" s="1" t="s">
        <v>20</v>
      </c>
      <c r="B42" s="1" t="s">
        <v>21</v>
      </c>
      <c r="C42" s="1" t="s">
        <v>22</v>
      </c>
      <c r="D42" s="1" t="s">
        <v>23</v>
      </c>
      <c r="E42" s="1" t="s">
        <v>23</v>
      </c>
      <c r="F42" s="1"/>
      <c r="G42" s="4">
        <v>42906</v>
      </c>
      <c r="H42" s="77" t="s">
        <v>176</v>
      </c>
      <c r="I42" s="7">
        <v>43903</v>
      </c>
      <c r="J42" s="4">
        <v>44088</v>
      </c>
      <c r="K42" s="1" t="s">
        <v>22</v>
      </c>
      <c r="L42" s="1" t="s">
        <v>22</v>
      </c>
      <c r="M42" s="1" t="s">
        <v>177</v>
      </c>
      <c r="N42" s="96" t="s">
        <v>178</v>
      </c>
      <c r="O42" s="1" t="s">
        <v>27</v>
      </c>
      <c r="P42" s="1" t="s">
        <v>28</v>
      </c>
      <c r="Q42" s="76">
        <f>DATEDIF(N42,I42, "m")</f>
        <v>6</v>
      </c>
      <c r="R42" s="87">
        <f t="shared" si="1"/>
        <v>0.5</v>
      </c>
      <c r="S42" s="57">
        <f t="shared" si="4"/>
        <v>32</v>
      </c>
      <c r="T42" s="86">
        <f t="shared" si="6"/>
        <v>2.6666666666666665</v>
      </c>
    </row>
    <row r="43" spans="1:20">
      <c r="A43" s="1" t="s">
        <v>20</v>
      </c>
      <c r="B43" s="1" t="s">
        <v>21</v>
      </c>
      <c r="C43" s="1" t="s">
        <v>22</v>
      </c>
      <c r="D43" s="1" t="s">
        <v>179</v>
      </c>
      <c r="E43" s="1" t="s">
        <v>23</v>
      </c>
      <c r="F43" s="1"/>
      <c r="G43" s="4">
        <v>40896</v>
      </c>
      <c r="H43" s="77" t="s">
        <v>180</v>
      </c>
      <c r="I43" s="7">
        <v>44697</v>
      </c>
      <c r="J43" s="4">
        <v>44881</v>
      </c>
      <c r="K43" s="1" t="s">
        <v>23</v>
      </c>
      <c r="L43" s="1" t="s">
        <v>23</v>
      </c>
      <c r="M43" s="1" t="s">
        <v>181</v>
      </c>
      <c r="N43" s="96" t="s">
        <v>182</v>
      </c>
      <c r="O43" s="1" t="s">
        <v>73</v>
      </c>
      <c r="P43" s="1" t="s">
        <v>74</v>
      </c>
      <c r="Q43" s="76">
        <f>DATEDIF(N43,I43, "m")</f>
        <v>6</v>
      </c>
      <c r="R43" s="87">
        <f t="shared" si="1"/>
        <v>0.5</v>
      </c>
      <c r="S43" s="57">
        <f t="shared" si="4"/>
        <v>124</v>
      </c>
      <c r="T43" s="86">
        <f t="shared" si="6"/>
        <v>10.333333333333334</v>
      </c>
    </row>
    <row r="44" spans="1:20">
      <c r="A44" s="1" t="s">
        <v>20</v>
      </c>
      <c r="B44" s="1" t="s">
        <v>21</v>
      </c>
      <c r="C44" s="1" t="s">
        <v>22</v>
      </c>
      <c r="D44" s="1" t="s">
        <v>183</v>
      </c>
      <c r="E44" s="1" t="s">
        <v>23</v>
      </c>
      <c r="F44" s="1"/>
      <c r="G44" s="4">
        <v>42829</v>
      </c>
      <c r="H44" s="77" t="s">
        <v>184</v>
      </c>
      <c r="I44" s="7">
        <v>44347</v>
      </c>
      <c r="J44" s="4">
        <v>44530</v>
      </c>
      <c r="K44" s="1" t="s">
        <v>22</v>
      </c>
      <c r="L44" s="1" t="s">
        <v>23</v>
      </c>
      <c r="M44" s="1" t="s">
        <v>185</v>
      </c>
      <c r="N44" s="96" t="s">
        <v>186</v>
      </c>
      <c r="O44" s="95" t="s">
        <v>27</v>
      </c>
      <c r="P44" s="1" t="s">
        <v>28</v>
      </c>
      <c r="Q44" s="76">
        <f>DATEDIF(N44,I44, "m")</f>
        <v>6</v>
      </c>
      <c r="R44" s="87">
        <f t="shared" si="1"/>
        <v>0.5</v>
      </c>
      <c r="S44" s="57">
        <f t="shared" si="4"/>
        <v>49</v>
      </c>
      <c r="T44" s="86">
        <f t="shared" si="6"/>
        <v>4.083333333333333</v>
      </c>
    </row>
    <row r="45" spans="1:20">
      <c r="C45" s="58"/>
      <c r="P45" s="80" t="s">
        <v>187</v>
      </c>
      <c r="Q45" s="89">
        <f>AVERAGE(Q2:Q44)</f>
        <v>6.2</v>
      </c>
      <c r="R45" s="90">
        <f>AVERAGE(R2:R44)</f>
        <v>0.51666666666666672</v>
      </c>
      <c r="S45" s="91">
        <f>AVERAGE(S2:S44)</f>
        <v>65.89473684210526</v>
      </c>
      <c r="T45" s="91">
        <f>AVERAGE(T2:T44)</f>
        <v>5.4912280701754375</v>
      </c>
    </row>
    <row r="46" spans="1:20">
      <c r="C46" s="58"/>
      <c r="P46" s="36" t="s">
        <v>188</v>
      </c>
      <c r="Q46" s="92">
        <f>MEDIAN(Q2:Q44)</f>
        <v>6</v>
      </c>
      <c r="R46" s="92">
        <f>MEDIAN(R2:R44)</f>
        <v>0.5</v>
      </c>
      <c r="S46" s="93">
        <f>MEDIAN(S2:S44)</f>
        <v>49</v>
      </c>
      <c r="T46" s="93">
        <f>MEDIAN(T2:T44)</f>
        <v>4.083333333333333</v>
      </c>
    </row>
    <row r="47" spans="1:20">
      <c r="C47" s="58"/>
      <c r="P47" s="36" t="s">
        <v>189</v>
      </c>
      <c r="Q47" s="92">
        <f>MAX(Q2:Q44)-MIN(Q2:Q44)</f>
        <v>9</v>
      </c>
      <c r="R47" s="92">
        <f>MAX(R2:R44)-MIN(R2:R44)</f>
        <v>0.75</v>
      </c>
      <c r="S47" s="93">
        <f>MAX(S2:S44)-MIN(S2:S44)</f>
        <v>129</v>
      </c>
      <c r="T47" s="93">
        <f>MAX(T2:T44)-MIN(T2:T44)</f>
        <v>10.75</v>
      </c>
    </row>
    <row r="48" spans="1:20">
      <c r="C48" s="58"/>
      <c r="P48" s="36" t="s">
        <v>190</v>
      </c>
      <c r="Q48" s="92">
        <f>_xlfn.STDEV.P(Q2:Q44)</f>
        <v>1.8466185312619388</v>
      </c>
      <c r="R48" s="92">
        <f>_xlfn.STDEV.P(R2:R44)</f>
        <v>0.15388487760516151</v>
      </c>
      <c r="S48" s="93">
        <f>_xlfn.STDEV.P(S2:S44)</f>
        <v>45.085760077577191</v>
      </c>
      <c r="T48" s="93">
        <f>_xlfn.STDEV.P(T2:T44)</f>
        <v>3.7571466731314334</v>
      </c>
    </row>
    <row r="49" spans="3:20">
      <c r="C49" s="58"/>
      <c r="S49" s="38"/>
      <c r="T49" s="38"/>
    </row>
    <row r="50" spans="3:20">
      <c r="C50" s="58"/>
      <c r="S50" s="38"/>
      <c r="T50" s="38"/>
    </row>
    <row r="51" spans="3:20">
      <c r="C51" s="58"/>
      <c r="S51" s="38"/>
      <c r="T51" s="38"/>
    </row>
    <row r="52" spans="3:20">
      <c r="C52" s="58"/>
      <c r="S52" s="38"/>
      <c r="T52" s="38"/>
    </row>
    <row r="53" spans="3:20">
      <c r="C53" s="58"/>
      <c r="S53" s="38"/>
      <c r="T53" s="38"/>
    </row>
    <row r="54" spans="3:20">
      <c r="C54" s="58"/>
      <c r="S54" s="38"/>
      <c r="T54" s="38"/>
    </row>
    <row r="55" spans="3:20">
      <c r="C55" s="58"/>
      <c r="S55" s="38"/>
      <c r="T55" s="38"/>
    </row>
    <row r="56" spans="3:20">
      <c r="C56" s="58"/>
      <c r="S56" s="38"/>
      <c r="T56" s="38"/>
    </row>
    <row r="57" spans="3:20">
      <c r="C57" s="58"/>
      <c r="S57" s="38"/>
      <c r="T57" s="38"/>
    </row>
    <row r="58" spans="3:20">
      <c r="C58" s="58"/>
      <c r="S58" s="38"/>
      <c r="T58" s="38"/>
    </row>
    <row r="59" spans="3:20">
      <c r="C59" s="58"/>
      <c r="S59" s="38"/>
      <c r="T59" s="38"/>
    </row>
    <row r="60" spans="3:20">
      <c r="C60" s="58"/>
      <c r="S60" s="38"/>
      <c r="T60" s="38"/>
    </row>
    <row r="61" spans="3:20">
      <c r="C61" s="58"/>
      <c r="S61" s="38"/>
      <c r="T61" s="38"/>
    </row>
    <row r="62" spans="3:20">
      <c r="C62" s="58"/>
      <c r="S62" s="38"/>
      <c r="T62" s="38"/>
    </row>
    <row r="63" spans="3:20">
      <c r="C63" s="58"/>
      <c r="S63" s="38"/>
      <c r="T63" s="38"/>
    </row>
    <row r="64" spans="3:20">
      <c r="C64" s="58"/>
      <c r="S64" s="38"/>
      <c r="T64" s="38"/>
    </row>
    <row r="65" spans="3:20">
      <c r="C65" s="58"/>
      <c r="S65" s="38"/>
      <c r="T65" s="38"/>
    </row>
    <row r="66" spans="3:20">
      <c r="C66" s="58"/>
      <c r="S66" s="38"/>
      <c r="T66" s="38"/>
    </row>
    <row r="67" spans="3:20">
      <c r="C67" s="58"/>
    </row>
    <row r="68" spans="3:20">
      <c r="C68" s="58"/>
    </row>
    <row r="69" spans="3:20">
      <c r="C69" s="58"/>
    </row>
    <row r="70" spans="3:20">
      <c r="C70" s="58"/>
    </row>
    <row r="71" spans="3:20">
      <c r="C71" s="58"/>
    </row>
    <row r="72" spans="3:20">
      <c r="C72" s="58"/>
    </row>
    <row r="73" spans="3:20">
      <c r="C73" s="58"/>
    </row>
    <row r="74" spans="3:20">
      <c r="C74" s="58"/>
    </row>
    <row r="75" spans="3:20">
      <c r="C75" s="58"/>
    </row>
    <row r="76" spans="3:20">
      <c r="C76" s="58"/>
    </row>
    <row r="77" spans="3:20">
      <c r="C77" s="58"/>
    </row>
    <row r="78" spans="3:20">
      <c r="C78" s="58"/>
    </row>
    <row r="79" spans="3:20">
      <c r="C79" s="58"/>
    </row>
    <row r="80" spans="3:20">
      <c r="C80" s="58"/>
    </row>
    <row r="81" spans="3:3">
      <c r="C81" s="58"/>
    </row>
    <row r="82" spans="3:3">
      <c r="C82" s="58"/>
    </row>
    <row r="83" spans="3:3">
      <c r="C83" s="58"/>
    </row>
    <row r="84" spans="3:3">
      <c r="C84" s="58"/>
    </row>
    <row r="85" spans="3:3">
      <c r="C85" s="58"/>
    </row>
    <row r="86" spans="3:3">
      <c r="C86" s="58"/>
    </row>
    <row r="87" spans="3:3">
      <c r="C87" s="58"/>
    </row>
    <row r="88" spans="3:3">
      <c r="C88" s="58"/>
    </row>
    <row r="89" spans="3:3">
      <c r="C89" s="58"/>
    </row>
    <row r="90" spans="3:3">
      <c r="C90" s="58"/>
    </row>
    <row r="91" spans="3:3">
      <c r="C91" s="58"/>
    </row>
    <row r="92" spans="3:3">
      <c r="C92" s="58"/>
    </row>
    <row r="93" spans="3:3">
      <c r="C93" s="58"/>
    </row>
    <row r="94" spans="3:3">
      <c r="C94" s="58"/>
    </row>
    <row r="95" spans="3:3">
      <c r="C95" s="58"/>
    </row>
    <row r="96" spans="3:3">
      <c r="C96" s="58"/>
    </row>
    <row r="97" spans="3:11">
      <c r="C97" s="58"/>
    </row>
    <row r="98" spans="3:11">
      <c r="C98" s="58"/>
    </row>
    <row r="99" spans="3:11">
      <c r="C99" s="58"/>
    </row>
    <row r="100" spans="3:11">
      <c r="C100" s="58"/>
    </row>
    <row r="101" spans="3:11">
      <c r="C101" s="58"/>
    </row>
    <row r="102" spans="3:11">
      <c r="C102" s="58"/>
    </row>
    <row r="103" spans="3:11">
      <c r="C103" s="58"/>
    </row>
    <row r="104" spans="3:11">
      <c r="C104" s="58"/>
    </row>
    <row r="105" spans="3:11">
      <c r="C105" s="58"/>
    </row>
    <row r="106" spans="3:11">
      <c r="C106" s="58"/>
    </row>
    <row r="107" spans="3:11">
      <c r="C107" s="58"/>
    </row>
    <row r="108" spans="3:11">
      <c r="C108" s="58"/>
    </row>
    <row r="109" spans="3:11">
      <c r="C109" s="58"/>
    </row>
    <row r="110" spans="3:11">
      <c r="C110" s="58"/>
    </row>
    <row r="111" spans="3:11">
      <c r="C111" s="58"/>
    </row>
    <row r="112" spans="3:11">
      <c r="C112" s="58"/>
      <c r="K112" s="60"/>
    </row>
    <row r="113" spans="3:11">
      <c r="C113" s="58"/>
      <c r="K113" s="60"/>
    </row>
    <row r="114" spans="3:11">
      <c r="C114" s="58"/>
      <c r="K114" s="60"/>
    </row>
    <row r="115" spans="3:11">
      <c r="C115" s="58"/>
      <c r="K115" s="60"/>
    </row>
    <row r="116" spans="3:11">
      <c r="C116" s="58"/>
      <c r="K116" s="60"/>
    </row>
    <row r="117" spans="3:11">
      <c r="C117" s="58"/>
      <c r="K117" s="60"/>
    </row>
    <row r="118" spans="3:11">
      <c r="C118" s="58"/>
      <c r="K118" s="60"/>
    </row>
    <row r="119" spans="3:11">
      <c r="C119" s="58"/>
      <c r="K119" s="60"/>
    </row>
    <row r="120" spans="3:11">
      <c r="C120" s="58"/>
      <c r="K120" s="60"/>
    </row>
    <row r="121" spans="3:11">
      <c r="C121" s="58"/>
      <c r="K121" s="60"/>
    </row>
    <row r="122" spans="3:11">
      <c r="C122" s="58"/>
      <c r="K122" s="60"/>
    </row>
    <row r="123" spans="3:11">
      <c r="C123" s="58"/>
      <c r="K123" s="60"/>
    </row>
    <row r="124" spans="3:11">
      <c r="C124" s="58"/>
      <c r="K124" s="60"/>
    </row>
    <row r="125" spans="3:11">
      <c r="C125" s="58"/>
      <c r="K125" s="60"/>
    </row>
    <row r="126" spans="3:11">
      <c r="C126" s="58"/>
      <c r="K126" s="60"/>
    </row>
    <row r="127" spans="3:11">
      <c r="C127" s="58"/>
      <c r="K127" s="60"/>
    </row>
    <row r="128" spans="3:11">
      <c r="C128" s="58"/>
      <c r="K128" s="60"/>
    </row>
    <row r="129" spans="3:11">
      <c r="C129" s="58"/>
      <c r="K129" s="60"/>
    </row>
    <row r="130" spans="3:11">
      <c r="C130" s="58"/>
      <c r="K130" s="60"/>
    </row>
    <row r="131" spans="3:11">
      <c r="C131" s="58"/>
      <c r="K131" s="60"/>
    </row>
    <row r="132" spans="3:11">
      <c r="C132" s="58"/>
      <c r="K132" s="60"/>
    </row>
    <row r="133" spans="3:11">
      <c r="C133" s="58"/>
      <c r="K133" s="60"/>
    </row>
    <row r="134" spans="3:11">
      <c r="C134" s="58"/>
      <c r="K134" s="60"/>
    </row>
    <row r="135" spans="3:11">
      <c r="C135" s="58"/>
      <c r="K135" s="60"/>
    </row>
    <row r="136" spans="3:11">
      <c r="C136" s="58"/>
      <c r="K136" s="60"/>
    </row>
    <row r="137" spans="3:11">
      <c r="C137" s="58"/>
      <c r="K137" s="60"/>
    </row>
    <row r="138" spans="3:11">
      <c r="C138" s="58"/>
      <c r="K138" s="60"/>
    </row>
    <row r="139" spans="3:11">
      <c r="C139" s="58"/>
      <c r="K139" s="60"/>
    </row>
    <row r="140" spans="3:11">
      <c r="C140" s="58"/>
      <c r="K140" s="60"/>
    </row>
    <row r="141" spans="3:11">
      <c r="C141" s="58"/>
      <c r="K141" s="60"/>
    </row>
    <row r="142" spans="3:11">
      <c r="C142" s="58"/>
      <c r="K142" s="60"/>
    </row>
    <row r="143" spans="3:11">
      <c r="C143" s="58"/>
      <c r="K143" s="60"/>
    </row>
    <row r="144" spans="3:11">
      <c r="C144" s="58"/>
      <c r="K144" s="60"/>
    </row>
    <row r="145" spans="3:11">
      <c r="C145" s="58"/>
      <c r="K145" s="60"/>
    </row>
    <row r="146" spans="3:11">
      <c r="C146" s="58"/>
      <c r="K146" s="60"/>
    </row>
    <row r="147" spans="3:11">
      <c r="C147" s="58"/>
      <c r="K147" s="60"/>
    </row>
    <row r="148" spans="3:11">
      <c r="C148" s="58"/>
      <c r="K148" s="60"/>
    </row>
    <row r="149" spans="3:11">
      <c r="C149" s="58"/>
      <c r="K149" s="60"/>
    </row>
    <row r="150" spans="3:11">
      <c r="C150" s="58"/>
      <c r="K150" s="60"/>
    </row>
    <row r="151" spans="3:11">
      <c r="C151" s="58"/>
      <c r="K151" s="60"/>
    </row>
    <row r="152" spans="3:11">
      <c r="C152" s="58"/>
      <c r="K152" s="60"/>
    </row>
    <row r="153" spans="3:11">
      <c r="C153" s="58"/>
      <c r="K153" s="60"/>
    </row>
    <row r="154" spans="3:11">
      <c r="C154" s="58"/>
      <c r="K154" s="60"/>
    </row>
    <row r="155" spans="3:11">
      <c r="C155" s="58"/>
      <c r="K155" s="60"/>
    </row>
    <row r="156" spans="3:11">
      <c r="C156" s="58"/>
      <c r="K156" s="60"/>
    </row>
    <row r="157" spans="3:11">
      <c r="C157" s="58"/>
      <c r="K157" s="60"/>
    </row>
    <row r="158" spans="3:11">
      <c r="C158" s="58"/>
      <c r="K158" s="60"/>
    </row>
    <row r="159" spans="3:11">
      <c r="C159" s="58"/>
      <c r="K159" s="60"/>
    </row>
    <row r="160" spans="3:11">
      <c r="C160" s="58"/>
    </row>
    <row r="161" spans="3:3">
      <c r="C161" s="58"/>
    </row>
    <row r="162" spans="3:3">
      <c r="C162" s="58"/>
    </row>
    <row r="163" spans="3:3">
      <c r="C163" s="58"/>
    </row>
    <row r="164" spans="3:3">
      <c r="C164" s="58"/>
    </row>
    <row r="165" spans="3:3">
      <c r="C165" s="58"/>
    </row>
    <row r="166" spans="3:3">
      <c r="C166" s="58"/>
    </row>
    <row r="167" spans="3:3">
      <c r="C167" s="58"/>
    </row>
    <row r="168" spans="3:3">
      <c r="C168" s="58"/>
    </row>
    <row r="169" spans="3:3">
      <c r="C169" s="58"/>
    </row>
    <row r="170" spans="3:3">
      <c r="C170" s="58"/>
    </row>
    <row r="171" spans="3:3">
      <c r="C171" s="58"/>
    </row>
    <row r="172" spans="3:3">
      <c r="C172" s="58"/>
    </row>
    <row r="173" spans="3:3">
      <c r="C173" s="58"/>
    </row>
    <row r="174" spans="3:3">
      <c r="C174" s="58"/>
    </row>
    <row r="175" spans="3:3">
      <c r="C175" s="58"/>
    </row>
    <row r="176" spans="3:3">
      <c r="C176" s="58"/>
    </row>
    <row r="177" spans="3:3">
      <c r="C177" s="58"/>
    </row>
    <row r="178" spans="3:3">
      <c r="C178" s="58"/>
    </row>
    <row r="179" spans="3:3">
      <c r="C179" s="58"/>
    </row>
    <row r="180" spans="3:3">
      <c r="C180" s="58"/>
    </row>
    <row r="181" spans="3:3">
      <c r="C181" s="58"/>
    </row>
    <row r="182" spans="3:3">
      <c r="C182" s="58"/>
    </row>
    <row r="183" spans="3:3">
      <c r="C183" s="58"/>
    </row>
    <row r="184" spans="3:3">
      <c r="C184" s="58"/>
    </row>
    <row r="185" spans="3:3">
      <c r="C185" s="58"/>
    </row>
    <row r="186" spans="3:3">
      <c r="C186" s="58"/>
    </row>
    <row r="187" spans="3:3">
      <c r="C187" s="58"/>
    </row>
    <row r="188" spans="3:3">
      <c r="C188" s="58"/>
    </row>
    <row r="189" spans="3:3">
      <c r="C189" s="58"/>
    </row>
    <row r="190" spans="3:3">
      <c r="C190" s="58"/>
    </row>
    <row r="191" spans="3:3">
      <c r="C191" s="58"/>
    </row>
    <row r="192" spans="3:3">
      <c r="C192" s="58"/>
    </row>
    <row r="193" spans="3:3">
      <c r="C193" s="58"/>
    </row>
    <row r="194" spans="3:3">
      <c r="C194" s="58"/>
    </row>
    <row r="195" spans="3:3">
      <c r="C195" s="58"/>
    </row>
    <row r="196" spans="3:3">
      <c r="C196" s="58"/>
    </row>
    <row r="197" spans="3:3">
      <c r="C197" s="58"/>
    </row>
    <row r="198" spans="3:3">
      <c r="C198" s="58"/>
    </row>
    <row r="199" spans="3:3">
      <c r="C199" s="58"/>
    </row>
    <row r="200" spans="3:3">
      <c r="C200" s="58"/>
    </row>
    <row r="201" spans="3:3">
      <c r="C201" s="58"/>
    </row>
  </sheetData>
  <phoneticPr fontId="5" type="noConversion"/>
  <hyperlinks>
    <hyperlink ref="L2" r:id="rId1" display="https://www.vishay.com/docs/93693/vs-30pf0_m3series.pdf"/>
    <hyperlink ref="H13" r:id="rId2"/>
    <hyperlink ref="H2" r:id="rId3"/>
    <hyperlink ref="H3" r:id="rId4"/>
    <hyperlink ref="H4" r:id="rId5"/>
    <hyperlink ref="H5" r:id="rId6"/>
    <hyperlink ref="H6" r:id="rId7"/>
    <hyperlink ref="H7" r:id="rId8"/>
    <hyperlink ref="H8" r:id="rId9"/>
    <hyperlink ref="H9" r:id="rId10"/>
    <hyperlink ref="H10" r:id="rId11"/>
    <hyperlink ref="H11" r:id="rId12"/>
    <hyperlink ref="H12" r:id="rId13"/>
    <hyperlink ref="H14" r:id="rId14"/>
    <hyperlink ref="H15" r:id="rId15"/>
    <hyperlink ref="H16" r:id="rId16"/>
    <hyperlink ref="H17" r:id="rId17"/>
    <hyperlink ref="H18" r:id="rId18"/>
    <hyperlink ref="H19" r:id="rId19"/>
    <hyperlink ref="H20" r:id="rId20"/>
    <hyperlink ref="H21" r:id="rId21"/>
    <hyperlink ref="H22" r:id="rId22"/>
    <hyperlink ref="H23" r:id="rId23"/>
    <hyperlink ref="H24" r:id="rId24"/>
    <hyperlink ref="H25" r:id="rId25"/>
    <hyperlink ref="H26" r:id="rId26"/>
    <hyperlink ref="H27" r:id="rId27"/>
    <hyperlink ref="H28" r:id="rId28"/>
    <hyperlink ref="H29" r:id="rId29"/>
    <hyperlink ref="H30" r:id="rId30"/>
    <hyperlink ref="H31" r:id="rId31"/>
    <hyperlink ref="H32" r:id="rId32"/>
    <hyperlink ref="H33" r:id="rId33"/>
    <hyperlink ref="H34" r:id="rId34"/>
    <hyperlink ref="H35" r:id="rId35"/>
    <hyperlink ref="H36" r:id="rId36"/>
    <hyperlink ref="H37" r:id="rId37"/>
    <hyperlink ref="H38" r:id="rId38"/>
    <hyperlink ref="H39" r:id="rId39"/>
    <hyperlink ref="H40" r:id="rId40"/>
    <hyperlink ref="H41" r:id="rId41"/>
    <hyperlink ref="H42" r:id="rId42"/>
    <hyperlink ref="H43" r:id="rId43"/>
    <hyperlink ref="H44" r:id="rId44"/>
  </hyperlinks>
  <pageMargins left="0.7" right="0.7" top="0.75" bottom="0.75" header="0.3" footer="0.3"/>
  <drawing r:id="rId4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18"/>
  <sheetViews>
    <sheetView topLeftCell="L1" zoomScale="70" zoomScaleNormal="70" workbookViewId="0">
      <selection activeCell="P3" sqref="P3:P10"/>
    </sheetView>
  </sheetViews>
  <sheetFormatPr baseColWidth="10" defaultColWidth="37.41796875" defaultRowHeight="20.25" customHeight="1"/>
  <cols>
    <col min="13" max="13" width="70.15625" bestFit="1" customWidth="1"/>
  </cols>
  <sheetData>
    <row r="1" spans="1:23" ht="20.25" customHeight="1">
      <c r="A1" s="35" t="s">
        <v>518</v>
      </c>
      <c r="B1" s="35" t="s">
        <v>519</v>
      </c>
      <c r="C1" s="35" t="s">
        <v>520</v>
      </c>
      <c r="D1" s="35" t="s">
        <v>521</v>
      </c>
      <c r="E1" s="35" t="s">
        <v>522</v>
      </c>
      <c r="F1" s="35" t="s">
        <v>523</v>
      </c>
      <c r="G1" s="186" t="s">
        <v>524</v>
      </c>
      <c r="H1" s="186" t="s">
        <v>525</v>
      </c>
      <c r="I1" s="186" t="s">
        <v>526</v>
      </c>
      <c r="J1" s="35" t="s">
        <v>12</v>
      </c>
      <c r="K1" s="35" t="s">
        <v>14</v>
      </c>
      <c r="L1" s="35" t="s">
        <v>15</v>
      </c>
      <c r="M1" s="35" t="s">
        <v>16</v>
      </c>
    </row>
    <row r="2" spans="1:23" ht="20.25" customHeight="1">
      <c r="A2" s="24" t="s">
        <v>950</v>
      </c>
      <c r="B2" s="24" t="s">
        <v>951</v>
      </c>
      <c r="C2" s="24" t="s">
        <v>952</v>
      </c>
      <c r="D2" s="24" t="s">
        <v>703</v>
      </c>
      <c r="E2" s="24" t="s">
        <v>953</v>
      </c>
      <c r="F2" s="41" t="s">
        <v>954</v>
      </c>
      <c r="G2" s="189">
        <v>41258</v>
      </c>
      <c r="H2" s="190" t="s">
        <v>546</v>
      </c>
      <c r="I2" s="190"/>
      <c r="J2" s="81" t="s">
        <v>955</v>
      </c>
      <c r="K2" s="24" t="s">
        <v>540</v>
      </c>
      <c r="L2" s="24" t="s">
        <v>0</v>
      </c>
      <c r="M2" s="24"/>
      <c r="O2" s="36" t="s">
        <v>14</v>
      </c>
      <c r="P2" s="34"/>
      <c r="U2" s="46" t="s">
        <v>43</v>
      </c>
      <c r="V2" s="55" t="s">
        <v>44</v>
      </c>
      <c r="W2" s="46" t="s">
        <v>45</v>
      </c>
    </row>
    <row r="3" spans="1:23" ht="20.25" customHeight="1">
      <c r="A3" s="24" t="s">
        <v>956</v>
      </c>
      <c r="B3" s="24" t="s">
        <v>957</v>
      </c>
      <c r="C3" s="24" t="s">
        <v>952</v>
      </c>
      <c r="D3" s="24" t="s">
        <v>703</v>
      </c>
      <c r="E3" s="24" t="s">
        <v>958</v>
      </c>
      <c r="F3" s="41" t="s">
        <v>959</v>
      </c>
      <c r="G3" s="189">
        <v>41258</v>
      </c>
      <c r="H3" s="190" t="s">
        <v>546</v>
      </c>
      <c r="I3" s="190"/>
      <c r="J3" s="81" t="s">
        <v>955</v>
      </c>
      <c r="K3" s="24" t="s">
        <v>540</v>
      </c>
      <c r="L3" s="24" t="s">
        <v>0</v>
      </c>
      <c r="M3" s="24"/>
      <c r="O3" s="5" t="s">
        <v>540</v>
      </c>
      <c r="P3" s="1">
        <f t="shared" ref="P3:P8" si="0">COUNTIF($K$2:$K$620,O3)</f>
        <v>4</v>
      </c>
      <c r="U3" s="49" t="s">
        <v>50</v>
      </c>
      <c r="V3" s="51">
        <f>COUNTIF($M$2:$M$135,"&lt;4")</f>
        <v>3</v>
      </c>
      <c r="W3" s="24">
        <f>V3</f>
        <v>3</v>
      </c>
    </row>
    <row r="4" spans="1:23" ht="20.25" customHeight="1">
      <c r="A4" s="24" t="s">
        <v>999</v>
      </c>
      <c r="B4" s="24" t="s">
        <v>1000</v>
      </c>
      <c r="C4" s="24" t="s">
        <v>952</v>
      </c>
      <c r="D4" s="24" t="s">
        <v>703</v>
      </c>
      <c r="E4" s="24" t="s">
        <v>1001</v>
      </c>
      <c r="F4" s="41" t="s">
        <v>1002</v>
      </c>
      <c r="G4" s="189">
        <v>41690</v>
      </c>
      <c r="H4" s="190" t="s">
        <v>546</v>
      </c>
      <c r="I4" s="190"/>
      <c r="J4" s="81" t="s">
        <v>955</v>
      </c>
      <c r="K4" s="24" t="s">
        <v>540</v>
      </c>
      <c r="L4" s="24" t="s">
        <v>0</v>
      </c>
      <c r="M4" s="24"/>
      <c r="O4" s="5" t="s">
        <v>55</v>
      </c>
      <c r="P4" s="1">
        <f t="shared" si="0"/>
        <v>0</v>
      </c>
      <c r="U4" s="41" t="s">
        <v>56</v>
      </c>
      <c r="V4" s="51">
        <f>COUNTIF($M$2:$M$135,"&lt;7")</f>
        <v>5</v>
      </c>
      <c r="W4" s="24">
        <f>V4-V3</f>
        <v>2</v>
      </c>
    </row>
    <row r="5" spans="1:23" ht="20.25" customHeight="1">
      <c r="A5" s="24" t="s">
        <v>1034</v>
      </c>
      <c r="B5" s="24" t="s">
        <v>1035</v>
      </c>
      <c r="C5" s="24" t="s">
        <v>952</v>
      </c>
      <c r="D5" s="24" t="s">
        <v>703</v>
      </c>
      <c r="E5" s="24" t="s">
        <v>1036</v>
      </c>
      <c r="F5" s="41" t="s">
        <v>1037</v>
      </c>
      <c r="G5" s="189">
        <v>42357</v>
      </c>
      <c r="H5" s="190" t="s">
        <v>546</v>
      </c>
      <c r="I5" s="190"/>
      <c r="J5" s="81" t="s">
        <v>1038</v>
      </c>
      <c r="K5" s="24" t="s">
        <v>73</v>
      </c>
      <c r="L5" s="24" t="s">
        <v>74</v>
      </c>
      <c r="M5" s="24"/>
      <c r="O5" s="5" t="s">
        <v>60</v>
      </c>
      <c r="P5" s="1">
        <f t="shared" si="0"/>
        <v>0</v>
      </c>
      <c r="U5" s="41" t="s">
        <v>61</v>
      </c>
      <c r="V5" s="51">
        <f>COUNTIF($M$2:$M$135,"&lt;10")</f>
        <v>5</v>
      </c>
      <c r="W5" s="24">
        <f>V5-V4</f>
        <v>0</v>
      </c>
    </row>
    <row r="6" spans="1:23" ht="20.25" customHeight="1">
      <c r="A6" s="24" t="s">
        <v>1039</v>
      </c>
      <c r="B6" s="24" t="s">
        <v>1040</v>
      </c>
      <c r="C6" s="24" t="s">
        <v>952</v>
      </c>
      <c r="D6" s="24" t="s">
        <v>703</v>
      </c>
      <c r="E6" s="24" t="s">
        <v>1041</v>
      </c>
      <c r="F6" s="41" t="s">
        <v>1042</v>
      </c>
      <c r="G6" s="189">
        <v>42357</v>
      </c>
      <c r="H6" s="190" t="s">
        <v>546</v>
      </c>
      <c r="I6" s="190"/>
      <c r="J6" s="81" t="s">
        <v>1038</v>
      </c>
      <c r="K6" s="24" t="s">
        <v>73</v>
      </c>
      <c r="L6" s="24" t="s">
        <v>74</v>
      </c>
      <c r="M6" s="24"/>
      <c r="O6" s="5" t="s">
        <v>36</v>
      </c>
      <c r="P6" s="1">
        <f t="shared" si="0"/>
        <v>5</v>
      </c>
      <c r="U6" s="41" t="s">
        <v>67</v>
      </c>
      <c r="V6" s="41">
        <f>COUNTIF($M$2:$M$135,"&lt;13")</f>
        <v>5</v>
      </c>
      <c r="W6" s="24">
        <f>V6-V5</f>
        <v>0</v>
      </c>
    </row>
    <row r="7" spans="1:23" ht="20.25" customHeight="1">
      <c r="A7" s="24" t="s">
        <v>1043</v>
      </c>
      <c r="B7" s="24" t="s">
        <v>1044</v>
      </c>
      <c r="C7" s="24" t="s">
        <v>952</v>
      </c>
      <c r="D7" s="24" t="s">
        <v>703</v>
      </c>
      <c r="E7" s="24" t="s">
        <v>1045</v>
      </c>
      <c r="F7" s="41" t="s">
        <v>1046</v>
      </c>
      <c r="G7" s="189">
        <v>42357</v>
      </c>
      <c r="H7" s="190" t="s">
        <v>546</v>
      </c>
      <c r="I7" s="190"/>
      <c r="J7" s="81" t="s">
        <v>1038</v>
      </c>
      <c r="K7" s="24" t="s">
        <v>73</v>
      </c>
      <c r="L7" s="24" t="s">
        <v>74</v>
      </c>
      <c r="M7" s="24"/>
      <c r="O7" s="5" t="s">
        <v>75</v>
      </c>
      <c r="P7" s="1">
        <f t="shared" si="0"/>
        <v>0</v>
      </c>
      <c r="U7" s="47" t="s">
        <v>76</v>
      </c>
      <c r="V7" s="52">
        <f>COUNTIF($M$2:$M$135,"&gt;12")</f>
        <v>0</v>
      </c>
      <c r="W7" s="24">
        <f>+V7</f>
        <v>0</v>
      </c>
    </row>
    <row r="8" spans="1:23" ht="20.25" customHeight="1">
      <c r="A8" s="24" t="s">
        <v>1057</v>
      </c>
      <c r="B8" s="24" t="s">
        <v>1058</v>
      </c>
      <c r="C8" s="24" t="s">
        <v>952</v>
      </c>
      <c r="D8" s="24" t="s">
        <v>703</v>
      </c>
      <c r="E8" s="24" t="s">
        <v>1059</v>
      </c>
      <c r="F8" s="41" t="s">
        <v>1060</v>
      </c>
      <c r="G8" s="189">
        <v>42760</v>
      </c>
      <c r="H8" s="190">
        <v>42892</v>
      </c>
      <c r="I8" s="190"/>
      <c r="J8" s="81" t="s">
        <v>1061</v>
      </c>
      <c r="K8" s="24" t="s">
        <v>73</v>
      </c>
      <c r="L8" s="24" t="s">
        <v>74</v>
      </c>
      <c r="M8" s="24">
        <v>4</v>
      </c>
      <c r="O8" s="5" t="s">
        <v>27</v>
      </c>
      <c r="P8" s="1">
        <f t="shared" si="0"/>
        <v>1</v>
      </c>
      <c r="U8" s="35" t="s">
        <v>80</v>
      </c>
      <c r="V8" s="53"/>
      <c r="W8" s="54">
        <f>SUM(W3:W7)</f>
        <v>5</v>
      </c>
    </row>
    <row r="9" spans="1:23" ht="20.25" customHeight="1">
      <c r="A9" s="24" t="s">
        <v>2489</v>
      </c>
      <c r="B9" s="24" t="s">
        <v>2490</v>
      </c>
      <c r="C9" s="24" t="s">
        <v>952</v>
      </c>
      <c r="D9" s="24" t="s">
        <v>703</v>
      </c>
      <c r="E9" s="24" t="s">
        <v>2491</v>
      </c>
      <c r="F9" s="41" t="s">
        <v>2492</v>
      </c>
      <c r="G9" s="189">
        <v>43104</v>
      </c>
      <c r="H9" s="187">
        <v>43165</v>
      </c>
      <c r="I9" s="190">
        <v>43167</v>
      </c>
      <c r="J9" s="81" t="s">
        <v>2493</v>
      </c>
      <c r="K9" s="24" t="s">
        <v>73</v>
      </c>
      <c r="L9" s="24" t="s">
        <v>74</v>
      </c>
      <c r="M9" s="24">
        <v>2</v>
      </c>
      <c r="O9" s="153" t="s">
        <v>73</v>
      </c>
      <c r="P9" s="61">
        <f>COUNTIF($K$2:$K$620,O9)</f>
        <v>6</v>
      </c>
    </row>
    <row r="10" spans="1:23" ht="20.25" customHeight="1">
      <c r="A10" s="24" t="s">
        <v>2494</v>
      </c>
      <c r="B10" s="24" t="s">
        <v>2495</v>
      </c>
      <c r="C10" s="24" t="s">
        <v>952</v>
      </c>
      <c r="D10" s="24" t="s">
        <v>703</v>
      </c>
      <c r="E10" s="24" t="s">
        <v>2496</v>
      </c>
      <c r="F10" s="41" t="s">
        <v>2497</v>
      </c>
      <c r="G10" s="189">
        <v>42992</v>
      </c>
      <c r="H10" s="187">
        <v>42895</v>
      </c>
      <c r="I10" s="190">
        <v>43165</v>
      </c>
      <c r="J10" s="81" t="s">
        <v>2498</v>
      </c>
      <c r="K10" s="24" t="s">
        <v>540</v>
      </c>
      <c r="L10" s="24" t="s">
        <v>0</v>
      </c>
      <c r="M10" s="24"/>
      <c r="O10" s="24" t="s">
        <v>578</v>
      </c>
      <c r="P10" s="24">
        <f>COUNTIF($K$2:$K$620,O10)</f>
        <v>0</v>
      </c>
    </row>
    <row r="11" spans="1:23" ht="20.25" customHeight="1">
      <c r="A11" s="24" t="s">
        <v>2513</v>
      </c>
      <c r="B11" s="24" t="s">
        <v>2514</v>
      </c>
      <c r="C11" s="24" t="s">
        <v>952</v>
      </c>
      <c r="D11" s="24" t="s">
        <v>703</v>
      </c>
      <c r="E11" s="24" t="s">
        <v>2515</v>
      </c>
      <c r="F11" s="41" t="s">
        <v>2516</v>
      </c>
      <c r="G11" s="189">
        <v>43468</v>
      </c>
      <c r="H11" s="187">
        <v>43497</v>
      </c>
      <c r="I11" s="190">
        <v>43467</v>
      </c>
      <c r="J11" s="81" t="s">
        <v>2517</v>
      </c>
      <c r="K11" s="24" t="s">
        <v>27</v>
      </c>
      <c r="L11" s="24" t="s">
        <v>28</v>
      </c>
      <c r="M11" s="24">
        <v>0</v>
      </c>
      <c r="O11" s="80" t="s">
        <v>80</v>
      </c>
      <c r="P11" s="154">
        <f>SUM(P3:P10)</f>
        <v>16</v>
      </c>
    </row>
    <row r="12" spans="1:23" ht="20.25" customHeight="1">
      <c r="A12" s="24" t="s">
        <v>2523</v>
      </c>
      <c r="B12" s="24" t="s">
        <v>2524</v>
      </c>
      <c r="C12" s="24" t="s">
        <v>952</v>
      </c>
      <c r="D12" s="24" t="s">
        <v>703</v>
      </c>
      <c r="E12" s="24" t="s">
        <v>2525</v>
      </c>
      <c r="F12" s="41" t="s">
        <v>2526</v>
      </c>
      <c r="G12" s="189">
        <v>43861</v>
      </c>
      <c r="H12" s="187"/>
      <c r="I12" s="190"/>
      <c r="J12" s="81" t="s">
        <v>2527</v>
      </c>
      <c r="K12" s="24" t="s">
        <v>36</v>
      </c>
      <c r="L12" s="24" t="s">
        <v>28</v>
      </c>
      <c r="M12" s="24"/>
    </row>
    <row r="13" spans="1:23" ht="20.25" customHeight="1">
      <c r="A13" s="24" t="s">
        <v>2528</v>
      </c>
      <c r="B13" s="24" t="s">
        <v>2529</v>
      </c>
      <c r="C13" s="24" t="s">
        <v>952</v>
      </c>
      <c r="D13" s="24" t="s">
        <v>703</v>
      </c>
      <c r="E13" s="24" t="s">
        <v>2530</v>
      </c>
      <c r="F13" s="41" t="s">
        <v>2531</v>
      </c>
      <c r="G13" s="189">
        <v>43861</v>
      </c>
      <c r="H13" s="187"/>
      <c r="I13" s="190"/>
      <c r="J13" s="81" t="s">
        <v>2527</v>
      </c>
      <c r="K13" s="24" t="s">
        <v>36</v>
      </c>
      <c r="L13" s="24" t="s">
        <v>28</v>
      </c>
      <c r="M13" s="24"/>
      <c r="O13" s="36" t="s">
        <v>590</v>
      </c>
      <c r="P13" s="34"/>
    </row>
    <row r="14" spans="1:23" ht="20.25" customHeight="1">
      <c r="A14" s="24" t="s">
        <v>2532</v>
      </c>
      <c r="B14" s="24" t="s">
        <v>2533</v>
      </c>
      <c r="C14" s="24" t="s">
        <v>952</v>
      </c>
      <c r="D14" s="24" t="s">
        <v>703</v>
      </c>
      <c r="E14" s="24" t="s">
        <v>2534</v>
      </c>
      <c r="F14" s="41" t="s">
        <v>2535</v>
      </c>
      <c r="G14" s="189">
        <v>43867</v>
      </c>
      <c r="H14" s="187"/>
      <c r="I14" s="190"/>
      <c r="J14" s="81" t="s">
        <v>2527</v>
      </c>
      <c r="K14" s="24" t="s">
        <v>36</v>
      </c>
      <c r="L14" s="24" t="s">
        <v>28</v>
      </c>
      <c r="M14" s="24"/>
      <c r="O14" s="5" t="s">
        <v>28</v>
      </c>
      <c r="P14" s="1">
        <f>COUNTIF($L$2:$L$620,O14)</f>
        <v>6</v>
      </c>
    </row>
    <row r="15" spans="1:23" ht="20.25" customHeight="1">
      <c r="A15" s="24" t="s">
        <v>2536</v>
      </c>
      <c r="B15" s="24" t="s">
        <v>2537</v>
      </c>
      <c r="C15" s="24" t="s">
        <v>952</v>
      </c>
      <c r="D15" s="24" t="s">
        <v>703</v>
      </c>
      <c r="E15" s="24" t="s">
        <v>2538</v>
      </c>
      <c r="F15" s="41" t="s">
        <v>2539</v>
      </c>
      <c r="G15" s="189">
        <v>44097</v>
      </c>
      <c r="H15" s="187"/>
      <c r="I15" s="190"/>
      <c r="J15" s="81" t="s">
        <v>2540</v>
      </c>
      <c r="K15" s="24" t="s">
        <v>36</v>
      </c>
      <c r="L15" s="24" t="s">
        <v>28</v>
      </c>
      <c r="M15" s="24"/>
      <c r="O15" s="5" t="s">
        <v>74</v>
      </c>
      <c r="P15" s="1">
        <f t="shared" ref="P15:P17" si="1">COUNTIF($L$2:$L$620,O15)</f>
        <v>6</v>
      </c>
    </row>
    <row r="16" spans="1:23" ht="20.25" customHeight="1">
      <c r="A16" s="24" t="s">
        <v>2541</v>
      </c>
      <c r="B16" s="24" t="s">
        <v>2542</v>
      </c>
      <c r="C16" s="24" t="s">
        <v>952</v>
      </c>
      <c r="D16" s="24" t="s">
        <v>703</v>
      </c>
      <c r="E16" s="24" t="s">
        <v>2543</v>
      </c>
      <c r="F16" s="41" t="s">
        <v>2544</v>
      </c>
      <c r="G16" s="189">
        <v>44135</v>
      </c>
      <c r="H16" s="187">
        <v>44310</v>
      </c>
      <c r="I16" s="190">
        <v>44560</v>
      </c>
      <c r="J16" s="81" t="s">
        <v>2545</v>
      </c>
      <c r="K16" s="24" t="s">
        <v>73</v>
      </c>
      <c r="L16" s="24" t="s">
        <v>74</v>
      </c>
      <c r="M16" s="24">
        <v>5</v>
      </c>
      <c r="O16" s="153" t="s">
        <v>103</v>
      </c>
      <c r="P16" s="1">
        <f t="shared" si="1"/>
        <v>0</v>
      </c>
    </row>
    <row r="17" spans="1:16" ht="20.25" customHeight="1">
      <c r="A17" s="24" t="s">
        <v>2551</v>
      </c>
      <c r="B17" s="24" t="s">
        <v>2552</v>
      </c>
      <c r="C17" s="24" t="s">
        <v>2553</v>
      </c>
      <c r="D17" s="24" t="s">
        <v>703</v>
      </c>
      <c r="E17" s="24" t="s">
        <v>2554</v>
      </c>
      <c r="F17" s="41" t="s">
        <v>2555</v>
      </c>
      <c r="G17" s="189">
        <v>44250</v>
      </c>
      <c r="H17" s="187">
        <v>44249</v>
      </c>
      <c r="I17" s="191"/>
      <c r="J17" s="81" t="s">
        <v>2556</v>
      </c>
      <c r="K17" s="24" t="s">
        <v>36</v>
      </c>
      <c r="L17" s="24" t="s">
        <v>28</v>
      </c>
      <c r="M17" s="24">
        <v>0</v>
      </c>
      <c r="O17" s="171" t="s">
        <v>0</v>
      </c>
      <c r="P17" s="27">
        <f t="shared" si="1"/>
        <v>4</v>
      </c>
    </row>
    <row r="18" spans="1:16" ht="20.25" customHeight="1">
      <c r="O18" s="80" t="s">
        <v>80</v>
      </c>
      <c r="P18" s="39">
        <f>SUM(P14:P17)</f>
        <v>16</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4:D10"/>
  <sheetViews>
    <sheetView workbookViewId="0">
      <selection activeCell="E21" sqref="E21"/>
    </sheetView>
  </sheetViews>
  <sheetFormatPr baseColWidth="10" defaultColWidth="11.41796875" defaultRowHeight="14.4"/>
  <cols>
    <col min="1" max="1" width="11.41796875" style="101"/>
    <col min="2" max="2" width="36" style="101" customWidth="1"/>
    <col min="3" max="16384" width="11.41796875" style="101"/>
  </cols>
  <sheetData>
    <row r="4" spans="2:4" ht="43.2">
      <c r="B4" s="238" t="s">
        <v>4906</v>
      </c>
      <c r="C4" s="239" t="s">
        <v>21</v>
      </c>
      <c r="D4" s="239" t="s">
        <v>4893</v>
      </c>
    </row>
    <row r="5" spans="2:4">
      <c r="B5" s="240" t="s">
        <v>4907</v>
      </c>
      <c r="C5" s="240">
        <v>4</v>
      </c>
      <c r="D5" s="240">
        <v>5</v>
      </c>
    </row>
    <row r="6" spans="2:4">
      <c r="B6" s="240" t="s">
        <v>4908</v>
      </c>
      <c r="C6" s="240">
        <v>4</v>
      </c>
      <c r="D6" s="240">
        <v>15</v>
      </c>
    </row>
    <row r="7" spans="2:4">
      <c r="B7" s="240" t="s">
        <v>4904</v>
      </c>
      <c r="C7" s="240">
        <v>3</v>
      </c>
      <c r="D7" s="240">
        <v>0</v>
      </c>
    </row>
    <row r="8" spans="2:4">
      <c r="B8" s="240" t="s">
        <v>4909</v>
      </c>
      <c r="C8" s="240">
        <v>2</v>
      </c>
      <c r="D8" s="240">
        <v>8</v>
      </c>
    </row>
    <row r="9" spans="2:4">
      <c r="B9" s="241" t="s">
        <v>4910</v>
      </c>
      <c r="C9" s="241">
        <v>0</v>
      </c>
      <c r="D9" s="241">
        <v>3</v>
      </c>
    </row>
    <row r="10" spans="2:4">
      <c r="B10" s="242" t="s">
        <v>4911</v>
      </c>
      <c r="C10" s="242">
        <v>6</v>
      </c>
      <c r="D10" s="242">
        <v>3</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4:H21"/>
  <sheetViews>
    <sheetView zoomScaleNormal="100" workbookViewId="0">
      <selection activeCell="B20" sqref="B20"/>
    </sheetView>
  </sheetViews>
  <sheetFormatPr baseColWidth="10" defaultColWidth="11.41796875" defaultRowHeight="14.4"/>
  <cols>
    <col min="1" max="2" width="11.41796875" style="101"/>
    <col min="3" max="8" width="10.578125" style="101" customWidth="1"/>
    <col min="9" max="16384" width="11.41796875" style="101"/>
  </cols>
  <sheetData>
    <row r="4" spans="2:8">
      <c r="B4" s="230" t="s">
        <v>4903</v>
      </c>
      <c r="C4" s="231" t="s">
        <v>529</v>
      </c>
      <c r="D4" s="231" t="s">
        <v>21</v>
      </c>
      <c r="E4" s="231" t="s">
        <v>909</v>
      </c>
      <c r="F4" s="231" t="s">
        <v>4905</v>
      </c>
      <c r="G4" s="231" t="s">
        <v>192</v>
      </c>
      <c r="H4" s="231" t="s">
        <v>4893</v>
      </c>
    </row>
    <row r="5" spans="2:8">
      <c r="B5" s="232" t="s">
        <v>4912</v>
      </c>
      <c r="C5" s="233">
        <v>31</v>
      </c>
      <c r="D5" s="233">
        <v>2</v>
      </c>
      <c r="E5" s="233">
        <v>14</v>
      </c>
      <c r="F5" s="233">
        <v>21</v>
      </c>
      <c r="G5" s="233">
        <v>18</v>
      </c>
      <c r="H5" s="233">
        <v>5</v>
      </c>
    </row>
    <row r="6" spans="2:8">
      <c r="B6" s="234" t="s">
        <v>4913</v>
      </c>
      <c r="C6" s="235">
        <v>75</v>
      </c>
      <c r="D6" s="235">
        <v>30</v>
      </c>
      <c r="E6" s="235">
        <v>26</v>
      </c>
      <c r="F6" s="235">
        <v>26</v>
      </c>
      <c r="G6" s="235">
        <v>48</v>
      </c>
      <c r="H6" s="235">
        <v>37</v>
      </c>
    </row>
    <row r="7" spans="2:8">
      <c r="B7" s="234" t="s">
        <v>4914</v>
      </c>
      <c r="C7" s="235">
        <v>1</v>
      </c>
      <c r="D7" s="235">
        <v>4</v>
      </c>
      <c r="E7" s="235">
        <v>0</v>
      </c>
      <c r="F7" s="235">
        <v>2</v>
      </c>
      <c r="G7" s="235">
        <v>6</v>
      </c>
      <c r="H7" s="235">
        <v>12</v>
      </c>
    </row>
    <row r="8" spans="2:8">
      <c r="B8" s="234" t="s">
        <v>4915</v>
      </c>
      <c r="C8" s="235">
        <v>1</v>
      </c>
      <c r="D8" s="235">
        <v>4</v>
      </c>
      <c r="E8" s="235">
        <v>0</v>
      </c>
      <c r="F8" s="235">
        <v>1</v>
      </c>
      <c r="G8" s="235">
        <v>1</v>
      </c>
      <c r="H8" s="235">
        <v>4</v>
      </c>
    </row>
    <row r="9" spans="2:8">
      <c r="B9" s="236" t="s">
        <v>4916</v>
      </c>
      <c r="C9" s="237">
        <v>1</v>
      </c>
      <c r="D9" s="237">
        <v>0</v>
      </c>
      <c r="E9" s="237">
        <v>0</v>
      </c>
      <c r="F9" s="237">
        <v>0</v>
      </c>
      <c r="G9" s="237">
        <v>2</v>
      </c>
      <c r="H9" s="237">
        <v>1</v>
      </c>
    </row>
    <row r="10" spans="2:8" ht="7.5" customHeight="1"/>
    <row r="11" spans="2:8" hidden="1"/>
    <row r="12" spans="2:8" hidden="1">
      <c r="C12" s="101">
        <f>SUM(C5:C9)</f>
        <v>109</v>
      </c>
      <c r="D12" s="101">
        <f t="shared" ref="D12:H12" si="0">SUM(D5:D9)</f>
        <v>40</v>
      </c>
      <c r="E12" s="101">
        <f t="shared" si="0"/>
        <v>40</v>
      </c>
      <c r="F12" s="101">
        <f t="shared" si="0"/>
        <v>50</v>
      </c>
      <c r="G12" s="101">
        <f t="shared" si="0"/>
        <v>75</v>
      </c>
      <c r="H12" s="101">
        <f t="shared" si="0"/>
        <v>59</v>
      </c>
    </row>
    <row r="13" spans="2:8" hidden="1"/>
    <row r="14" spans="2:8" hidden="1"/>
    <row r="15" spans="2:8" ht="228.75" customHeight="1"/>
    <row r="16" spans="2:8">
      <c r="B16" s="230" t="s">
        <v>4903</v>
      </c>
      <c r="C16" s="231" t="s">
        <v>529</v>
      </c>
      <c r="D16" s="231" t="s">
        <v>21</v>
      </c>
      <c r="E16" s="231" t="s">
        <v>909</v>
      </c>
      <c r="F16" s="231" t="s">
        <v>4905</v>
      </c>
      <c r="G16" s="231" t="s">
        <v>192</v>
      </c>
      <c r="H16" s="231" t="s">
        <v>4893</v>
      </c>
    </row>
    <row r="17" spans="2:8">
      <c r="B17" s="232" t="s">
        <v>4912</v>
      </c>
      <c r="C17" s="243">
        <f>C5/C$12</f>
        <v>0.28440366972477066</v>
      </c>
      <c r="D17" s="243">
        <f t="shared" ref="D17:H17" si="1">D5/D$12</f>
        <v>0.05</v>
      </c>
      <c r="E17" s="243">
        <f t="shared" si="1"/>
        <v>0.35</v>
      </c>
      <c r="F17" s="243">
        <f t="shared" si="1"/>
        <v>0.42</v>
      </c>
      <c r="G17" s="243">
        <f t="shared" si="1"/>
        <v>0.24</v>
      </c>
      <c r="H17" s="243">
        <f t="shared" si="1"/>
        <v>8.4745762711864403E-2</v>
      </c>
    </row>
    <row r="18" spans="2:8">
      <c r="B18" s="234" t="s">
        <v>4913</v>
      </c>
      <c r="C18" s="243">
        <f t="shared" ref="C18:H21" si="2">C6/C$12</f>
        <v>0.68807339449541283</v>
      </c>
      <c r="D18" s="243">
        <f t="shared" si="2"/>
        <v>0.75</v>
      </c>
      <c r="E18" s="243">
        <f t="shared" si="2"/>
        <v>0.65</v>
      </c>
      <c r="F18" s="243">
        <f t="shared" si="2"/>
        <v>0.52</v>
      </c>
      <c r="G18" s="243">
        <f t="shared" si="2"/>
        <v>0.64</v>
      </c>
      <c r="H18" s="243">
        <f t="shared" si="2"/>
        <v>0.6271186440677966</v>
      </c>
    </row>
    <row r="19" spans="2:8">
      <c r="B19" s="234" t="s">
        <v>4914</v>
      </c>
      <c r="C19" s="243">
        <f t="shared" si="2"/>
        <v>9.1743119266055051E-3</v>
      </c>
      <c r="D19" s="243">
        <f t="shared" si="2"/>
        <v>0.1</v>
      </c>
      <c r="E19" s="243">
        <f t="shared" si="2"/>
        <v>0</v>
      </c>
      <c r="F19" s="243">
        <f t="shared" si="2"/>
        <v>0.04</v>
      </c>
      <c r="G19" s="243">
        <f t="shared" si="2"/>
        <v>0.08</v>
      </c>
      <c r="H19" s="243">
        <f t="shared" si="2"/>
        <v>0.20338983050847459</v>
      </c>
    </row>
    <row r="20" spans="2:8">
      <c r="B20" s="234" t="s">
        <v>4915</v>
      </c>
      <c r="C20" s="243">
        <f t="shared" si="2"/>
        <v>9.1743119266055051E-3</v>
      </c>
      <c r="D20" s="243">
        <f t="shared" si="2"/>
        <v>0.1</v>
      </c>
      <c r="E20" s="243">
        <f t="shared" si="2"/>
        <v>0</v>
      </c>
      <c r="F20" s="243">
        <f t="shared" si="2"/>
        <v>0.02</v>
      </c>
      <c r="G20" s="243">
        <f t="shared" si="2"/>
        <v>1.3333333333333334E-2</v>
      </c>
      <c r="H20" s="243">
        <f t="shared" si="2"/>
        <v>6.7796610169491525E-2</v>
      </c>
    </row>
    <row r="21" spans="2:8">
      <c r="B21" s="236" t="s">
        <v>4916</v>
      </c>
      <c r="C21" s="244">
        <f t="shared" si="2"/>
        <v>9.1743119266055051E-3</v>
      </c>
      <c r="D21" s="244">
        <f t="shared" si="2"/>
        <v>0</v>
      </c>
      <c r="E21" s="244">
        <f t="shared" si="2"/>
        <v>0</v>
      </c>
      <c r="F21" s="244">
        <f t="shared" si="2"/>
        <v>0</v>
      </c>
      <c r="G21" s="244">
        <f t="shared" si="2"/>
        <v>2.6666666666666668E-2</v>
      </c>
      <c r="H21" s="244">
        <f t="shared" si="2"/>
        <v>1.6949152542372881E-2</v>
      </c>
    </row>
  </sheetData>
  <conditionalFormatting sqref="C5:C9">
    <cfRule type="colorScale" priority="12">
      <colorScale>
        <cfvo type="min"/>
        <cfvo type="percentile" val="50"/>
        <cfvo type="max"/>
        <color rgb="FF63BE7B"/>
        <color rgb="FFFCFCFF"/>
        <color rgb="FFF8696B"/>
      </colorScale>
    </cfRule>
  </conditionalFormatting>
  <conditionalFormatting sqref="D5:D9">
    <cfRule type="colorScale" priority="11">
      <colorScale>
        <cfvo type="min"/>
        <cfvo type="percentile" val="50"/>
        <cfvo type="max"/>
        <color rgb="FF63BE7B"/>
        <color rgb="FFFCFCFF"/>
        <color rgb="FFF8696B"/>
      </colorScale>
    </cfRule>
  </conditionalFormatting>
  <conditionalFormatting sqref="E5:E9">
    <cfRule type="colorScale" priority="10">
      <colorScale>
        <cfvo type="min"/>
        <cfvo type="percentile" val="50"/>
        <cfvo type="max"/>
        <color rgb="FF63BE7B"/>
        <color rgb="FFFCFCFF"/>
        <color rgb="FFF8696B"/>
      </colorScale>
    </cfRule>
  </conditionalFormatting>
  <conditionalFormatting sqref="F5:F9">
    <cfRule type="colorScale" priority="9">
      <colorScale>
        <cfvo type="min"/>
        <cfvo type="percentile" val="50"/>
        <cfvo type="max"/>
        <color rgb="FF63BE7B"/>
        <color rgb="FFFCFCFF"/>
        <color rgb="FFF8696B"/>
      </colorScale>
    </cfRule>
  </conditionalFormatting>
  <conditionalFormatting sqref="G5:G9">
    <cfRule type="colorScale" priority="8">
      <colorScale>
        <cfvo type="min"/>
        <cfvo type="percentile" val="50"/>
        <cfvo type="max"/>
        <color rgb="FF63BE7B"/>
        <color rgb="FFFCFCFF"/>
        <color rgb="FFF8696B"/>
      </colorScale>
    </cfRule>
  </conditionalFormatting>
  <conditionalFormatting sqref="H5:H9">
    <cfRule type="colorScale" priority="7">
      <colorScale>
        <cfvo type="min"/>
        <cfvo type="percentile" val="50"/>
        <cfvo type="max"/>
        <color rgb="FF63BE7B"/>
        <color rgb="FFFCFCFF"/>
        <color rgb="FFF8696B"/>
      </colorScale>
    </cfRule>
  </conditionalFormatting>
  <conditionalFormatting sqref="C17:H21">
    <cfRule type="colorScale" priority="6">
      <colorScale>
        <cfvo type="min"/>
        <cfvo type="percentile" val="50"/>
        <cfvo type="max"/>
        <color rgb="FF63BE7B"/>
        <color rgb="FFFCFCFF"/>
        <color rgb="FFF8696B"/>
      </colorScale>
    </cfRule>
  </conditionalFormatting>
  <pageMargins left="0.7" right="0.7" top="0.75" bottom="0.75" header="0.3" footer="0.3"/>
  <pageSetup paperSize="9"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sheetPr>
  <dimension ref="A1:T115"/>
  <sheetViews>
    <sheetView topLeftCell="N1" zoomScale="85" zoomScaleNormal="85" workbookViewId="0">
      <selection activeCell="Q10" sqref="Q10"/>
    </sheetView>
  </sheetViews>
  <sheetFormatPr baseColWidth="10" defaultColWidth="61.41796875" defaultRowHeight="14.4"/>
  <cols>
    <col min="1" max="1" width="61.41796875" style="169"/>
    <col min="7" max="7" width="11.41796875" style="150" bestFit="1" customWidth="1"/>
    <col min="8" max="8" width="24.41796875" style="170" customWidth="1"/>
    <col min="9" max="9" width="27.41796875" style="170" customWidth="1"/>
    <col min="10" max="10" width="42.15625" style="169" customWidth="1"/>
    <col min="11" max="11" width="46.578125" customWidth="1"/>
    <col min="12" max="12" width="32.15625" style="199" customWidth="1"/>
    <col min="16" max="16" width="17" customWidth="1"/>
    <col min="18" max="18" width="22.41796875" customWidth="1"/>
    <col min="19" max="19" width="17.41796875" customWidth="1"/>
    <col min="20" max="20" width="19.15625" customWidth="1"/>
  </cols>
  <sheetData>
    <row r="1" spans="1:20" ht="20.25" customHeight="1">
      <c r="A1" s="36" t="s">
        <v>518</v>
      </c>
      <c r="B1" s="36" t="s">
        <v>519</v>
      </c>
      <c r="C1" s="36" t="s">
        <v>520</v>
      </c>
      <c r="D1" s="36" t="s">
        <v>521</v>
      </c>
      <c r="E1" s="36" t="s">
        <v>522</v>
      </c>
      <c r="F1" s="36" t="s">
        <v>523</v>
      </c>
      <c r="G1" s="36" t="s">
        <v>524</v>
      </c>
      <c r="H1" s="36" t="s">
        <v>525</v>
      </c>
      <c r="I1" s="36" t="s">
        <v>526</v>
      </c>
      <c r="J1" s="36" t="s">
        <v>12</v>
      </c>
      <c r="K1" s="36" t="s">
        <v>14</v>
      </c>
      <c r="L1" s="36" t="s">
        <v>15</v>
      </c>
      <c r="M1" s="36" t="s">
        <v>16</v>
      </c>
    </row>
    <row r="2" spans="1:20" ht="20.25" customHeight="1">
      <c r="A2" s="196" t="s">
        <v>907</v>
      </c>
      <c r="B2" s="200" t="s">
        <v>908</v>
      </c>
      <c r="C2" s="200" t="s">
        <v>909</v>
      </c>
      <c r="D2" s="200" t="s">
        <v>703</v>
      </c>
      <c r="E2" s="200" t="s">
        <v>910</v>
      </c>
      <c r="F2" s="200" t="s">
        <v>911</v>
      </c>
      <c r="G2" s="189">
        <v>40227</v>
      </c>
      <c r="H2" s="190">
        <v>40298</v>
      </c>
      <c r="I2" s="190">
        <v>40329</v>
      </c>
      <c r="J2" s="197" t="s">
        <v>912</v>
      </c>
      <c r="K2" s="1" t="s">
        <v>73</v>
      </c>
      <c r="L2" s="1" t="s">
        <v>74</v>
      </c>
      <c r="M2" s="198">
        <v>2</v>
      </c>
      <c r="O2" s="36" t="s">
        <v>14</v>
      </c>
      <c r="P2" s="34"/>
      <c r="R2" s="46" t="s">
        <v>43</v>
      </c>
      <c r="S2" s="55" t="s">
        <v>44</v>
      </c>
      <c r="T2" s="46" t="s">
        <v>45</v>
      </c>
    </row>
    <row r="3" spans="1:20" ht="20.25" customHeight="1">
      <c r="A3" s="196" t="s">
        <v>927</v>
      </c>
      <c r="B3" s="200" t="s">
        <v>928</v>
      </c>
      <c r="C3" s="200" t="s">
        <v>909</v>
      </c>
      <c r="D3" s="200" t="s">
        <v>703</v>
      </c>
      <c r="E3" s="200" t="s">
        <v>929</v>
      </c>
      <c r="F3" s="200" t="s">
        <v>930</v>
      </c>
      <c r="G3" s="189">
        <v>40484</v>
      </c>
      <c r="H3" s="190">
        <v>40476</v>
      </c>
      <c r="I3" s="190">
        <v>40476</v>
      </c>
      <c r="J3" s="197" t="s">
        <v>906</v>
      </c>
      <c r="K3" s="1" t="s">
        <v>540</v>
      </c>
      <c r="L3" s="5" t="s">
        <v>0</v>
      </c>
      <c r="M3" s="198" t="e">
        <v>#NUM!</v>
      </c>
      <c r="O3" s="5" t="s">
        <v>540</v>
      </c>
      <c r="P3" s="1">
        <f t="shared" ref="P3:P10" si="0">COUNTIF($K$2:$K$49,O3)</f>
        <v>7</v>
      </c>
      <c r="R3" s="49" t="s">
        <v>50</v>
      </c>
      <c r="S3" s="51">
        <f>COUNTIF($M$2:$M$49,"&lt;4")</f>
        <v>14</v>
      </c>
      <c r="T3" s="24">
        <f>S3</f>
        <v>14</v>
      </c>
    </row>
    <row r="4" spans="1:20" ht="20.25" customHeight="1">
      <c r="A4" s="196" t="s">
        <v>931</v>
      </c>
      <c r="B4" s="200" t="s">
        <v>932</v>
      </c>
      <c r="C4" s="200" t="s">
        <v>909</v>
      </c>
      <c r="D4" s="200" t="s">
        <v>703</v>
      </c>
      <c r="E4" s="200" t="s">
        <v>933</v>
      </c>
      <c r="F4" s="200" t="s">
        <v>934</v>
      </c>
      <c r="G4" s="189">
        <v>40682</v>
      </c>
      <c r="H4" s="190">
        <v>40844</v>
      </c>
      <c r="I4" s="190" t="s">
        <v>935</v>
      </c>
      <c r="J4" s="197" t="s">
        <v>917</v>
      </c>
      <c r="K4" s="1" t="s">
        <v>36</v>
      </c>
      <c r="L4" s="1" t="s">
        <v>28</v>
      </c>
      <c r="M4" s="198">
        <v>5</v>
      </c>
      <c r="O4" s="5" t="s">
        <v>55</v>
      </c>
      <c r="P4" s="1">
        <f t="shared" si="0"/>
        <v>14</v>
      </c>
      <c r="R4" s="41" t="s">
        <v>56</v>
      </c>
      <c r="S4" s="51">
        <f>COUNTIF($M$2:$M$49,"&lt;7")</f>
        <v>40</v>
      </c>
      <c r="T4" s="24">
        <f>S4-S3</f>
        <v>26</v>
      </c>
    </row>
    <row r="5" spans="1:20" ht="20.25" customHeight="1">
      <c r="A5" s="196" t="s">
        <v>936</v>
      </c>
      <c r="B5" s="200" t="s">
        <v>937</v>
      </c>
      <c r="C5" s="200" t="s">
        <v>909</v>
      </c>
      <c r="D5" s="200" t="s">
        <v>703</v>
      </c>
      <c r="E5" s="200" t="s">
        <v>938</v>
      </c>
      <c r="F5" s="200" t="s">
        <v>939</v>
      </c>
      <c r="G5" s="189">
        <v>40851</v>
      </c>
      <c r="H5" s="191">
        <v>40907</v>
      </c>
      <c r="I5" s="191" t="s">
        <v>940</v>
      </c>
      <c r="J5" s="197" t="s">
        <v>917</v>
      </c>
      <c r="K5" s="1" t="s">
        <v>36</v>
      </c>
      <c r="L5" s="1" t="s">
        <v>28</v>
      </c>
      <c r="M5" s="198">
        <v>1</v>
      </c>
      <c r="O5" s="5" t="s">
        <v>60</v>
      </c>
      <c r="P5" s="1">
        <f t="shared" si="0"/>
        <v>0</v>
      </c>
      <c r="R5" s="41" t="s">
        <v>61</v>
      </c>
      <c r="S5" s="51">
        <f>COUNTIF($M$2:$M$49,"&lt;10")</f>
        <v>40</v>
      </c>
      <c r="T5" s="24">
        <f>S5-S4</f>
        <v>0</v>
      </c>
    </row>
    <row r="6" spans="1:20" ht="20.25" customHeight="1">
      <c r="A6" s="196" t="s">
        <v>941</v>
      </c>
      <c r="B6" s="200" t="s">
        <v>942</v>
      </c>
      <c r="C6" s="200" t="s">
        <v>909</v>
      </c>
      <c r="D6" s="200" t="s">
        <v>703</v>
      </c>
      <c r="E6" s="200" t="s">
        <v>943</v>
      </c>
      <c r="F6" s="200" t="s">
        <v>944</v>
      </c>
      <c r="G6" s="189">
        <v>40941</v>
      </c>
      <c r="H6" s="190">
        <v>41099</v>
      </c>
      <c r="I6" s="190">
        <v>40977</v>
      </c>
      <c r="J6" s="197" t="s">
        <v>945</v>
      </c>
      <c r="K6" s="1" t="s">
        <v>36</v>
      </c>
      <c r="L6" s="1" t="s">
        <v>28</v>
      </c>
      <c r="M6" s="198">
        <v>5</v>
      </c>
      <c r="O6" s="5" t="s">
        <v>36</v>
      </c>
      <c r="P6" s="1">
        <f t="shared" si="0"/>
        <v>7</v>
      </c>
      <c r="R6" s="41" t="s">
        <v>67</v>
      </c>
      <c r="S6" s="41">
        <f>COUNTIF($M$2:$M$49,"&lt;13")</f>
        <v>40</v>
      </c>
      <c r="T6" s="24">
        <f>S6-S5</f>
        <v>0</v>
      </c>
    </row>
    <row r="7" spans="1:20" ht="20.25" customHeight="1">
      <c r="A7" s="196" t="s">
        <v>946</v>
      </c>
      <c r="B7" s="200" t="s">
        <v>947</v>
      </c>
      <c r="C7" s="200" t="s">
        <v>909</v>
      </c>
      <c r="D7" s="200" t="s">
        <v>703</v>
      </c>
      <c r="E7" s="200" t="s">
        <v>948</v>
      </c>
      <c r="F7" s="200" t="s">
        <v>949</v>
      </c>
      <c r="G7" s="189">
        <v>41065</v>
      </c>
      <c r="H7" s="190" t="s">
        <v>546</v>
      </c>
      <c r="I7" s="190"/>
      <c r="J7" s="196" t="s">
        <v>945</v>
      </c>
      <c r="K7" s="1" t="s">
        <v>36</v>
      </c>
      <c r="L7" s="1" t="s">
        <v>28</v>
      </c>
      <c r="M7" s="198" t="e">
        <v>#VALUE!</v>
      </c>
      <c r="O7" s="5" t="s">
        <v>75</v>
      </c>
      <c r="P7" s="1">
        <f t="shared" si="0"/>
        <v>1</v>
      </c>
      <c r="R7" s="47" t="s">
        <v>76</v>
      </c>
      <c r="S7" s="52">
        <f>COUNTIF($M$2:$M$49,"&gt;12")</f>
        <v>0</v>
      </c>
      <c r="T7" s="24">
        <f>S7</f>
        <v>0</v>
      </c>
    </row>
    <row r="8" spans="1:20" ht="20.25" customHeight="1">
      <c r="A8" s="196" t="s">
        <v>960</v>
      </c>
      <c r="B8" s="201" t="s">
        <v>961</v>
      </c>
      <c r="C8" s="200" t="s">
        <v>909</v>
      </c>
      <c r="D8" s="200" t="s">
        <v>703</v>
      </c>
      <c r="E8" s="200" t="s">
        <v>962</v>
      </c>
      <c r="F8" s="200" t="s">
        <v>963</v>
      </c>
      <c r="G8" s="189">
        <v>41342</v>
      </c>
      <c r="H8" s="190" t="s">
        <v>546</v>
      </c>
      <c r="I8" s="190"/>
      <c r="J8" s="1" t="s">
        <v>964</v>
      </c>
      <c r="K8" s="1" t="s">
        <v>36</v>
      </c>
      <c r="L8" s="1" t="s">
        <v>28</v>
      </c>
      <c r="M8" s="198" t="e">
        <v>#VALUE!</v>
      </c>
      <c r="O8" s="5" t="s">
        <v>27</v>
      </c>
      <c r="P8" s="1">
        <f t="shared" si="0"/>
        <v>2</v>
      </c>
      <c r="R8" s="35" t="s">
        <v>80</v>
      </c>
      <c r="S8" s="53"/>
      <c r="T8" s="54">
        <f>SUM(T3:T7)</f>
        <v>40</v>
      </c>
    </row>
    <row r="9" spans="1:20" ht="20.25" customHeight="1">
      <c r="A9" s="196" t="s">
        <v>965</v>
      </c>
      <c r="B9" s="200" t="s">
        <v>966</v>
      </c>
      <c r="C9" s="200" t="s">
        <v>909</v>
      </c>
      <c r="D9" s="200" t="s">
        <v>703</v>
      </c>
      <c r="E9" s="200" t="s">
        <v>967</v>
      </c>
      <c r="F9" s="200" t="s">
        <v>968</v>
      </c>
      <c r="G9" s="189">
        <v>41289</v>
      </c>
      <c r="H9" s="190">
        <v>41299</v>
      </c>
      <c r="I9" s="190"/>
      <c r="J9" s="197" t="s">
        <v>969</v>
      </c>
      <c r="K9" s="1" t="s">
        <v>73</v>
      </c>
      <c r="L9" s="1" t="s">
        <v>74</v>
      </c>
      <c r="M9" s="198">
        <v>0</v>
      </c>
      <c r="O9" s="153" t="s">
        <v>73</v>
      </c>
      <c r="P9" s="61">
        <f t="shared" si="0"/>
        <v>16</v>
      </c>
    </row>
    <row r="10" spans="1:20" ht="20.25" customHeight="1">
      <c r="A10" s="196" t="s">
        <v>970</v>
      </c>
      <c r="B10" s="200" t="s">
        <v>971</v>
      </c>
      <c r="C10" s="200" t="s">
        <v>909</v>
      </c>
      <c r="D10" s="200" t="s">
        <v>703</v>
      </c>
      <c r="E10" s="200" t="s">
        <v>972</v>
      </c>
      <c r="F10" s="200" t="s">
        <v>973</v>
      </c>
      <c r="G10" s="189">
        <v>41300</v>
      </c>
      <c r="H10" s="190">
        <v>41474</v>
      </c>
      <c r="I10" s="190"/>
      <c r="J10" s="197" t="s">
        <v>974</v>
      </c>
      <c r="K10" s="1" t="s">
        <v>540</v>
      </c>
      <c r="L10" s="5" t="s">
        <v>0</v>
      </c>
      <c r="M10" s="198">
        <v>5</v>
      </c>
      <c r="O10" s="24" t="s">
        <v>578</v>
      </c>
      <c r="P10" s="24">
        <f t="shared" si="0"/>
        <v>0</v>
      </c>
    </row>
    <row r="11" spans="1:20" ht="20.25" customHeight="1">
      <c r="A11" s="196" t="s">
        <v>970</v>
      </c>
      <c r="B11" s="200" t="s">
        <v>975</v>
      </c>
      <c r="C11" s="200" t="s">
        <v>909</v>
      </c>
      <c r="D11" s="200" t="s">
        <v>703</v>
      </c>
      <c r="E11" s="200" t="s">
        <v>972</v>
      </c>
      <c r="F11" s="200" t="s">
        <v>976</v>
      </c>
      <c r="G11" s="189">
        <v>41349</v>
      </c>
      <c r="H11" s="190">
        <v>41474</v>
      </c>
      <c r="I11" s="190"/>
      <c r="J11" s="197" t="s">
        <v>974</v>
      </c>
      <c r="K11" s="1" t="s">
        <v>540</v>
      </c>
      <c r="L11" s="5" t="s">
        <v>0</v>
      </c>
      <c r="M11" s="198">
        <v>4</v>
      </c>
      <c r="O11" s="80" t="s">
        <v>80</v>
      </c>
      <c r="P11" s="154">
        <f>SUM(P3:P10)</f>
        <v>47</v>
      </c>
    </row>
    <row r="12" spans="1:20" ht="20.25" customHeight="1">
      <c r="A12" s="196" t="s">
        <v>977</v>
      </c>
      <c r="B12" s="200" t="s">
        <v>978</v>
      </c>
      <c r="C12" s="200" t="s">
        <v>909</v>
      </c>
      <c r="D12" s="200" t="s">
        <v>703</v>
      </c>
      <c r="E12" s="200" t="s">
        <v>979</v>
      </c>
      <c r="F12" s="200" t="s">
        <v>980</v>
      </c>
      <c r="G12" s="189">
        <v>41348</v>
      </c>
      <c r="H12" s="191">
        <v>41341</v>
      </c>
      <c r="I12" s="191"/>
      <c r="J12" s="197" t="s">
        <v>981</v>
      </c>
      <c r="K12" s="1" t="s">
        <v>73</v>
      </c>
      <c r="L12" s="1" t="s">
        <v>74</v>
      </c>
      <c r="M12" s="198">
        <v>0</v>
      </c>
    </row>
    <row r="13" spans="1:20" ht="20.25" customHeight="1">
      <c r="A13" s="196" t="s">
        <v>982</v>
      </c>
      <c r="B13" s="200" t="s">
        <v>983</v>
      </c>
      <c r="C13" s="200" t="s">
        <v>909</v>
      </c>
      <c r="D13" s="200" t="s">
        <v>703</v>
      </c>
      <c r="E13" s="200" t="s">
        <v>984</v>
      </c>
      <c r="F13" s="200" t="s">
        <v>985</v>
      </c>
      <c r="G13" s="189">
        <v>41348</v>
      </c>
      <c r="H13" s="190">
        <v>41345</v>
      </c>
      <c r="I13" s="190"/>
      <c r="J13" s="197" t="s">
        <v>981</v>
      </c>
      <c r="K13" s="1" t="s">
        <v>73</v>
      </c>
      <c r="L13" s="1" t="s">
        <v>74</v>
      </c>
      <c r="M13" s="198">
        <v>0</v>
      </c>
      <c r="O13" s="36" t="s">
        <v>14</v>
      </c>
      <c r="P13" s="34"/>
    </row>
    <row r="14" spans="1:20" ht="20.25" customHeight="1">
      <c r="A14" s="196" t="s">
        <v>986</v>
      </c>
      <c r="B14" s="200" t="s">
        <v>987</v>
      </c>
      <c r="C14" s="200" t="s">
        <v>909</v>
      </c>
      <c r="D14" s="200" t="s">
        <v>703</v>
      </c>
      <c r="E14" s="200" t="s">
        <v>988</v>
      </c>
      <c r="F14" s="200" t="s">
        <v>989</v>
      </c>
      <c r="G14" s="189">
        <v>41446</v>
      </c>
      <c r="H14" s="190">
        <v>41439</v>
      </c>
      <c r="I14" s="190"/>
      <c r="J14" s="197" t="s">
        <v>990</v>
      </c>
      <c r="K14" s="1" t="s">
        <v>540</v>
      </c>
      <c r="L14" s="5" t="s">
        <v>0</v>
      </c>
      <c r="M14" s="198">
        <v>0</v>
      </c>
      <c r="O14" s="5" t="s">
        <v>28</v>
      </c>
      <c r="P14" s="1">
        <f>COUNTIF($L$2:$L$49,O14)</f>
        <v>9</v>
      </c>
    </row>
    <row r="15" spans="1:20" ht="20.25" customHeight="1">
      <c r="A15" s="196" t="s">
        <v>991</v>
      </c>
      <c r="B15" s="200" t="s">
        <v>992</v>
      </c>
      <c r="C15" s="200" t="s">
        <v>909</v>
      </c>
      <c r="D15" s="200" t="s">
        <v>703</v>
      </c>
      <c r="E15" s="200" t="s">
        <v>993</v>
      </c>
      <c r="F15" s="200" t="s">
        <v>994</v>
      </c>
      <c r="G15" s="189">
        <v>41446</v>
      </c>
      <c r="H15" s="190">
        <v>41442</v>
      </c>
      <c r="I15" s="190"/>
      <c r="J15" s="197" t="s">
        <v>990</v>
      </c>
      <c r="K15" s="1" t="s">
        <v>540</v>
      </c>
      <c r="L15" s="5" t="s">
        <v>0</v>
      </c>
      <c r="M15" s="198">
        <v>0</v>
      </c>
      <c r="O15" s="5" t="s">
        <v>74</v>
      </c>
      <c r="P15" s="1">
        <f>COUNTIF($L$2:$L$49,O15)</f>
        <v>16</v>
      </c>
    </row>
    <row r="16" spans="1:20" ht="20.25" customHeight="1">
      <c r="A16" s="196" t="s">
        <v>995</v>
      </c>
      <c r="B16" s="201" t="s">
        <v>996</v>
      </c>
      <c r="C16" s="200" t="s">
        <v>909</v>
      </c>
      <c r="D16" s="200" t="s">
        <v>703</v>
      </c>
      <c r="E16" s="200" t="s">
        <v>997</v>
      </c>
      <c r="F16" s="200" t="s">
        <v>998</v>
      </c>
      <c r="G16" s="189">
        <v>41518</v>
      </c>
      <c r="H16" s="190" t="s">
        <v>23</v>
      </c>
      <c r="I16" s="190"/>
      <c r="J16" s="197" t="s">
        <v>23</v>
      </c>
      <c r="K16" s="1"/>
      <c r="L16" s="1"/>
      <c r="M16" s="198" t="e">
        <v>#VALUE!</v>
      </c>
      <c r="O16" s="153" t="s">
        <v>103</v>
      </c>
      <c r="P16" s="61">
        <f>COUNTIF($L$2:$L$49,O16)</f>
        <v>15</v>
      </c>
    </row>
    <row r="17" spans="1:16" ht="20.25" customHeight="1">
      <c r="A17" s="196" t="s">
        <v>1003</v>
      </c>
      <c r="B17" s="200" t="s">
        <v>1004</v>
      </c>
      <c r="C17" s="200" t="s">
        <v>909</v>
      </c>
      <c r="D17" s="200" t="s">
        <v>703</v>
      </c>
      <c r="E17" s="200" t="s">
        <v>1005</v>
      </c>
      <c r="F17" s="200" t="s">
        <v>1006</v>
      </c>
      <c r="G17" s="189">
        <v>41853</v>
      </c>
      <c r="H17" s="190" t="s">
        <v>546</v>
      </c>
      <c r="I17" s="190"/>
      <c r="J17" s="197" t="s">
        <v>1007</v>
      </c>
      <c r="K17" s="1" t="s">
        <v>73</v>
      </c>
      <c r="L17" s="1" t="s">
        <v>74</v>
      </c>
      <c r="M17" s="198" t="e">
        <v>#VALUE!</v>
      </c>
      <c r="O17" s="41" t="s">
        <v>0</v>
      </c>
      <c r="P17" s="48">
        <f>COUNTIF($L$2:$L$49,O17)</f>
        <v>7</v>
      </c>
    </row>
    <row r="18" spans="1:16" ht="20.25" customHeight="1">
      <c r="A18" s="196" t="s">
        <v>1008</v>
      </c>
      <c r="B18" s="200" t="s">
        <v>1009</v>
      </c>
      <c r="C18" s="200" t="s">
        <v>909</v>
      </c>
      <c r="D18" s="200" t="s">
        <v>703</v>
      </c>
      <c r="E18" s="200" t="s">
        <v>1010</v>
      </c>
      <c r="F18" s="200" t="s">
        <v>1011</v>
      </c>
      <c r="G18" s="189">
        <v>42055</v>
      </c>
      <c r="H18" s="190">
        <v>42226</v>
      </c>
      <c r="I18" s="191">
        <v>42288</v>
      </c>
      <c r="J18" s="197" t="s">
        <v>1007</v>
      </c>
      <c r="K18" s="1" t="s">
        <v>73</v>
      </c>
      <c r="L18" s="1" t="s">
        <v>74</v>
      </c>
      <c r="M18" s="198">
        <v>5</v>
      </c>
      <c r="O18" s="80" t="s">
        <v>80</v>
      </c>
      <c r="P18" s="154">
        <f>SUM(P14:P17)</f>
        <v>47</v>
      </c>
    </row>
    <row r="19" spans="1:16" ht="20.25" customHeight="1">
      <c r="A19" s="196" t="s">
        <v>1012</v>
      </c>
      <c r="B19" s="200" t="s">
        <v>1013</v>
      </c>
      <c r="C19" s="200" t="s">
        <v>909</v>
      </c>
      <c r="D19" s="200" t="s">
        <v>703</v>
      </c>
      <c r="E19" s="200" t="s">
        <v>1014</v>
      </c>
      <c r="F19" s="200" t="s">
        <v>1015</v>
      </c>
      <c r="G19" s="189">
        <v>42129</v>
      </c>
      <c r="H19" s="190">
        <v>42258</v>
      </c>
      <c r="I19" s="190">
        <v>42320</v>
      </c>
      <c r="J19" s="197" t="s">
        <v>1007</v>
      </c>
      <c r="K19" s="1" t="s">
        <v>73</v>
      </c>
      <c r="L19" s="1" t="s">
        <v>74</v>
      </c>
      <c r="M19" s="198">
        <v>4</v>
      </c>
    </row>
    <row r="20" spans="1:16" ht="20.25" customHeight="1">
      <c r="A20" s="196" t="s">
        <v>1016</v>
      </c>
      <c r="B20" s="200" t="s">
        <v>1017</v>
      </c>
      <c r="C20" s="200" t="s">
        <v>909</v>
      </c>
      <c r="D20" s="200" t="s">
        <v>703</v>
      </c>
      <c r="E20" s="200" t="s">
        <v>1018</v>
      </c>
      <c r="F20" s="200" t="s">
        <v>1019</v>
      </c>
      <c r="G20" s="189">
        <v>42125</v>
      </c>
      <c r="H20" s="190">
        <v>42095</v>
      </c>
      <c r="I20" s="190">
        <v>42008</v>
      </c>
      <c r="J20" s="197" t="s">
        <v>1007</v>
      </c>
      <c r="K20" s="1" t="s">
        <v>73</v>
      </c>
      <c r="L20" s="1" t="s">
        <v>74</v>
      </c>
      <c r="M20" s="198">
        <v>1</v>
      </c>
    </row>
    <row r="21" spans="1:16" ht="20.25" customHeight="1">
      <c r="A21" s="196" t="s">
        <v>1020</v>
      </c>
      <c r="B21" s="200" t="s">
        <v>1021</v>
      </c>
      <c r="C21" s="200" t="s">
        <v>909</v>
      </c>
      <c r="D21" s="200" t="s">
        <v>703</v>
      </c>
      <c r="E21" s="200" t="s">
        <v>1022</v>
      </c>
      <c r="F21" s="200" t="s">
        <v>1023</v>
      </c>
      <c r="G21" s="189">
        <v>42192</v>
      </c>
      <c r="H21" s="190">
        <v>42248</v>
      </c>
      <c r="I21" s="190">
        <v>42016</v>
      </c>
      <c r="J21" s="197" t="s">
        <v>1007</v>
      </c>
      <c r="K21" s="1" t="s">
        <v>73</v>
      </c>
      <c r="L21" s="1" t="s">
        <v>74</v>
      </c>
      <c r="M21" s="198">
        <v>1</v>
      </c>
    </row>
    <row r="22" spans="1:16" ht="20.25" customHeight="1">
      <c r="A22" s="196" t="s">
        <v>1024</v>
      </c>
      <c r="B22" s="200" t="s">
        <v>1025</v>
      </c>
      <c r="C22" s="200" t="s">
        <v>909</v>
      </c>
      <c r="D22" s="200" t="s">
        <v>703</v>
      </c>
      <c r="E22" s="200" t="s">
        <v>1026</v>
      </c>
      <c r="F22" s="200" t="s">
        <v>1027</v>
      </c>
      <c r="G22" s="189">
        <v>42174</v>
      </c>
      <c r="H22" s="190">
        <v>42308</v>
      </c>
      <c r="I22" s="190">
        <v>42369</v>
      </c>
      <c r="J22" s="197" t="s">
        <v>1028</v>
      </c>
      <c r="K22" s="1" t="s">
        <v>540</v>
      </c>
      <c r="L22" s="5" t="s">
        <v>0</v>
      </c>
      <c r="M22" s="198">
        <v>4</v>
      </c>
    </row>
    <row r="23" spans="1:16" ht="20.25" customHeight="1">
      <c r="A23" s="196" t="s">
        <v>1029</v>
      </c>
      <c r="B23" s="200" t="s">
        <v>1030</v>
      </c>
      <c r="C23" s="200" t="s">
        <v>909</v>
      </c>
      <c r="D23" s="200" t="s">
        <v>703</v>
      </c>
      <c r="E23" s="200" t="s">
        <v>1031</v>
      </c>
      <c r="F23" s="200" t="s">
        <v>1032</v>
      </c>
      <c r="G23" s="189">
        <v>42227</v>
      </c>
      <c r="H23" s="190" t="s">
        <v>546</v>
      </c>
      <c r="I23" s="190"/>
      <c r="J23" s="197" t="s">
        <v>1033</v>
      </c>
      <c r="K23" s="1" t="s">
        <v>73</v>
      </c>
      <c r="L23" s="1" t="s">
        <v>74</v>
      </c>
      <c r="M23" s="198" t="e">
        <v>#VALUE!</v>
      </c>
    </row>
    <row r="24" spans="1:16" ht="20.25" customHeight="1">
      <c r="A24" s="196" t="s">
        <v>1047</v>
      </c>
      <c r="B24" s="201" t="s">
        <v>1048</v>
      </c>
      <c r="C24" s="200" t="s">
        <v>909</v>
      </c>
      <c r="D24" s="200" t="s">
        <v>703</v>
      </c>
      <c r="E24" s="200" t="s">
        <v>1049</v>
      </c>
      <c r="F24" s="200" t="s">
        <v>1050</v>
      </c>
      <c r="G24" s="189">
        <v>42616</v>
      </c>
      <c r="H24" s="190">
        <v>42704</v>
      </c>
      <c r="I24" s="190">
        <v>42885</v>
      </c>
      <c r="J24" s="197" t="s">
        <v>1051</v>
      </c>
      <c r="K24" s="1" t="s">
        <v>73</v>
      </c>
      <c r="L24" s="1" t="s">
        <v>74</v>
      </c>
      <c r="M24" s="198">
        <v>2</v>
      </c>
    </row>
    <row r="25" spans="1:16" ht="20.25" customHeight="1">
      <c r="A25" s="196" t="s">
        <v>1052</v>
      </c>
      <c r="B25" s="200" t="s">
        <v>1053</v>
      </c>
      <c r="C25" s="200" t="s">
        <v>909</v>
      </c>
      <c r="D25" s="200" t="s">
        <v>703</v>
      </c>
      <c r="E25" s="200" t="s">
        <v>1054</v>
      </c>
      <c r="F25" s="200" t="s">
        <v>1055</v>
      </c>
      <c r="G25" s="189">
        <v>42616</v>
      </c>
      <c r="H25" s="190">
        <v>42704</v>
      </c>
      <c r="I25" s="190">
        <v>42885</v>
      </c>
      <c r="J25" s="197" t="s">
        <v>1056</v>
      </c>
      <c r="K25" s="1" t="s">
        <v>36</v>
      </c>
      <c r="L25" s="1" t="s">
        <v>28</v>
      </c>
      <c r="M25" s="198">
        <v>2</v>
      </c>
    </row>
    <row r="26" spans="1:16" ht="20.25" customHeight="1">
      <c r="A26" s="196" t="s">
        <v>1062</v>
      </c>
      <c r="B26" s="200" t="s">
        <v>1063</v>
      </c>
      <c r="C26" s="200" t="s">
        <v>909</v>
      </c>
      <c r="D26" s="200" t="s">
        <v>703</v>
      </c>
      <c r="E26" s="200" t="s">
        <v>1064</v>
      </c>
      <c r="F26" s="200" t="s">
        <v>1065</v>
      </c>
      <c r="G26" s="189">
        <v>42763</v>
      </c>
      <c r="H26" s="190">
        <v>42917</v>
      </c>
      <c r="I26" s="190">
        <v>43098</v>
      </c>
      <c r="J26" s="197" t="s">
        <v>1066</v>
      </c>
      <c r="K26" s="1" t="s">
        <v>55</v>
      </c>
      <c r="L26" s="1" t="s">
        <v>103</v>
      </c>
      <c r="M26" s="198">
        <v>5</v>
      </c>
    </row>
    <row r="27" spans="1:16" ht="20.25" customHeight="1">
      <c r="A27" s="196" t="s">
        <v>1067</v>
      </c>
      <c r="B27" s="200" t="s">
        <v>1068</v>
      </c>
      <c r="C27" s="200" t="s">
        <v>909</v>
      </c>
      <c r="D27" s="200" t="s">
        <v>703</v>
      </c>
      <c r="E27" s="200" t="s">
        <v>1069</v>
      </c>
      <c r="F27" s="200" t="s">
        <v>1070</v>
      </c>
      <c r="G27" s="189">
        <v>42763</v>
      </c>
      <c r="H27" s="190">
        <v>42917</v>
      </c>
      <c r="I27" s="190">
        <v>43098</v>
      </c>
      <c r="J27" s="197" t="s">
        <v>1071</v>
      </c>
      <c r="K27" s="1" t="s">
        <v>55</v>
      </c>
      <c r="L27" s="1" t="s">
        <v>103</v>
      </c>
      <c r="M27" s="198">
        <v>5</v>
      </c>
    </row>
    <row r="28" spans="1:16" ht="20.25" customHeight="1">
      <c r="A28" s="196" t="s">
        <v>1072</v>
      </c>
      <c r="B28" s="200" t="s">
        <v>1073</v>
      </c>
      <c r="C28" s="200" t="s">
        <v>909</v>
      </c>
      <c r="D28" s="200" t="s">
        <v>703</v>
      </c>
      <c r="E28" s="200" t="s">
        <v>1074</v>
      </c>
      <c r="F28" s="200" t="s">
        <v>1075</v>
      </c>
      <c r="G28" s="189">
        <v>42763</v>
      </c>
      <c r="H28" s="190">
        <v>42917</v>
      </c>
      <c r="I28" s="190">
        <v>43098</v>
      </c>
      <c r="J28" s="197" t="s">
        <v>1076</v>
      </c>
      <c r="K28" s="1" t="s">
        <v>55</v>
      </c>
      <c r="L28" s="1" t="s">
        <v>103</v>
      </c>
      <c r="M28" s="198">
        <v>5</v>
      </c>
    </row>
    <row r="29" spans="1:16" ht="20.25" customHeight="1">
      <c r="A29" s="196" t="s">
        <v>1077</v>
      </c>
      <c r="B29" s="200" t="s">
        <v>1078</v>
      </c>
      <c r="C29" s="200" t="s">
        <v>909</v>
      </c>
      <c r="D29" s="200" t="s">
        <v>703</v>
      </c>
      <c r="E29" s="200" t="s">
        <v>1079</v>
      </c>
      <c r="F29" s="200" t="s">
        <v>1080</v>
      </c>
      <c r="G29" s="189">
        <v>42763</v>
      </c>
      <c r="H29" s="190">
        <v>42917</v>
      </c>
      <c r="I29" s="190">
        <v>43098</v>
      </c>
      <c r="J29" s="197" t="s">
        <v>1081</v>
      </c>
      <c r="K29" s="1" t="s">
        <v>55</v>
      </c>
      <c r="L29" s="1" t="s">
        <v>103</v>
      </c>
      <c r="M29" s="198">
        <v>5</v>
      </c>
    </row>
    <row r="30" spans="1:16" ht="20.25" customHeight="1">
      <c r="A30" s="196" t="s">
        <v>1082</v>
      </c>
      <c r="B30" s="200" t="s">
        <v>1083</v>
      </c>
      <c r="C30" s="200" t="s">
        <v>909</v>
      </c>
      <c r="D30" s="200" t="s">
        <v>703</v>
      </c>
      <c r="E30" s="200" t="s">
        <v>1084</v>
      </c>
      <c r="F30" s="200" t="s">
        <v>1085</v>
      </c>
      <c r="G30" s="189">
        <v>42763</v>
      </c>
      <c r="H30" s="190">
        <v>42917</v>
      </c>
      <c r="I30" s="190">
        <v>43098</v>
      </c>
      <c r="J30" s="197" t="s">
        <v>1086</v>
      </c>
      <c r="K30" s="1" t="s">
        <v>55</v>
      </c>
      <c r="L30" s="1" t="s">
        <v>103</v>
      </c>
      <c r="M30" s="198">
        <v>5</v>
      </c>
    </row>
    <row r="31" spans="1:16" ht="20.25" customHeight="1">
      <c r="A31" s="196" t="s">
        <v>1087</v>
      </c>
      <c r="B31" s="200" t="s">
        <v>1088</v>
      </c>
      <c r="C31" s="200" t="s">
        <v>909</v>
      </c>
      <c r="D31" s="200" t="s">
        <v>703</v>
      </c>
      <c r="E31" s="200" t="s">
        <v>1089</v>
      </c>
      <c r="F31" s="200" t="s">
        <v>1090</v>
      </c>
      <c r="G31" s="189">
        <v>42763</v>
      </c>
      <c r="H31" s="190">
        <v>42917</v>
      </c>
      <c r="I31" s="190">
        <v>43098</v>
      </c>
      <c r="J31" s="197" t="s">
        <v>1091</v>
      </c>
      <c r="K31" s="1" t="s">
        <v>55</v>
      </c>
      <c r="L31" s="1" t="s">
        <v>103</v>
      </c>
      <c r="M31" s="198">
        <v>5</v>
      </c>
    </row>
    <row r="32" spans="1:16" ht="20.25" customHeight="1">
      <c r="A32" s="196" t="s">
        <v>1092</v>
      </c>
      <c r="B32" s="200" t="s">
        <v>1093</v>
      </c>
      <c r="C32" s="200" t="s">
        <v>909</v>
      </c>
      <c r="D32" s="200" t="s">
        <v>703</v>
      </c>
      <c r="E32" s="200" t="s">
        <v>1094</v>
      </c>
      <c r="F32" s="200" t="s">
        <v>1095</v>
      </c>
      <c r="G32" s="189">
        <v>42770</v>
      </c>
      <c r="H32" s="190">
        <v>42917</v>
      </c>
      <c r="I32" s="190">
        <v>43098</v>
      </c>
      <c r="J32" s="197" t="s">
        <v>1096</v>
      </c>
      <c r="K32" s="1" t="s">
        <v>55</v>
      </c>
      <c r="L32" s="1" t="s">
        <v>103</v>
      </c>
      <c r="M32" s="198">
        <v>4</v>
      </c>
    </row>
    <row r="33" spans="1:13" ht="20.25" customHeight="1">
      <c r="A33" s="196" t="s">
        <v>1097</v>
      </c>
      <c r="B33" s="200" t="s">
        <v>1098</v>
      </c>
      <c r="C33" s="200" t="s">
        <v>909</v>
      </c>
      <c r="D33" s="200" t="s">
        <v>703</v>
      </c>
      <c r="E33" s="200" t="s">
        <v>1099</v>
      </c>
      <c r="F33" s="200" t="s">
        <v>1100</v>
      </c>
      <c r="G33" s="189">
        <v>42770</v>
      </c>
      <c r="H33" s="190">
        <v>42917</v>
      </c>
      <c r="I33" s="190">
        <v>43098</v>
      </c>
      <c r="J33" s="197" t="s">
        <v>1101</v>
      </c>
      <c r="K33" s="1" t="s">
        <v>55</v>
      </c>
      <c r="L33" s="1" t="s">
        <v>103</v>
      </c>
      <c r="M33" s="198">
        <v>4</v>
      </c>
    </row>
    <row r="34" spans="1:13" ht="20.25" customHeight="1">
      <c r="A34" s="196" t="s">
        <v>1102</v>
      </c>
      <c r="B34" s="200" t="s">
        <v>1103</v>
      </c>
      <c r="C34" s="200" t="s">
        <v>909</v>
      </c>
      <c r="D34" s="200" t="s">
        <v>703</v>
      </c>
      <c r="E34" s="200" t="s">
        <v>1104</v>
      </c>
      <c r="F34" s="200" t="s">
        <v>1105</v>
      </c>
      <c r="G34" s="189">
        <v>42770</v>
      </c>
      <c r="H34" s="190">
        <v>42917</v>
      </c>
      <c r="I34" s="190">
        <v>43098</v>
      </c>
      <c r="J34" s="197" t="s">
        <v>1106</v>
      </c>
      <c r="K34" s="1" t="s">
        <v>55</v>
      </c>
      <c r="L34" s="1" t="s">
        <v>103</v>
      </c>
      <c r="M34" s="198">
        <v>4</v>
      </c>
    </row>
    <row r="35" spans="1:13" ht="20.25" customHeight="1">
      <c r="A35" s="196" t="s">
        <v>1107</v>
      </c>
      <c r="B35" s="200" t="s">
        <v>1108</v>
      </c>
      <c r="C35" s="200" t="s">
        <v>909</v>
      </c>
      <c r="D35" s="200" t="s">
        <v>703</v>
      </c>
      <c r="E35" s="200" t="s">
        <v>1109</v>
      </c>
      <c r="F35" s="200" t="s">
        <v>1110</v>
      </c>
      <c r="G35" s="189">
        <v>42770</v>
      </c>
      <c r="H35" s="190">
        <v>42917</v>
      </c>
      <c r="I35" s="190">
        <v>43098</v>
      </c>
      <c r="J35" s="197" t="s">
        <v>1111</v>
      </c>
      <c r="K35" s="1" t="s">
        <v>55</v>
      </c>
      <c r="L35" s="1" t="s">
        <v>103</v>
      </c>
      <c r="M35" s="198">
        <v>4</v>
      </c>
    </row>
    <row r="36" spans="1:13" ht="20.25" customHeight="1">
      <c r="A36" s="196" t="s">
        <v>1112</v>
      </c>
      <c r="B36" s="200" t="s">
        <v>1113</v>
      </c>
      <c r="C36" s="200" t="s">
        <v>909</v>
      </c>
      <c r="D36" s="200" t="s">
        <v>703</v>
      </c>
      <c r="E36" s="200" t="s">
        <v>1114</v>
      </c>
      <c r="F36" s="200" t="s">
        <v>1115</v>
      </c>
      <c r="G36" s="189">
        <v>42770</v>
      </c>
      <c r="H36" s="190">
        <v>42917</v>
      </c>
      <c r="I36" s="190">
        <v>43098</v>
      </c>
      <c r="J36" s="197" t="s">
        <v>1116</v>
      </c>
      <c r="K36" s="1" t="s">
        <v>55</v>
      </c>
      <c r="L36" s="1" t="s">
        <v>103</v>
      </c>
      <c r="M36" s="198">
        <v>4</v>
      </c>
    </row>
    <row r="37" spans="1:13" ht="20.25" customHeight="1">
      <c r="A37" s="196" t="s">
        <v>1117</v>
      </c>
      <c r="B37" s="200" t="s">
        <v>1118</v>
      </c>
      <c r="C37" s="200" t="s">
        <v>909</v>
      </c>
      <c r="D37" s="200" t="s">
        <v>703</v>
      </c>
      <c r="E37" s="200" t="s">
        <v>1119</v>
      </c>
      <c r="F37" s="200" t="s">
        <v>1120</v>
      </c>
      <c r="G37" s="189">
        <v>42763</v>
      </c>
      <c r="H37" s="190">
        <v>42917</v>
      </c>
      <c r="I37" s="190">
        <v>43098</v>
      </c>
      <c r="J37" s="197" t="s">
        <v>1121</v>
      </c>
      <c r="K37" s="1" t="s">
        <v>55</v>
      </c>
      <c r="L37" s="1" t="s">
        <v>103</v>
      </c>
      <c r="M37" s="198">
        <v>5</v>
      </c>
    </row>
    <row r="38" spans="1:13" ht="20.25" customHeight="1">
      <c r="A38" s="196" t="s">
        <v>1122</v>
      </c>
      <c r="B38" s="200" t="s">
        <v>1123</v>
      </c>
      <c r="C38" s="200" t="s">
        <v>909</v>
      </c>
      <c r="D38" s="200" t="s">
        <v>703</v>
      </c>
      <c r="E38" s="200" t="s">
        <v>1124</v>
      </c>
      <c r="F38" s="200" t="s">
        <v>1125</v>
      </c>
      <c r="G38" s="189">
        <v>42777</v>
      </c>
      <c r="H38" s="190">
        <v>42917</v>
      </c>
      <c r="I38" s="190">
        <v>43098</v>
      </c>
      <c r="J38" s="197" t="s">
        <v>1126</v>
      </c>
      <c r="K38" s="1" t="s">
        <v>55</v>
      </c>
      <c r="L38" s="1" t="s">
        <v>103</v>
      </c>
      <c r="M38" s="198">
        <v>4</v>
      </c>
    </row>
    <row r="39" spans="1:13" ht="20.25" customHeight="1">
      <c r="A39" s="196" t="s">
        <v>1127</v>
      </c>
      <c r="B39" s="200" t="s">
        <v>1128</v>
      </c>
      <c r="C39" s="200" t="s">
        <v>909</v>
      </c>
      <c r="D39" s="200" t="s">
        <v>703</v>
      </c>
      <c r="E39" s="200" t="s">
        <v>1129</v>
      </c>
      <c r="F39" s="200" t="s">
        <v>1130</v>
      </c>
      <c r="G39" s="189">
        <v>42763</v>
      </c>
      <c r="H39" s="190">
        <v>42917</v>
      </c>
      <c r="I39" s="190">
        <v>43098</v>
      </c>
      <c r="J39" s="197" t="s">
        <v>1131</v>
      </c>
      <c r="K39" s="1" t="s">
        <v>55</v>
      </c>
      <c r="L39" s="1" t="s">
        <v>103</v>
      </c>
      <c r="M39" s="198">
        <v>5</v>
      </c>
    </row>
    <row r="40" spans="1:13" ht="20.25" customHeight="1">
      <c r="A40" s="196" t="s">
        <v>1132</v>
      </c>
      <c r="B40" s="200" t="s">
        <v>1133</v>
      </c>
      <c r="C40" s="200" t="s">
        <v>909</v>
      </c>
      <c r="D40" s="200" t="s">
        <v>703</v>
      </c>
      <c r="E40" s="200" t="s">
        <v>1134</v>
      </c>
      <c r="F40" s="200" t="s">
        <v>1135</v>
      </c>
      <c r="G40" s="189">
        <v>42776</v>
      </c>
      <c r="H40" s="190">
        <v>42917</v>
      </c>
      <c r="I40" s="190">
        <v>43098</v>
      </c>
      <c r="J40" s="197" t="s">
        <v>1136</v>
      </c>
      <c r="K40" s="1" t="s">
        <v>73</v>
      </c>
      <c r="L40" s="1" t="s">
        <v>74</v>
      </c>
      <c r="M40" s="198">
        <v>4</v>
      </c>
    </row>
    <row r="41" spans="1:13" ht="20.25" customHeight="1">
      <c r="A41" s="196" t="s">
        <v>1137</v>
      </c>
      <c r="B41" s="200" t="s">
        <v>1138</v>
      </c>
      <c r="C41" s="200" t="s">
        <v>909</v>
      </c>
      <c r="D41" s="200" t="s">
        <v>703</v>
      </c>
      <c r="E41" s="200" t="s">
        <v>1139</v>
      </c>
      <c r="F41" s="200" t="s">
        <v>1140</v>
      </c>
      <c r="G41" s="189">
        <v>42776</v>
      </c>
      <c r="H41" s="190">
        <v>42917</v>
      </c>
      <c r="I41" s="190">
        <v>43098</v>
      </c>
      <c r="J41" s="197" t="s">
        <v>1141</v>
      </c>
      <c r="K41" s="1" t="s">
        <v>73</v>
      </c>
      <c r="L41" s="1" t="s">
        <v>74</v>
      </c>
      <c r="M41" s="198">
        <v>4</v>
      </c>
    </row>
    <row r="42" spans="1:13" ht="20.25" customHeight="1">
      <c r="A42" s="196" t="s">
        <v>1142</v>
      </c>
      <c r="B42" s="200" t="s">
        <v>1143</v>
      </c>
      <c r="C42" s="200" t="s">
        <v>909</v>
      </c>
      <c r="D42" s="200" t="s">
        <v>703</v>
      </c>
      <c r="E42" s="200" t="s">
        <v>1144</v>
      </c>
      <c r="F42" s="200" t="s">
        <v>1145</v>
      </c>
      <c r="G42" s="189">
        <v>42851</v>
      </c>
      <c r="H42" s="190" t="s">
        <v>546</v>
      </c>
      <c r="I42" s="190"/>
      <c r="J42" s="197" t="s">
        <v>1146</v>
      </c>
      <c r="K42" s="1" t="s">
        <v>36</v>
      </c>
      <c r="L42" s="1" t="s">
        <v>28</v>
      </c>
      <c r="M42" s="198" t="e">
        <v>#VALUE!</v>
      </c>
    </row>
    <row r="43" spans="1:13" ht="20.25" customHeight="1">
      <c r="A43" s="196" t="s">
        <v>1878</v>
      </c>
      <c r="B43" s="202" t="s">
        <v>1879</v>
      </c>
      <c r="C43" s="200" t="s">
        <v>909</v>
      </c>
      <c r="D43" s="200" t="s">
        <v>1880</v>
      </c>
      <c r="E43" s="200" t="s">
        <v>1881</v>
      </c>
      <c r="F43" s="200" t="s">
        <v>1882</v>
      </c>
      <c r="G43" s="189">
        <v>41628</v>
      </c>
      <c r="H43" s="187">
        <v>41684</v>
      </c>
      <c r="I43" s="193">
        <v>41747</v>
      </c>
      <c r="J43" s="1" t="s">
        <v>1883</v>
      </c>
      <c r="K43" s="1" t="s">
        <v>540</v>
      </c>
      <c r="L43" s="1" t="s">
        <v>0</v>
      </c>
      <c r="M43" s="198">
        <v>1</v>
      </c>
    </row>
    <row r="44" spans="1:13" ht="20.25" customHeight="1">
      <c r="A44" s="196" t="s">
        <v>1888</v>
      </c>
      <c r="B44" s="202" t="s">
        <v>1889</v>
      </c>
      <c r="C44" s="200" t="s">
        <v>909</v>
      </c>
      <c r="D44" s="200" t="s">
        <v>1880</v>
      </c>
      <c r="E44" s="200" t="s">
        <v>1890</v>
      </c>
      <c r="F44" s="200" t="s">
        <v>1891</v>
      </c>
      <c r="G44" s="189">
        <v>42025</v>
      </c>
      <c r="H44" s="187">
        <v>42048</v>
      </c>
      <c r="I44" s="190">
        <v>42124</v>
      </c>
      <c r="J44" s="1" t="s">
        <v>1892</v>
      </c>
      <c r="K44" s="1" t="s">
        <v>75</v>
      </c>
      <c r="L44" s="1" t="s">
        <v>103</v>
      </c>
      <c r="M44" s="198">
        <v>0</v>
      </c>
    </row>
    <row r="45" spans="1:13" ht="20.25" customHeight="1">
      <c r="A45" s="196" t="s">
        <v>2499</v>
      </c>
      <c r="B45" s="202" t="s">
        <v>2500</v>
      </c>
      <c r="C45" s="200" t="s">
        <v>909</v>
      </c>
      <c r="D45" s="200" t="s">
        <v>703</v>
      </c>
      <c r="E45" s="200" t="s">
        <v>2501</v>
      </c>
      <c r="F45" s="200" t="s">
        <v>2502</v>
      </c>
      <c r="G45" s="189">
        <v>43012</v>
      </c>
      <c r="H45" s="187">
        <v>43175</v>
      </c>
      <c r="I45" s="190">
        <v>43280</v>
      </c>
      <c r="J45" s="197" t="s">
        <v>2503</v>
      </c>
      <c r="K45" s="1" t="s">
        <v>73</v>
      </c>
      <c r="L45" s="1" t="s">
        <v>74</v>
      </c>
      <c r="M45" s="198">
        <v>5</v>
      </c>
    </row>
    <row r="46" spans="1:13" ht="20.25" customHeight="1">
      <c r="A46" s="196" t="s">
        <v>2504</v>
      </c>
      <c r="B46" s="202" t="s">
        <v>2505</v>
      </c>
      <c r="C46" s="200" t="s">
        <v>909</v>
      </c>
      <c r="D46" s="200" t="s">
        <v>703</v>
      </c>
      <c r="E46" s="200" t="s">
        <v>2506</v>
      </c>
      <c r="F46" s="200" t="s">
        <v>2507</v>
      </c>
      <c r="G46" s="189">
        <v>43039</v>
      </c>
      <c r="H46" s="187">
        <v>43182</v>
      </c>
      <c r="I46" s="190">
        <v>43280</v>
      </c>
      <c r="J46" s="197" t="s">
        <v>2503</v>
      </c>
      <c r="K46" s="1" t="s">
        <v>73</v>
      </c>
      <c r="L46" s="1" t="s">
        <v>74</v>
      </c>
      <c r="M46" s="198">
        <v>4</v>
      </c>
    </row>
    <row r="47" spans="1:13" ht="20.25" customHeight="1">
      <c r="A47" s="196" t="s">
        <v>2508</v>
      </c>
      <c r="B47" s="202" t="s">
        <v>2509</v>
      </c>
      <c r="C47" s="200" t="s">
        <v>909</v>
      </c>
      <c r="D47" s="200" t="s">
        <v>703</v>
      </c>
      <c r="E47" s="200" t="s">
        <v>2510</v>
      </c>
      <c r="F47" s="200" t="s">
        <v>2511</v>
      </c>
      <c r="G47" s="189">
        <v>43162</v>
      </c>
      <c r="H47" s="187">
        <v>43158</v>
      </c>
      <c r="I47" s="190">
        <v>43280</v>
      </c>
      <c r="J47" s="197" t="s">
        <v>2512</v>
      </c>
      <c r="K47" s="1" t="s">
        <v>73</v>
      </c>
      <c r="L47" s="1" t="s">
        <v>74</v>
      </c>
      <c r="M47" s="198" t="e">
        <v>#NUM!</v>
      </c>
    </row>
    <row r="48" spans="1:13" ht="20.25" customHeight="1">
      <c r="A48" s="196" t="s">
        <v>2518</v>
      </c>
      <c r="B48" s="202" t="s">
        <v>2519</v>
      </c>
      <c r="C48" s="200" t="s">
        <v>909</v>
      </c>
      <c r="D48" s="200" t="s">
        <v>703</v>
      </c>
      <c r="E48" s="200" t="s">
        <v>2520</v>
      </c>
      <c r="F48" s="200" t="s">
        <v>2521</v>
      </c>
      <c r="G48" s="189">
        <v>43642</v>
      </c>
      <c r="H48" s="187">
        <v>43725</v>
      </c>
      <c r="I48" s="190">
        <v>43816</v>
      </c>
      <c r="J48" s="197" t="s">
        <v>2522</v>
      </c>
      <c r="K48" s="1" t="s">
        <v>27</v>
      </c>
      <c r="L48" s="1" t="s">
        <v>28</v>
      </c>
      <c r="M48" s="198">
        <v>2</v>
      </c>
    </row>
    <row r="49" spans="1:13" ht="20.25" customHeight="1">
      <c r="A49" s="196" t="s">
        <v>2546</v>
      </c>
      <c r="B49" s="202" t="s">
        <v>2547</v>
      </c>
      <c r="C49" s="200" t="s">
        <v>909</v>
      </c>
      <c r="D49" s="200" t="s">
        <v>703</v>
      </c>
      <c r="E49" s="200" t="s">
        <v>2548</v>
      </c>
      <c r="F49" s="200" t="s">
        <v>2549</v>
      </c>
      <c r="G49" s="189">
        <v>44210</v>
      </c>
      <c r="H49" s="187">
        <v>44350</v>
      </c>
      <c r="I49" s="191">
        <v>44353</v>
      </c>
      <c r="J49" s="197" t="s">
        <v>2550</v>
      </c>
      <c r="K49" s="1" t="s">
        <v>27</v>
      </c>
      <c r="L49" s="1" t="s">
        <v>28</v>
      </c>
      <c r="M49" s="198">
        <v>4</v>
      </c>
    </row>
    <row r="50" spans="1:13" ht="20.25" customHeight="1"/>
    <row r="51" spans="1:13" ht="20.25" customHeight="1"/>
    <row r="52" spans="1:13" ht="20.25" customHeight="1"/>
    <row r="53" spans="1:13" ht="20.25" customHeight="1"/>
    <row r="54" spans="1:13" ht="20.25" customHeight="1"/>
    <row r="55" spans="1:13" ht="20.25" customHeight="1"/>
    <row r="56" spans="1:13" ht="20.25" customHeight="1"/>
    <row r="57" spans="1:13" ht="20.25" customHeight="1"/>
    <row r="58" spans="1:13" ht="20.25" customHeight="1"/>
    <row r="59" spans="1:13" ht="20.25" customHeight="1"/>
    <row r="60" spans="1:13" ht="20.25" customHeight="1"/>
    <row r="61" spans="1:13" ht="20.25" customHeight="1"/>
    <row r="62" spans="1:13" ht="20.25" customHeight="1"/>
    <row r="63" spans="1:13" ht="20.25" customHeight="1"/>
    <row r="64" spans="1:13" ht="20.25" customHeight="1"/>
    <row r="65" ht="20.25" customHeight="1"/>
    <row r="66" ht="20.25" customHeight="1"/>
    <row r="67" ht="20.25" customHeight="1"/>
    <row r="68" ht="20.25" customHeight="1"/>
    <row r="69" ht="20.25" customHeight="1"/>
    <row r="70" ht="20.25" customHeight="1"/>
    <row r="71" ht="20.25" customHeight="1"/>
    <row r="72" ht="20.25" customHeight="1"/>
    <row r="73" ht="20.25" customHeight="1"/>
    <row r="74" ht="20.25" customHeight="1"/>
    <row r="75" ht="20.25" customHeight="1"/>
    <row r="76" ht="20.25" customHeight="1"/>
    <row r="77" ht="20.25" customHeight="1"/>
    <row r="78" ht="20.25" customHeight="1"/>
    <row r="79" ht="20.25" customHeight="1"/>
    <row r="80" ht="20.25" customHeight="1"/>
    <row r="81" ht="20.25" customHeight="1"/>
    <row r="82" ht="20.25" customHeight="1"/>
    <row r="83" ht="20.25" customHeight="1"/>
    <row r="84" ht="20.25" customHeight="1"/>
    <row r="85" ht="20.25" customHeight="1"/>
    <row r="86" ht="20.25" customHeight="1"/>
    <row r="87" ht="20.25" customHeight="1"/>
    <row r="88" ht="20.25" customHeight="1"/>
    <row r="89" ht="20.25" customHeight="1"/>
    <row r="90" ht="20.25" customHeight="1"/>
    <row r="91" ht="20.25" customHeight="1"/>
    <row r="92" ht="20.25" customHeight="1"/>
    <row r="93" ht="20.25" customHeight="1"/>
    <row r="94" ht="20.25" customHeight="1"/>
    <row r="95" ht="20.25" customHeight="1"/>
    <row r="96" ht="20.25" customHeight="1"/>
    <row r="97" ht="20.25" customHeight="1"/>
    <row r="98" ht="20.25" customHeight="1"/>
    <row r="99" ht="20.25" customHeight="1"/>
    <row r="100" ht="20.25" customHeight="1"/>
    <row r="101" ht="20.25" customHeight="1"/>
    <row r="102" ht="20.25" customHeight="1"/>
    <row r="103" ht="20.25" customHeight="1"/>
    <row r="104" ht="20.25" customHeight="1"/>
    <row r="105" ht="20.25" customHeight="1"/>
    <row r="106" ht="20.25" customHeight="1"/>
    <row r="107" ht="20.25" customHeight="1"/>
    <row r="108" ht="20.25" customHeight="1"/>
    <row r="109" ht="20.25" customHeight="1"/>
    <row r="110" ht="20.25" customHeight="1"/>
    <row r="111" ht="20.25" customHeight="1"/>
    <row r="112" ht="20.25" customHeight="1"/>
    <row r="113" ht="20.25" customHeight="1"/>
    <row r="114" ht="20.25" customHeight="1"/>
    <row r="115" ht="20.25" customHeight="1"/>
  </sheetData>
  <hyperlinks>
    <hyperlink ref="B49" r:id="rId1"/>
    <hyperlink ref="B48" r:id="rId2"/>
    <hyperlink ref="B47" r:id="rId3"/>
    <hyperlink ref="B46" r:id="rId4"/>
    <hyperlink ref="B45" r:id="rId5"/>
    <hyperlink ref="B44" r:id="rId6"/>
    <hyperlink ref="B43" r:id="rId7"/>
    <hyperlink ref="B24" r:id="rId8"/>
    <hyperlink ref="B16" r:id="rId9"/>
    <hyperlink ref="B8" r:id="rId10"/>
  </hyperlinks>
  <pageMargins left="0.7" right="0.7" top="0.75" bottom="0.75" header="0.3" footer="0.3"/>
  <drawing r:id="rId1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18"/>
  <sheetViews>
    <sheetView topLeftCell="K1" zoomScale="70" zoomScaleNormal="70" workbookViewId="0">
      <selection activeCell="P3" sqref="P3:P10"/>
    </sheetView>
  </sheetViews>
  <sheetFormatPr baseColWidth="10" defaultColWidth="37.41796875" defaultRowHeight="20.25" customHeight="1"/>
  <cols>
    <col min="13" max="13" width="70.15625" bestFit="1" customWidth="1"/>
  </cols>
  <sheetData>
    <row r="1" spans="1:20" ht="20.25" customHeight="1">
      <c r="A1" s="35" t="s">
        <v>518</v>
      </c>
      <c r="B1" s="35" t="s">
        <v>519</v>
      </c>
      <c r="C1" s="35" t="s">
        <v>520</v>
      </c>
      <c r="D1" s="35" t="s">
        <v>521</v>
      </c>
      <c r="E1" s="35" t="s">
        <v>522</v>
      </c>
      <c r="F1" s="192" t="s">
        <v>523</v>
      </c>
      <c r="G1" s="36" t="s">
        <v>524</v>
      </c>
      <c r="H1" s="36" t="s">
        <v>525</v>
      </c>
      <c r="I1" s="194" t="s">
        <v>526</v>
      </c>
      <c r="J1" s="195" t="s">
        <v>12</v>
      </c>
      <c r="K1" s="186" t="s">
        <v>14</v>
      </c>
      <c r="L1" s="35" t="s">
        <v>15</v>
      </c>
      <c r="M1" s="35" t="s">
        <v>16</v>
      </c>
    </row>
    <row r="2" spans="1:20" ht="20.25" customHeight="1">
      <c r="A2" s="105" t="s">
        <v>1913</v>
      </c>
      <c r="B2" s="118" t="s">
        <v>1914</v>
      </c>
      <c r="C2" s="104" t="s">
        <v>1915</v>
      </c>
      <c r="D2" s="104" t="s">
        <v>1895</v>
      </c>
      <c r="E2" s="104" t="s">
        <v>1916</v>
      </c>
      <c r="F2" s="139" t="s">
        <v>1917</v>
      </c>
      <c r="G2" s="189">
        <v>41675</v>
      </c>
      <c r="H2" s="187">
        <v>41852</v>
      </c>
      <c r="I2" s="190">
        <v>41946</v>
      </c>
      <c r="J2" s="196" t="s">
        <v>1918</v>
      </c>
      <c r="K2" s="1"/>
      <c r="L2" s="81"/>
      <c r="M2" s="134">
        <v>5</v>
      </c>
      <c r="O2" s="36" t="s">
        <v>14</v>
      </c>
      <c r="P2" s="34"/>
      <c r="R2" s="46" t="s">
        <v>43</v>
      </c>
      <c r="S2" s="55" t="s">
        <v>44</v>
      </c>
      <c r="T2" s="46" t="s">
        <v>45</v>
      </c>
    </row>
    <row r="3" spans="1:20" ht="20.25" customHeight="1">
      <c r="A3" s="105" t="s">
        <v>1969</v>
      </c>
      <c r="B3" s="118" t="s">
        <v>1970</v>
      </c>
      <c r="C3" s="104" t="s">
        <v>1971</v>
      </c>
      <c r="D3" s="104" t="s">
        <v>1895</v>
      </c>
      <c r="E3" s="104" t="s">
        <v>1972</v>
      </c>
      <c r="F3" s="139" t="s">
        <v>1973</v>
      </c>
      <c r="G3" s="189">
        <v>40359</v>
      </c>
      <c r="H3" s="187">
        <v>40543</v>
      </c>
      <c r="I3" s="190">
        <v>40724</v>
      </c>
      <c r="J3" s="197"/>
      <c r="K3" s="198"/>
      <c r="L3" s="81"/>
      <c r="M3" s="134">
        <v>6</v>
      </c>
      <c r="O3" s="5" t="s">
        <v>540</v>
      </c>
      <c r="P3" s="1">
        <f t="shared" ref="P3:P10" si="0">COUNTIF($K$2:$K$610,O3)</f>
        <v>0</v>
      </c>
      <c r="R3" s="49" t="s">
        <v>50</v>
      </c>
      <c r="S3" s="51">
        <f>COUNTIF($M$2:$M$54,"&lt;4")</f>
        <v>1</v>
      </c>
      <c r="T3" s="24">
        <f>S3</f>
        <v>1</v>
      </c>
    </row>
    <row r="4" spans="1:20" ht="20.25" customHeight="1">
      <c r="A4" s="105" t="s">
        <v>1980</v>
      </c>
      <c r="B4" s="118" t="s">
        <v>1981</v>
      </c>
      <c r="C4" s="104" t="s">
        <v>1915</v>
      </c>
      <c r="D4" s="104" t="s">
        <v>1895</v>
      </c>
      <c r="E4" s="104" t="s">
        <v>1982</v>
      </c>
      <c r="F4" s="139" t="s">
        <v>1983</v>
      </c>
      <c r="G4" s="189">
        <v>42580</v>
      </c>
      <c r="H4" s="187">
        <v>42735</v>
      </c>
      <c r="I4" s="190">
        <v>42947</v>
      </c>
      <c r="J4" s="197" t="s">
        <v>1984</v>
      </c>
      <c r="K4" s="198" t="s">
        <v>60</v>
      </c>
      <c r="L4" s="81" t="s">
        <v>28</v>
      </c>
      <c r="M4" s="134">
        <v>5</v>
      </c>
      <c r="O4" s="5" t="s">
        <v>55</v>
      </c>
      <c r="P4" s="1">
        <f t="shared" si="0"/>
        <v>0</v>
      </c>
      <c r="R4" s="41" t="s">
        <v>56</v>
      </c>
      <c r="S4" s="51">
        <f>COUNTIF($M$2:$M$54,"&lt;7")</f>
        <v>13</v>
      </c>
      <c r="T4" s="24">
        <f>S4-S3</f>
        <v>12</v>
      </c>
    </row>
    <row r="5" spans="1:20" ht="20.25" customHeight="1">
      <c r="A5" s="105" t="s">
        <v>2011</v>
      </c>
      <c r="B5" s="118" t="s">
        <v>2012</v>
      </c>
      <c r="C5" s="104" t="s">
        <v>1915</v>
      </c>
      <c r="D5" s="104" t="s">
        <v>1895</v>
      </c>
      <c r="E5" s="104" t="s">
        <v>2013</v>
      </c>
      <c r="F5" s="139" t="s">
        <v>2014</v>
      </c>
      <c r="G5" s="189">
        <v>42647</v>
      </c>
      <c r="H5" s="187">
        <v>42825</v>
      </c>
      <c r="I5" s="190">
        <v>43008</v>
      </c>
      <c r="J5" s="197" t="s">
        <v>1984</v>
      </c>
      <c r="K5" s="198" t="s">
        <v>60</v>
      </c>
      <c r="L5" s="81" t="s">
        <v>28</v>
      </c>
      <c r="M5" s="134">
        <v>5</v>
      </c>
      <c r="O5" s="5" t="s">
        <v>60</v>
      </c>
      <c r="P5" s="1">
        <f t="shared" si="0"/>
        <v>8</v>
      </c>
      <c r="R5" s="41" t="s">
        <v>61</v>
      </c>
      <c r="S5" s="51">
        <f>COUNTIF($M$2:$M$54,"&lt;10")</f>
        <v>13</v>
      </c>
      <c r="T5" s="24">
        <f>S5-S4</f>
        <v>0</v>
      </c>
    </row>
    <row r="6" spans="1:20" ht="20.25" customHeight="1">
      <c r="A6" s="105" t="s">
        <v>2011</v>
      </c>
      <c r="B6" s="118" t="s">
        <v>2015</v>
      </c>
      <c r="C6" s="104" t="s">
        <v>1915</v>
      </c>
      <c r="D6" s="104" t="s">
        <v>1895</v>
      </c>
      <c r="E6" s="104" t="s">
        <v>2013</v>
      </c>
      <c r="F6" s="139" t="s">
        <v>2016</v>
      </c>
      <c r="G6" s="189">
        <v>42664</v>
      </c>
      <c r="H6" s="187">
        <v>42825</v>
      </c>
      <c r="I6" s="190">
        <v>43008</v>
      </c>
      <c r="J6" s="197"/>
      <c r="K6" s="198"/>
      <c r="L6" s="81"/>
      <c r="M6" s="134">
        <v>5</v>
      </c>
      <c r="O6" s="5" t="s">
        <v>36</v>
      </c>
      <c r="P6" s="1">
        <f t="shared" si="0"/>
        <v>0</v>
      </c>
      <c r="R6" s="41" t="s">
        <v>67</v>
      </c>
      <c r="S6" s="41">
        <f>COUNTIF($M$2:$M$54,"&lt;13")</f>
        <v>13</v>
      </c>
      <c r="T6" s="24">
        <f>S6-S5</f>
        <v>0</v>
      </c>
    </row>
    <row r="7" spans="1:20" ht="20.25" customHeight="1">
      <c r="A7" s="105" t="s">
        <v>2030</v>
      </c>
      <c r="B7" s="118" t="s">
        <v>2031</v>
      </c>
      <c r="C7" s="104" t="s">
        <v>1915</v>
      </c>
      <c r="D7" s="104" t="s">
        <v>1895</v>
      </c>
      <c r="E7" s="104" t="s">
        <v>2032</v>
      </c>
      <c r="F7" s="139" t="s">
        <v>2033</v>
      </c>
      <c r="G7" s="189">
        <v>42326</v>
      </c>
      <c r="H7" s="187">
        <v>42369</v>
      </c>
      <c r="I7" s="190">
        <v>42508</v>
      </c>
      <c r="J7" s="197" t="s">
        <v>1984</v>
      </c>
      <c r="K7" s="198" t="s">
        <v>60</v>
      </c>
      <c r="L7" s="81" t="s">
        <v>28</v>
      </c>
      <c r="M7" s="134">
        <v>1</v>
      </c>
      <c r="O7" s="5" t="s">
        <v>75</v>
      </c>
      <c r="P7" s="1">
        <f t="shared" si="0"/>
        <v>1</v>
      </c>
      <c r="R7" s="47" t="s">
        <v>76</v>
      </c>
      <c r="S7" s="52">
        <f>COUNTIF($M$2:$M$54,"&gt;12")</f>
        <v>0</v>
      </c>
      <c r="T7" s="24">
        <f>S7</f>
        <v>0</v>
      </c>
    </row>
    <row r="8" spans="1:20" ht="20.25" customHeight="1">
      <c r="A8" s="105" t="s">
        <v>2059</v>
      </c>
      <c r="B8" s="118" t="s">
        <v>2060</v>
      </c>
      <c r="C8" s="104" t="s">
        <v>1915</v>
      </c>
      <c r="D8" s="104" t="s">
        <v>1895</v>
      </c>
      <c r="E8" s="104" t="s">
        <v>2061</v>
      </c>
      <c r="F8" s="139" t="s">
        <v>2062</v>
      </c>
      <c r="G8" s="189">
        <v>41594</v>
      </c>
      <c r="H8" s="187">
        <v>41760</v>
      </c>
      <c r="I8" s="190">
        <v>41944</v>
      </c>
      <c r="J8" s="197" t="s">
        <v>2063</v>
      </c>
      <c r="K8" s="1" t="s">
        <v>27</v>
      </c>
      <c r="L8" s="81" t="s">
        <v>28</v>
      </c>
      <c r="M8" s="134">
        <v>5</v>
      </c>
      <c r="O8" s="5" t="s">
        <v>27</v>
      </c>
      <c r="P8" s="1">
        <f t="shared" si="0"/>
        <v>2</v>
      </c>
      <c r="R8" s="35" t="s">
        <v>80</v>
      </c>
      <c r="S8" s="53"/>
      <c r="T8" s="54">
        <f>SUM(T3:T7)</f>
        <v>13</v>
      </c>
    </row>
    <row r="9" spans="1:20" ht="20.25" customHeight="1">
      <c r="A9" s="105" t="s">
        <v>2074</v>
      </c>
      <c r="B9" s="118" t="s">
        <v>2075</v>
      </c>
      <c r="C9" s="104" t="s">
        <v>1915</v>
      </c>
      <c r="D9" s="104" t="s">
        <v>1895</v>
      </c>
      <c r="E9" s="104" t="s">
        <v>2076</v>
      </c>
      <c r="F9" s="139" t="s">
        <v>2077</v>
      </c>
      <c r="G9" s="189">
        <v>41598</v>
      </c>
      <c r="H9" s="187">
        <v>41778</v>
      </c>
      <c r="I9" s="190">
        <v>41962</v>
      </c>
      <c r="J9" s="197" t="s">
        <v>2063</v>
      </c>
      <c r="K9" s="1" t="s">
        <v>27</v>
      </c>
      <c r="L9" s="81" t="s">
        <v>28</v>
      </c>
      <c r="M9" s="134">
        <v>5</v>
      </c>
      <c r="O9" s="153" t="s">
        <v>73</v>
      </c>
      <c r="P9" s="61">
        <f t="shared" si="0"/>
        <v>0</v>
      </c>
    </row>
    <row r="10" spans="1:20" ht="20.25" customHeight="1">
      <c r="A10" s="105" t="s">
        <v>2078</v>
      </c>
      <c r="B10" s="118" t="s">
        <v>2079</v>
      </c>
      <c r="C10" s="104" t="s">
        <v>1915</v>
      </c>
      <c r="D10" s="104" t="s">
        <v>1895</v>
      </c>
      <c r="E10" s="104" t="s">
        <v>2080</v>
      </c>
      <c r="F10" s="139" t="s">
        <v>2081</v>
      </c>
      <c r="G10" s="189">
        <v>41814</v>
      </c>
      <c r="H10" s="187">
        <v>42004</v>
      </c>
      <c r="I10" s="190">
        <v>42369</v>
      </c>
      <c r="J10" s="197" t="s">
        <v>2082</v>
      </c>
      <c r="K10" s="198" t="s">
        <v>60</v>
      </c>
      <c r="L10" s="81" t="s">
        <v>28</v>
      </c>
      <c r="M10" s="134">
        <v>6</v>
      </c>
      <c r="O10" s="24" t="s">
        <v>578</v>
      </c>
      <c r="P10" s="24">
        <f t="shared" si="0"/>
        <v>0</v>
      </c>
    </row>
    <row r="11" spans="1:20" ht="20.25" customHeight="1">
      <c r="A11" s="105" t="s">
        <v>2086</v>
      </c>
      <c r="B11" s="118" t="s">
        <v>2087</v>
      </c>
      <c r="C11" s="104" t="s">
        <v>1915</v>
      </c>
      <c r="D11" s="104" t="s">
        <v>1895</v>
      </c>
      <c r="E11" s="104" t="s">
        <v>2088</v>
      </c>
      <c r="F11" s="139" t="s">
        <v>2089</v>
      </c>
      <c r="G11" s="189">
        <v>41818</v>
      </c>
      <c r="H11" s="187">
        <v>42004</v>
      </c>
      <c r="I11" s="190">
        <v>42369</v>
      </c>
      <c r="J11" s="197" t="s">
        <v>2082</v>
      </c>
      <c r="K11" s="198" t="s">
        <v>60</v>
      </c>
      <c r="L11" s="81" t="s">
        <v>28</v>
      </c>
      <c r="M11" s="134">
        <v>6</v>
      </c>
      <c r="O11" s="80" t="s">
        <v>80</v>
      </c>
      <c r="P11" s="154">
        <f>SUM(P3:P10)</f>
        <v>11</v>
      </c>
    </row>
    <row r="12" spans="1:20" ht="20.25" customHeight="1">
      <c r="A12" s="105" t="s">
        <v>2090</v>
      </c>
      <c r="B12" s="118" t="s">
        <v>2091</v>
      </c>
      <c r="C12" s="104" t="s">
        <v>1915</v>
      </c>
      <c r="D12" s="104" t="s">
        <v>1895</v>
      </c>
      <c r="E12" s="104" t="s">
        <v>2088</v>
      </c>
      <c r="F12" s="139" t="s">
        <v>2092</v>
      </c>
      <c r="G12" s="189">
        <v>41821</v>
      </c>
      <c r="H12" s="187">
        <v>42004</v>
      </c>
      <c r="I12" s="190">
        <v>42369</v>
      </c>
      <c r="J12" s="197" t="s">
        <v>2082</v>
      </c>
      <c r="K12" s="198" t="s">
        <v>60</v>
      </c>
      <c r="L12" s="81" t="s">
        <v>28</v>
      </c>
      <c r="M12" s="134">
        <v>5</v>
      </c>
    </row>
    <row r="13" spans="1:20" ht="20.25" customHeight="1">
      <c r="A13" s="105" t="s">
        <v>2093</v>
      </c>
      <c r="B13" s="118" t="s">
        <v>2094</v>
      </c>
      <c r="C13" s="104" t="s">
        <v>1915</v>
      </c>
      <c r="D13" s="104" t="s">
        <v>1895</v>
      </c>
      <c r="E13" s="104" t="s">
        <v>2095</v>
      </c>
      <c r="F13" s="139" t="s">
        <v>2096</v>
      </c>
      <c r="G13" s="189">
        <v>41821</v>
      </c>
      <c r="H13" s="187">
        <v>42004</v>
      </c>
      <c r="I13" s="193">
        <v>42185</v>
      </c>
      <c r="J13" s="197" t="s">
        <v>2082</v>
      </c>
      <c r="K13" s="198" t="s">
        <v>60</v>
      </c>
      <c r="L13" s="81" t="s">
        <v>28</v>
      </c>
      <c r="M13" s="134">
        <v>5</v>
      </c>
      <c r="O13" s="36" t="s">
        <v>590</v>
      </c>
      <c r="P13" s="34"/>
    </row>
    <row r="14" spans="1:20" ht="20.25" customHeight="1">
      <c r="A14" s="105" t="s">
        <v>3081</v>
      </c>
      <c r="B14" s="118" t="s">
        <v>3082</v>
      </c>
      <c r="C14" s="104" t="s">
        <v>1915</v>
      </c>
      <c r="D14" s="104" t="s">
        <v>1895</v>
      </c>
      <c r="E14" s="104" t="s">
        <v>3083</v>
      </c>
      <c r="F14" s="139" t="s">
        <v>3084</v>
      </c>
      <c r="G14" s="189">
        <v>43999</v>
      </c>
      <c r="H14" s="187"/>
      <c r="I14" s="190"/>
      <c r="J14" s="1" t="s">
        <v>3085</v>
      </c>
      <c r="K14" s="1" t="s">
        <v>75</v>
      </c>
      <c r="L14" s="81" t="s">
        <v>103</v>
      </c>
      <c r="M14" s="134" t="e">
        <v>#NUM!</v>
      </c>
      <c r="O14" s="5" t="s">
        <v>28</v>
      </c>
      <c r="P14" s="1">
        <f>COUNTIF($L$2:$L$610,O14)</f>
        <v>10</v>
      </c>
    </row>
    <row r="15" spans="1:20" ht="20.25" customHeight="1">
      <c r="A15" s="105" t="s">
        <v>3086</v>
      </c>
      <c r="B15" s="118" t="s">
        <v>3087</v>
      </c>
      <c r="C15" s="104" t="s">
        <v>1915</v>
      </c>
      <c r="D15" s="104" t="s">
        <v>1895</v>
      </c>
      <c r="E15" s="104" t="s">
        <v>3088</v>
      </c>
      <c r="F15" s="139" t="s">
        <v>3089</v>
      </c>
      <c r="G15" s="189">
        <v>42882</v>
      </c>
      <c r="H15" s="187">
        <v>43065</v>
      </c>
      <c r="I15" s="190">
        <v>43246</v>
      </c>
      <c r="J15" s="1" t="s">
        <v>3090</v>
      </c>
      <c r="K15" s="1" t="s">
        <v>60</v>
      </c>
      <c r="L15" s="81" t="s">
        <v>28</v>
      </c>
      <c r="M15" s="134">
        <v>5</v>
      </c>
      <c r="O15" s="5" t="s">
        <v>74</v>
      </c>
      <c r="P15" s="1">
        <f>COUNTIF($L$2:$L$610,O15)</f>
        <v>0</v>
      </c>
    </row>
    <row r="16" spans="1:20" ht="20.25" customHeight="1">
      <c r="O16" s="153" t="s">
        <v>103</v>
      </c>
      <c r="P16" s="1">
        <f>COUNTIF($L$2:$L$610,O16)</f>
        <v>1</v>
      </c>
    </row>
    <row r="17" spans="15:16" ht="20.25" customHeight="1">
      <c r="O17" s="171" t="s">
        <v>0</v>
      </c>
      <c r="P17" s="27">
        <f>COUNTIF($L$2:$L$610,O17)</f>
        <v>0</v>
      </c>
    </row>
    <row r="18" spans="15:16" ht="20.25" customHeight="1">
      <c r="O18" s="80" t="s">
        <v>80</v>
      </c>
      <c r="P18" s="39">
        <f>SUM(P14:P17)</f>
        <v>11</v>
      </c>
    </row>
  </sheetData>
  <hyperlinks>
    <hyperlink ref="B2" r:id="rId1"/>
    <hyperlink ref="B3" r:id="rId2"/>
    <hyperlink ref="B4" r:id="rId3"/>
    <hyperlink ref="B5" r:id="rId4"/>
    <hyperlink ref="B6" r:id="rId5"/>
    <hyperlink ref="B7" r:id="rId6"/>
    <hyperlink ref="B8" r:id="rId7"/>
    <hyperlink ref="B9" r:id="rId8"/>
    <hyperlink ref="B10" r:id="rId9"/>
    <hyperlink ref="B11" r:id="rId10"/>
    <hyperlink ref="B12" r:id="rId11"/>
    <hyperlink ref="B13" r:id="rId12"/>
    <hyperlink ref="B14" r:id="rId13" display="https://www.vishay.com/quality/pcn-doc/PTN-SIL-00404-2020-Rev-0/PCN-SIL-4042020_Obs_PDIP18-20-28.pdf/"/>
    <hyperlink ref="B15" r:id="rId14" display="https://www.vishay.com/quality/pcn-doc/PTN-SIL-00408-2017-Rev-0/PCN-SIL-4082017%20EOL_SCLA_LICs.pdf/"/>
  </hyperlinks>
  <pageMargins left="0.7" right="0.7" top="0.75" bottom="0.75" header="0.3" footer="0.3"/>
  <drawing r:id="rId1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25"/>
  <sheetViews>
    <sheetView topLeftCell="N1" zoomScale="70" zoomScaleNormal="70" workbookViewId="0">
      <selection activeCell="R3" sqref="R3"/>
    </sheetView>
  </sheetViews>
  <sheetFormatPr baseColWidth="10" defaultColWidth="37.41796875" defaultRowHeight="20.25" customHeight="1"/>
  <cols>
    <col min="13" max="13" width="70.15625" bestFit="1" customWidth="1"/>
  </cols>
  <sheetData>
    <row r="1" spans="1:20" ht="20.25" customHeight="1">
      <c r="A1" s="36" t="s">
        <v>518</v>
      </c>
      <c r="B1" s="36" t="s">
        <v>519</v>
      </c>
      <c r="C1" s="36" t="s">
        <v>520</v>
      </c>
      <c r="D1" s="36" t="s">
        <v>521</v>
      </c>
      <c r="E1" s="36" t="s">
        <v>522</v>
      </c>
      <c r="F1" s="36" t="s">
        <v>523</v>
      </c>
      <c r="G1" s="36" t="s">
        <v>524</v>
      </c>
      <c r="H1" s="36" t="s">
        <v>525</v>
      </c>
      <c r="I1" s="36" t="s">
        <v>526</v>
      </c>
      <c r="J1" s="36" t="s">
        <v>12</v>
      </c>
      <c r="K1" s="36" t="s">
        <v>14</v>
      </c>
      <c r="L1" s="36" t="s">
        <v>15</v>
      </c>
      <c r="M1" s="36" t="s">
        <v>16</v>
      </c>
    </row>
    <row r="2" spans="1:20" ht="20.25" customHeight="1">
      <c r="A2" s="196" t="s">
        <v>761</v>
      </c>
      <c r="B2" s="201" t="s">
        <v>762</v>
      </c>
      <c r="C2" s="200" t="s">
        <v>763</v>
      </c>
      <c r="D2" s="200" t="s">
        <v>748</v>
      </c>
      <c r="E2" s="200" t="s">
        <v>764</v>
      </c>
      <c r="F2" s="200" t="s">
        <v>765</v>
      </c>
      <c r="G2" s="189">
        <v>41674</v>
      </c>
      <c r="H2" s="190">
        <v>41764</v>
      </c>
      <c r="I2" s="190">
        <v>1438</v>
      </c>
      <c r="J2" s="1" t="s">
        <v>766</v>
      </c>
      <c r="K2" s="1" t="s">
        <v>55</v>
      </c>
      <c r="L2" s="1" t="s">
        <v>103</v>
      </c>
      <c r="M2" s="198">
        <v>3</v>
      </c>
      <c r="O2" s="36" t="s">
        <v>14</v>
      </c>
      <c r="P2" s="34"/>
      <c r="R2" s="46" t="s">
        <v>43</v>
      </c>
      <c r="S2" s="55" t="s">
        <v>44</v>
      </c>
      <c r="T2" s="46" t="s">
        <v>45</v>
      </c>
    </row>
    <row r="3" spans="1:20" ht="20.25" customHeight="1">
      <c r="A3" s="196" t="s">
        <v>771</v>
      </c>
      <c r="B3" s="200" t="s">
        <v>772</v>
      </c>
      <c r="C3" s="200" t="s">
        <v>763</v>
      </c>
      <c r="D3" s="200" t="s">
        <v>748</v>
      </c>
      <c r="E3" s="200" t="s">
        <v>764</v>
      </c>
      <c r="F3" s="200" t="s">
        <v>773</v>
      </c>
      <c r="G3" s="189">
        <v>42062</v>
      </c>
      <c r="H3" s="190">
        <v>42153</v>
      </c>
      <c r="I3" s="190">
        <v>42244</v>
      </c>
      <c r="J3" s="197" t="s">
        <v>774</v>
      </c>
      <c r="K3" s="1" t="s">
        <v>55</v>
      </c>
      <c r="L3" s="1" t="s">
        <v>103</v>
      </c>
      <c r="M3" s="198">
        <v>3</v>
      </c>
      <c r="O3" s="5" t="s">
        <v>540</v>
      </c>
      <c r="P3" s="1">
        <f t="shared" ref="P3:P8" si="0">COUNTIF($K$2:$K$620,O3)</f>
        <v>3</v>
      </c>
      <c r="R3" s="49" t="s">
        <v>50</v>
      </c>
      <c r="S3" s="51">
        <f>COUNTIF($M$2:$M$64,"&lt;4")</f>
        <v>4</v>
      </c>
      <c r="T3" s="24">
        <f>S3</f>
        <v>4</v>
      </c>
    </row>
    <row r="4" spans="1:20" ht="20.25" customHeight="1">
      <c r="A4" s="196" t="s">
        <v>775</v>
      </c>
      <c r="B4" s="200" t="s">
        <v>776</v>
      </c>
      <c r="C4" s="200" t="s">
        <v>763</v>
      </c>
      <c r="D4" s="200" t="s">
        <v>748</v>
      </c>
      <c r="E4" s="200" t="s">
        <v>777</v>
      </c>
      <c r="F4" s="200" t="s">
        <v>778</v>
      </c>
      <c r="G4" s="189">
        <v>42465</v>
      </c>
      <c r="H4" s="190">
        <v>42646</v>
      </c>
      <c r="I4" s="190">
        <v>42828</v>
      </c>
      <c r="J4" s="197" t="s">
        <v>779</v>
      </c>
      <c r="K4" s="1" t="s">
        <v>27</v>
      </c>
      <c r="L4" s="1" t="s">
        <v>28</v>
      </c>
      <c r="M4" s="198">
        <v>5</v>
      </c>
      <c r="O4" s="5" t="s">
        <v>55</v>
      </c>
      <c r="P4" s="1">
        <f t="shared" si="0"/>
        <v>2</v>
      </c>
      <c r="R4" s="41" t="s">
        <v>56</v>
      </c>
      <c r="S4" s="51">
        <f>COUNTIF($M$2:$M$64,"&lt;7")</f>
        <v>22</v>
      </c>
      <c r="T4" s="24">
        <f>S4-S3</f>
        <v>18</v>
      </c>
    </row>
    <row r="5" spans="1:20" ht="20.25" customHeight="1">
      <c r="A5" s="203" t="s">
        <v>786</v>
      </c>
      <c r="B5" s="201" t="s">
        <v>787</v>
      </c>
      <c r="C5" s="200" t="s">
        <v>763</v>
      </c>
      <c r="D5" s="200" t="s">
        <v>748</v>
      </c>
      <c r="E5" s="200" t="s">
        <v>777</v>
      </c>
      <c r="F5" s="200" t="s">
        <v>788</v>
      </c>
      <c r="G5" s="189">
        <v>43537</v>
      </c>
      <c r="H5" s="190">
        <v>43720</v>
      </c>
      <c r="I5" s="190">
        <v>43902</v>
      </c>
      <c r="J5" s="197" t="s">
        <v>789</v>
      </c>
      <c r="K5" s="1" t="s">
        <v>540</v>
      </c>
      <c r="L5" s="5" t="s">
        <v>0</v>
      </c>
      <c r="M5" s="198">
        <v>5</v>
      </c>
      <c r="O5" s="5" t="s">
        <v>60</v>
      </c>
      <c r="P5" s="1">
        <f t="shared" si="0"/>
        <v>0</v>
      </c>
      <c r="R5" s="41" t="s">
        <v>61</v>
      </c>
      <c r="S5" s="51">
        <f>COUNTIF($M$2:$M$64,"&lt;10")</f>
        <v>23</v>
      </c>
      <c r="T5" s="24">
        <f>S5-S4</f>
        <v>1</v>
      </c>
    </row>
    <row r="6" spans="1:20" ht="20.25" customHeight="1">
      <c r="A6" s="196" t="s">
        <v>795</v>
      </c>
      <c r="B6" s="200" t="s">
        <v>796</v>
      </c>
      <c r="C6" s="200" t="s">
        <v>763</v>
      </c>
      <c r="D6" s="200" t="s">
        <v>748</v>
      </c>
      <c r="E6" s="200" t="s">
        <v>797</v>
      </c>
      <c r="F6" s="200" t="s">
        <v>798</v>
      </c>
      <c r="G6" s="189">
        <v>41474</v>
      </c>
      <c r="H6" s="190">
        <v>41659</v>
      </c>
      <c r="I6" s="190">
        <v>41841</v>
      </c>
      <c r="J6" s="197" t="s">
        <v>760</v>
      </c>
      <c r="K6" s="1" t="s">
        <v>27</v>
      </c>
      <c r="L6" s="1" t="s">
        <v>28</v>
      </c>
      <c r="M6" s="198">
        <v>6</v>
      </c>
      <c r="O6" s="5" t="s">
        <v>36</v>
      </c>
      <c r="P6" s="1">
        <f t="shared" si="0"/>
        <v>8</v>
      </c>
      <c r="R6" s="41" t="s">
        <v>67</v>
      </c>
      <c r="S6" s="41">
        <f>COUNTIF($M$2:$M$64,"&lt;13")</f>
        <v>23</v>
      </c>
      <c r="T6" s="24">
        <f>S6-S5</f>
        <v>0</v>
      </c>
    </row>
    <row r="7" spans="1:20" ht="20.25" customHeight="1">
      <c r="A7" s="203" t="s">
        <v>802</v>
      </c>
      <c r="B7" s="200" t="s">
        <v>803</v>
      </c>
      <c r="C7" s="200" t="s">
        <v>763</v>
      </c>
      <c r="D7" s="200" t="s">
        <v>748</v>
      </c>
      <c r="E7" s="200" t="s">
        <v>777</v>
      </c>
      <c r="F7" s="200" t="s">
        <v>804</v>
      </c>
      <c r="G7" s="189">
        <v>42851</v>
      </c>
      <c r="H7" s="190">
        <v>43023</v>
      </c>
      <c r="I7" s="190">
        <v>43205</v>
      </c>
      <c r="J7" s="196" t="s">
        <v>805</v>
      </c>
      <c r="K7" s="1" t="s">
        <v>540</v>
      </c>
      <c r="L7" s="5" t="s">
        <v>0</v>
      </c>
      <c r="M7" s="198">
        <v>5</v>
      </c>
      <c r="O7" s="5" t="s">
        <v>75</v>
      </c>
      <c r="P7" s="1">
        <f t="shared" si="0"/>
        <v>3</v>
      </c>
      <c r="R7" s="47" t="s">
        <v>76</v>
      </c>
      <c r="S7" s="52">
        <f>COUNTIF($M$2:$M$64,"&gt;12")</f>
        <v>0</v>
      </c>
      <c r="T7" s="24">
        <f>S7</f>
        <v>0</v>
      </c>
    </row>
    <row r="8" spans="1:20" ht="20.25" customHeight="1">
      <c r="A8" s="203" t="s">
        <v>806</v>
      </c>
      <c r="B8" s="202" t="s">
        <v>807</v>
      </c>
      <c r="C8" s="200" t="s">
        <v>763</v>
      </c>
      <c r="D8" s="200" t="s">
        <v>748</v>
      </c>
      <c r="E8" s="200" t="s">
        <v>777</v>
      </c>
      <c r="F8" s="200" t="s">
        <v>808</v>
      </c>
      <c r="G8" s="189">
        <v>43218</v>
      </c>
      <c r="H8" s="190">
        <v>43308</v>
      </c>
      <c r="I8" s="190">
        <v>43399</v>
      </c>
      <c r="J8" s="197" t="s">
        <v>805</v>
      </c>
      <c r="K8" s="1" t="s">
        <v>540</v>
      </c>
      <c r="L8" s="5" t="s">
        <v>0</v>
      </c>
      <c r="M8" s="198">
        <v>2</v>
      </c>
      <c r="O8" s="5" t="s">
        <v>27</v>
      </c>
      <c r="P8" s="1">
        <f t="shared" si="0"/>
        <v>7</v>
      </c>
      <c r="R8" s="35" t="s">
        <v>80</v>
      </c>
      <c r="S8" s="53"/>
      <c r="T8" s="54">
        <f>SUM(T3:T7)</f>
        <v>23</v>
      </c>
    </row>
    <row r="9" spans="1:20" ht="20.25" customHeight="1">
      <c r="A9" s="196" t="s">
        <v>838</v>
      </c>
      <c r="B9" s="201" t="s">
        <v>839</v>
      </c>
      <c r="C9" s="200" t="s">
        <v>763</v>
      </c>
      <c r="D9" s="200" t="s">
        <v>748</v>
      </c>
      <c r="E9" s="200" t="s">
        <v>777</v>
      </c>
      <c r="F9" s="200" t="s">
        <v>840</v>
      </c>
      <c r="G9" s="189">
        <v>41852</v>
      </c>
      <c r="H9" s="190">
        <v>42034</v>
      </c>
      <c r="I9" s="190">
        <v>42216</v>
      </c>
      <c r="J9" s="197" t="s">
        <v>841</v>
      </c>
      <c r="K9" s="1" t="s">
        <v>27</v>
      </c>
      <c r="L9" s="1" t="s">
        <v>28</v>
      </c>
      <c r="M9" s="198">
        <v>5</v>
      </c>
      <c r="O9" s="153" t="s">
        <v>73</v>
      </c>
      <c r="P9" s="61">
        <f>COUNTIF($K$2:$K$620,O9)</f>
        <v>1</v>
      </c>
    </row>
    <row r="10" spans="1:20" ht="20.25" customHeight="1">
      <c r="A10" s="196" t="s">
        <v>1291</v>
      </c>
      <c r="B10" s="202" t="s">
        <v>1292</v>
      </c>
      <c r="C10" s="200" t="s">
        <v>763</v>
      </c>
      <c r="D10" s="200" t="s">
        <v>748</v>
      </c>
      <c r="E10" s="200" t="s">
        <v>1293</v>
      </c>
      <c r="F10" s="200" t="s">
        <v>1294</v>
      </c>
      <c r="G10" s="189">
        <v>40255</v>
      </c>
      <c r="H10" s="190">
        <v>40421</v>
      </c>
      <c r="I10" s="190">
        <v>40967</v>
      </c>
      <c r="J10" s="1" t="s">
        <v>1295</v>
      </c>
      <c r="K10" s="1" t="s">
        <v>75</v>
      </c>
      <c r="L10" s="1" t="s">
        <v>103</v>
      </c>
      <c r="M10" s="198">
        <v>5</v>
      </c>
      <c r="O10" s="24" t="s">
        <v>578</v>
      </c>
      <c r="P10" s="24">
        <f>COUNTIF($K$2:$K$620,O10)</f>
        <v>0</v>
      </c>
    </row>
    <row r="11" spans="1:20" ht="20.25" customHeight="1">
      <c r="A11" s="196" t="s">
        <v>1298</v>
      </c>
      <c r="B11" s="202" t="s">
        <v>1299</v>
      </c>
      <c r="C11" s="200" t="s">
        <v>763</v>
      </c>
      <c r="D11" s="200" t="s">
        <v>748</v>
      </c>
      <c r="E11" s="200" t="s">
        <v>1300</v>
      </c>
      <c r="F11" s="200" t="s">
        <v>1301</v>
      </c>
      <c r="G11" s="189">
        <v>40255</v>
      </c>
      <c r="H11" s="190">
        <v>40497</v>
      </c>
      <c r="I11" s="190">
        <v>40665</v>
      </c>
      <c r="J11" s="1" t="s">
        <v>1302</v>
      </c>
      <c r="K11" s="1" t="s">
        <v>75</v>
      </c>
      <c r="L11" s="1" t="s">
        <v>103</v>
      </c>
      <c r="M11" s="198">
        <v>7</v>
      </c>
      <c r="O11" s="80" t="s">
        <v>80</v>
      </c>
      <c r="P11" s="154">
        <f>SUM(P3:P10)</f>
        <v>24</v>
      </c>
    </row>
    <row r="12" spans="1:20" ht="20.25" customHeight="1">
      <c r="A12" s="196" t="s">
        <v>1303</v>
      </c>
      <c r="B12" s="202" t="s">
        <v>1304</v>
      </c>
      <c r="C12" s="200" t="s">
        <v>763</v>
      </c>
      <c r="D12" s="200" t="s">
        <v>748</v>
      </c>
      <c r="E12" s="200" t="s">
        <v>777</v>
      </c>
      <c r="F12" s="200" t="s">
        <v>1305</v>
      </c>
      <c r="G12" s="189">
        <v>40733</v>
      </c>
      <c r="H12" s="190">
        <v>40913</v>
      </c>
      <c r="I12" s="190">
        <v>41095</v>
      </c>
      <c r="J12" s="197" t="s">
        <v>1306</v>
      </c>
      <c r="K12" s="1" t="s">
        <v>27</v>
      </c>
      <c r="L12" s="1" t="s">
        <v>28</v>
      </c>
      <c r="M12" s="198">
        <v>5</v>
      </c>
    </row>
    <row r="13" spans="1:20" ht="20.25" customHeight="1">
      <c r="A13" s="196" t="s">
        <v>1333</v>
      </c>
      <c r="B13" s="202" t="s">
        <v>1334</v>
      </c>
      <c r="C13" s="200" t="s">
        <v>763</v>
      </c>
      <c r="D13" s="200" t="s">
        <v>748</v>
      </c>
      <c r="E13" s="200" t="s">
        <v>1335</v>
      </c>
      <c r="F13" s="200" t="s">
        <v>1336</v>
      </c>
      <c r="G13" s="189">
        <v>40168</v>
      </c>
      <c r="H13" s="190">
        <v>40344</v>
      </c>
      <c r="I13" s="190">
        <v>40527</v>
      </c>
      <c r="J13" s="197" t="s">
        <v>1337</v>
      </c>
      <c r="K13" s="1" t="s">
        <v>75</v>
      </c>
      <c r="L13" s="1" t="s">
        <v>103</v>
      </c>
      <c r="M13" s="198">
        <v>5</v>
      </c>
      <c r="O13" s="36" t="s">
        <v>590</v>
      </c>
      <c r="P13" s="34"/>
    </row>
    <row r="14" spans="1:20" ht="20.25" customHeight="1">
      <c r="A14" s="196" t="s">
        <v>1604</v>
      </c>
      <c r="B14" s="202" t="s">
        <v>1605</v>
      </c>
      <c r="C14" s="200" t="s">
        <v>1606</v>
      </c>
      <c r="D14" s="200" t="s">
        <v>748</v>
      </c>
      <c r="E14" s="200" t="s">
        <v>1607</v>
      </c>
      <c r="F14" s="200" t="s">
        <v>1608</v>
      </c>
      <c r="G14" s="189">
        <v>41965</v>
      </c>
      <c r="H14" s="187">
        <v>41955</v>
      </c>
      <c r="I14" s="191">
        <v>41955</v>
      </c>
      <c r="J14" s="197" t="s">
        <v>1609</v>
      </c>
      <c r="K14" s="1" t="s">
        <v>73</v>
      </c>
      <c r="L14" s="1" t="s">
        <v>74</v>
      </c>
      <c r="M14" s="198" t="e">
        <v>#NUM!</v>
      </c>
      <c r="O14" s="5" t="s">
        <v>28</v>
      </c>
      <c r="P14" s="1">
        <f>COUNTIF($L$2:$L$620,O14)</f>
        <v>15</v>
      </c>
    </row>
    <row r="15" spans="1:20" ht="20.25" customHeight="1">
      <c r="A15" s="196" t="s">
        <v>2389</v>
      </c>
      <c r="B15" s="202" t="s">
        <v>2390</v>
      </c>
      <c r="C15" s="200" t="s">
        <v>763</v>
      </c>
      <c r="D15" s="200" t="s">
        <v>748</v>
      </c>
      <c r="E15" s="200" t="s">
        <v>777</v>
      </c>
      <c r="F15" s="200" t="s">
        <v>2391</v>
      </c>
      <c r="G15" s="189">
        <v>43841</v>
      </c>
      <c r="H15" s="187">
        <v>43992</v>
      </c>
      <c r="I15" s="190">
        <v>44207</v>
      </c>
      <c r="J15" s="197" t="s">
        <v>2392</v>
      </c>
      <c r="K15" s="1" t="s">
        <v>36</v>
      </c>
      <c r="L15" s="1" t="s">
        <v>28</v>
      </c>
      <c r="M15" s="198">
        <v>4</v>
      </c>
      <c r="O15" s="5" t="s">
        <v>74</v>
      </c>
      <c r="P15" s="1">
        <f t="shared" ref="P15:P17" si="1">COUNTIF($L$2:$L$620,O15)</f>
        <v>1</v>
      </c>
    </row>
    <row r="16" spans="1:20" ht="20.25" customHeight="1">
      <c r="A16" s="196" t="s">
        <v>2393</v>
      </c>
      <c r="B16" s="202" t="s">
        <v>2394</v>
      </c>
      <c r="C16" s="200" t="s">
        <v>763</v>
      </c>
      <c r="D16" s="200" t="s">
        <v>748</v>
      </c>
      <c r="E16" s="200" t="s">
        <v>777</v>
      </c>
      <c r="F16" s="200" t="s">
        <v>2395</v>
      </c>
      <c r="G16" s="189">
        <v>43841</v>
      </c>
      <c r="H16" s="187">
        <v>43992</v>
      </c>
      <c r="I16" s="190">
        <v>44207</v>
      </c>
      <c r="J16" s="197" t="s">
        <v>2392</v>
      </c>
      <c r="K16" s="1" t="s">
        <v>36</v>
      </c>
      <c r="L16" s="1" t="s">
        <v>28</v>
      </c>
      <c r="M16" s="198">
        <v>4</v>
      </c>
      <c r="O16" s="153" t="s">
        <v>103</v>
      </c>
      <c r="P16" s="1">
        <f t="shared" si="1"/>
        <v>5</v>
      </c>
    </row>
    <row r="17" spans="1:16" ht="20.25" customHeight="1">
      <c r="A17" s="196" t="s">
        <v>2422</v>
      </c>
      <c r="B17" s="202" t="s">
        <v>2423</v>
      </c>
      <c r="C17" s="200" t="s">
        <v>763</v>
      </c>
      <c r="D17" s="200" t="s">
        <v>748</v>
      </c>
      <c r="E17" s="200" t="s">
        <v>764</v>
      </c>
      <c r="F17" s="200" t="s">
        <v>2424</v>
      </c>
      <c r="G17" s="189">
        <v>43554</v>
      </c>
      <c r="H17" s="187">
        <v>43581</v>
      </c>
      <c r="I17" s="190">
        <v>43763</v>
      </c>
      <c r="J17" s="197" t="s">
        <v>789</v>
      </c>
      <c r="K17" s="1" t="s">
        <v>36</v>
      </c>
      <c r="L17" s="1" t="s">
        <v>28</v>
      </c>
      <c r="M17" s="198">
        <v>0</v>
      </c>
      <c r="O17" s="171" t="s">
        <v>0</v>
      </c>
      <c r="P17" s="27">
        <f t="shared" si="1"/>
        <v>3</v>
      </c>
    </row>
    <row r="18" spans="1:16" ht="20.25" customHeight="1">
      <c r="A18" s="196" t="s">
        <v>2432</v>
      </c>
      <c r="B18" s="202" t="s">
        <v>2433</v>
      </c>
      <c r="C18" s="200" t="s">
        <v>763</v>
      </c>
      <c r="D18" s="200" t="s">
        <v>748</v>
      </c>
      <c r="E18" s="200" t="s">
        <v>777</v>
      </c>
      <c r="F18" s="200" t="s">
        <v>2434</v>
      </c>
      <c r="G18" s="189">
        <v>44002</v>
      </c>
      <c r="H18" s="187">
        <v>44124</v>
      </c>
      <c r="I18" s="190">
        <v>44316</v>
      </c>
      <c r="J18" s="197" t="s">
        <v>2435</v>
      </c>
      <c r="K18" s="1" t="s">
        <v>36</v>
      </c>
      <c r="L18" s="1" t="s">
        <v>28</v>
      </c>
      <c r="M18" s="198">
        <v>4</v>
      </c>
      <c r="O18" s="80" t="s">
        <v>80</v>
      </c>
      <c r="P18" s="39">
        <f>SUM(P14:P17)</f>
        <v>24</v>
      </c>
    </row>
    <row r="19" spans="1:16" ht="20.25" customHeight="1">
      <c r="A19" s="196" t="s">
        <v>2441</v>
      </c>
      <c r="B19" s="202" t="s">
        <v>2442</v>
      </c>
      <c r="C19" s="200" t="s">
        <v>763</v>
      </c>
      <c r="D19" s="200" t="s">
        <v>748</v>
      </c>
      <c r="E19" s="200" t="s">
        <v>777</v>
      </c>
      <c r="F19" s="200" t="s">
        <v>2443</v>
      </c>
      <c r="G19" s="189">
        <v>43636</v>
      </c>
      <c r="H19" s="187">
        <v>43818</v>
      </c>
      <c r="I19" s="190">
        <v>44001</v>
      </c>
      <c r="J19" s="197" t="s">
        <v>2444</v>
      </c>
      <c r="K19" s="1" t="s">
        <v>36</v>
      </c>
      <c r="L19" s="1" t="s">
        <v>28</v>
      </c>
      <c r="M19" s="198">
        <v>5</v>
      </c>
    </row>
    <row r="20" spans="1:16" ht="20.25" customHeight="1">
      <c r="A20" s="196" t="s">
        <v>2448</v>
      </c>
      <c r="B20" s="202" t="s">
        <v>2449</v>
      </c>
      <c r="C20" s="200" t="s">
        <v>763</v>
      </c>
      <c r="D20" s="200" t="s">
        <v>748</v>
      </c>
      <c r="E20" s="200" t="s">
        <v>777</v>
      </c>
      <c r="F20" s="200" t="s">
        <v>2450</v>
      </c>
      <c r="G20" s="189">
        <v>44386</v>
      </c>
      <c r="H20" s="187">
        <v>44570</v>
      </c>
      <c r="I20" s="190">
        <v>44751</v>
      </c>
      <c r="J20" s="197" t="s">
        <v>2451</v>
      </c>
      <c r="K20" s="1" t="s">
        <v>36</v>
      </c>
      <c r="L20" s="1" t="s">
        <v>28</v>
      </c>
      <c r="M20" s="198">
        <v>6</v>
      </c>
    </row>
    <row r="21" spans="1:16" ht="20.25" customHeight="1">
      <c r="A21" s="196" t="s">
        <v>2478</v>
      </c>
      <c r="B21" s="204" t="s">
        <v>2479</v>
      </c>
      <c r="C21" s="200" t="s">
        <v>763</v>
      </c>
      <c r="D21" s="200" t="s">
        <v>748</v>
      </c>
      <c r="E21" s="200" t="s">
        <v>777</v>
      </c>
      <c r="F21" s="200" t="s">
        <v>2480</v>
      </c>
      <c r="G21" s="189">
        <v>43810</v>
      </c>
      <c r="H21" s="187">
        <v>43955</v>
      </c>
      <c r="I21" s="190">
        <v>44139</v>
      </c>
      <c r="J21" s="197" t="s">
        <v>2481</v>
      </c>
      <c r="K21" s="1" t="s">
        <v>36</v>
      </c>
      <c r="L21" s="1" t="s">
        <v>28</v>
      </c>
      <c r="M21" s="198">
        <v>4</v>
      </c>
    </row>
    <row r="22" spans="1:16" ht="20.25" customHeight="1">
      <c r="A22" s="203" t="s">
        <v>2485</v>
      </c>
      <c r="B22" s="202" t="s">
        <v>2486</v>
      </c>
      <c r="C22" s="200" t="s">
        <v>763</v>
      </c>
      <c r="D22" s="200" t="s">
        <v>748</v>
      </c>
      <c r="E22" s="200" t="s">
        <v>797</v>
      </c>
      <c r="F22" s="200" t="s">
        <v>2487</v>
      </c>
      <c r="G22" s="189">
        <v>43823</v>
      </c>
      <c r="H22" s="187">
        <v>43982</v>
      </c>
      <c r="I22" s="190">
        <v>44196</v>
      </c>
      <c r="J22" s="1" t="s">
        <v>2488</v>
      </c>
      <c r="K22" s="1" t="s">
        <v>36</v>
      </c>
      <c r="L22" s="1" t="s">
        <v>28</v>
      </c>
      <c r="M22" s="198">
        <v>5</v>
      </c>
    </row>
    <row r="23" spans="1:16" ht="20.25" customHeight="1">
      <c r="A23" s="196" t="s">
        <v>2888</v>
      </c>
      <c r="B23" s="202" t="s">
        <v>2889</v>
      </c>
      <c r="C23" s="200" t="s">
        <v>763</v>
      </c>
      <c r="D23" s="200" t="s">
        <v>748</v>
      </c>
      <c r="E23" s="200" t="s">
        <v>2890</v>
      </c>
      <c r="F23" s="200" t="s">
        <v>2891</v>
      </c>
      <c r="G23" s="189">
        <v>43103</v>
      </c>
      <c r="H23" s="187">
        <v>43281</v>
      </c>
      <c r="I23" s="190">
        <v>43465</v>
      </c>
      <c r="J23" s="197" t="s">
        <v>2892</v>
      </c>
      <c r="K23" s="1" t="s">
        <v>27</v>
      </c>
      <c r="L23" s="1" t="s">
        <v>28</v>
      </c>
      <c r="M23" s="198">
        <v>5</v>
      </c>
    </row>
    <row r="24" spans="1:16" ht="20.25" customHeight="1">
      <c r="A24" s="196" t="s">
        <v>2893</v>
      </c>
      <c r="B24" s="202" t="s">
        <v>2894</v>
      </c>
      <c r="C24" s="200" t="s">
        <v>763</v>
      </c>
      <c r="D24" s="200" t="s">
        <v>748</v>
      </c>
      <c r="E24" s="200" t="s">
        <v>2895</v>
      </c>
      <c r="F24" s="200" t="s">
        <v>2896</v>
      </c>
      <c r="G24" s="189">
        <v>43103</v>
      </c>
      <c r="H24" s="187">
        <v>43281</v>
      </c>
      <c r="I24" s="190">
        <v>43465</v>
      </c>
      <c r="J24" s="197" t="s">
        <v>2897</v>
      </c>
      <c r="K24" s="1" t="s">
        <v>27</v>
      </c>
      <c r="L24" s="1" t="s">
        <v>28</v>
      </c>
      <c r="M24" s="198">
        <v>5</v>
      </c>
    </row>
    <row r="25" spans="1:16" ht="20.25" customHeight="1">
      <c r="A25" s="196" t="s">
        <v>2898</v>
      </c>
      <c r="B25" s="202" t="s">
        <v>2899</v>
      </c>
      <c r="C25" s="200" t="s">
        <v>763</v>
      </c>
      <c r="D25" s="200" t="s">
        <v>748</v>
      </c>
      <c r="E25" s="200" t="s">
        <v>2900</v>
      </c>
      <c r="F25" s="200" t="s">
        <v>2901</v>
      </c>
      <c r="G25" s="189">
        <v>43103</v>
      </c>
      <c r="H25" s="187">
        <v>43281</v>
      </c>
      <c r="I25" s="190">
        <v>43465</v>
      </c>
      <c r="J25" s="197" t="s">
        <v>2902</v>
      </c>
      <c r="K25" s="1" t="s">
        <v>27</v>
      </c>
      <c r="L25" s="1" t="s">
        <v>28</v>
      </c>
      <c r="M25" s="198">
        <v>5</v>
      </c>
    </row>
  </sheetData>
  <hyperlinks>
    <hyperlink ref="B2" r:id="rId1"/>
    <hyperlink ref="B5" r:id="rId2"/>
    <hyperlink ref="B8" r:id="rId3"/>
    <hyperlink ref="B9" r:id="rId4"/>
    <hyperlink ref="B10" r:id="rId5"/>
    <hyperlink ref="B12" r:id="rId6"/>
    <hyperlink ref="B11" r:id="rId7"/>
    <hyperlink ref="B13" r:id="rId8"/>
    <hyperlink ref="B14" r:id="rId9"/>
    <hyperlink ref="B15" r:id="rId10"/>
    <hyperlink ref="B16" r:id="rId11"/>
    <hyperlink ref="B17" r:id="rId12"/>
    <hyperlink ref="B18" r:id="rId13"/>
    <hyperlink ref="B19" r:id="rId14"/>
    <hyperlink ref="B20" r:id="rId15"/>
    <hyperlink ref="B21" r:id="rId16"/>
    <hyperlink ref="B22" r:id="rId17"/>
    <hyperlink ref="B23" r:id="rId18" display="https://www.vishay.com/quality/pcn-doc/PTN-OMV-01009-2017-Rev-0/pcn_omv_1009_2017_rev0.pdf/"/>
    <hyperlink ref="B24" r:id="rId19" display="https://www.vishay.com/quality/pcn-doc/PTN-OMV-01010-2017-Rev-0/pcn_omv_1010_2017_rev0.pdf/"/>
    <hyperlink ref="B25" r:id="rId20" display="https://www.vishay.com/quality/pcn-doc/PTN-OMV-01011-2017-Rev-0/pcn_omv_1011_2017_rev0.pdf/"/>
  </hyperlinks>
  <pageMargins left="0.7" right="0.7" top="0.75" bottom="0.75" header="0.3" footer="0.3"/>
  <drawing r:id="rId2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18"/>
  <sheetViews>
    <sheetView topLeftCell="L1" zoomScale="70" zoomScaleNormal="70" workbookViewId="0">
      <selection activeCell="O42" sqref="O42"/>
    </sheetView>
  </sheetViews>
  <sheetFormatPr baseColWidth="10" defaultColWidth="37.41796875" defaultRowHeight="20.25" customHeight="1"/>
  <cols>
    <col min="2" max="2" width="109.41796875" bestFit="1" customWidth="1"/>
    <col min="5" max="5" width="111.41796875" bestFit="1" customWidth="1"/>
    <col min="13" max="13" width="87.578125" bestFit="1" customWidth="1"/>
  </cols>
  <sheetData>
    <row r="1" spans="1:20" ht="20.25" customHeight="1">
      <c r="A1" s="35" t="s">
        <v>518</v>
      </c>
      <c r="B1" s="35" t="s">
        <v>519</v>
      </c>
      <c r="C1" s="35" t="s">
        <v>520</v>
      </c>
      <c r="D1" s="35" t="s">
        <v>521</v>
      </c>
      <c r="E1" s="35" t="s">
        <v>522</v>
      </c>
      <c r="F1" s="35" t="s">
        <v>523</v>
      </c>
      <c r="G1" s="35" t="s">
        <v>524</v>
      </c>
      <c r="H1" s="186" t="s">
        <v>525</v>
      </c>
      <c r="I1" s="35" t="s">
        <v>526</v>
      </c>
      <c r="J1" s="186" t="s">
        <v>12</v>
      </c>
      <c r="K1" s="35" t="s">
        <v>14</v>
      </c>
      <c r="L1" s="35" t="s">
        <v>15</v>
      </c>
      <c r="M1" s="35" t="s">
        <v>16</v>
      </c>
    </row>
    <row r="2" spans="1:20" ht="20.25" customHeight="1">
      <c r="A2" s="105" t="s">
        <v>2756</v>
      </c>
      <c r="B2" s="118" t="s">
        <v>2757</v>
      </c>
      <c r="C2" s="104" t="s">
        <v>2758</v>
      </c>
      <c r="D2" s="104" t="s">
        <v>1340</v>
      </c>
      <c r="E2" s="104" t="s">
        <v>2759</v>
      </c>
      <c r="F2" s="139" t="s">
        <v>2760</v>
      </c>
      <c r="G2" s="185">
        <v>44378</v>
      </c>
      <c r="H2" s="187">
        <v>44593</v>
      </c>
      <c r="I2" s="188"/>
      <c r="J2" s="1" t="s">
        <v>2737</v>
      </c>
      <c r="K2" s="81" t="s">
        <v>36</v>
      </c>
      <c r="L2" s="24" t="s">
        <v>28</v>
      </c>
      <c r="M2" s="134">
        <v>7</v>
      </c>
      <c r="O2" s="36" t="s">
        <v>14</v>
      </c>
      <c r="P2" s="34"/>
      <c r="R2" s="46" t="s">
        <v>43</v>
      </c>
      <c r="S2" s="55" t="s">
        <v>44</v>
      </c>
      <c r="T2" s="46" t="s">
        <v>45</v>
      </c>
    </row>
    <row r="3" spans="1:20" ht="20.25" customHeight="1">
      <c r="A3" s="105" t="s">
        <v>2768</v>
      </c>
      <c r="B3" s="118" t="s">
        <v>2769</v>
      </c>
      <c r="C3" s="104" t="s">
        <v>2758</v>
      </c>
      <c r="D3" s="104" t="s">
        <v>1340</v>
      </c>
      <c r="E3" s="104" t="s">
        <v>2770</v>
      </c>
      <c r="F3" s="139" t="s">
        <v>2771</v>
      </c>
      <c r="G3" s="185">
        <v>44383</v>
      </c>
      <c r="H3" s="187">
        <v>44562</v>
      </c>
      <c r="I3" s="188"/>
      <c r="J3" s="1" t="s">
        <v>2737</v>
      </c>
      <c r="K3" s="81" t="s">
        <v>36</v>
      </c>
      <c r="L3" s="24" t="s">
        <v>28</v>
      </c>
      <c r="M3" s="134">
        <v>5</v>
      </c>
      <c r="O3" s="5" t="s">
        <v>540</v>
      </c>
      <c r="P3" s="1">
        <f t="shared" ref="P3:P10" si="0">COUNTIF($K$2:$K$602,O3)</f>
        <v>0</v>
      </c>
      <c r="R3" s="49" t="s">
        <v>50</v>
      </c>
      <c r="S3" s="51">
        <f>COUNTIF($M$2:$M$46,"&lt;4")</f>
        <v>0</v>
      </c>
      <c r="T3" s="24">
        <f>S3</f>
        <v>0</v>
      </c>
    </row>
    <row r="4" spans="1:20" ht="20.25" customHeight="1">
      <c r="A4" s="105" t="s">
        <v>2784</v>
      </c>
      <c r="B4" s="118" t="s">
        <v>2785</v>
      </c>
      <c r="C4" s="104" t="s">
        <v>2758</v>
      </c>
      <c r="D4" s="104" t="s">
        <v>1340</v>
      </c>
      <c r="E4" s="104" t="s">
        <v>2786</v>
      </c>
      <c r="F4" s="139" t="s">
        <v>2787</v>
      </c>
      <c r="G4" s="185">
        <v>44383</v>
      </c>
      <c r="H4" s="187">
        <v>44562</v>
      </c>
      <c r="I4" s="188"/>
      <c r="J4" s="1" t="s">
        <v>2737</v>
      </c>
      <c r="K4" s="81" t="s">
        <v>36</v>
      </c>
      <c r="L4" s="24" t="s">
        <v>28</v>
      </c>
      <c r="M4" s="134">
        <v>5</v>
      </c>
      <c r="O4" s="5" t="s">
        <v>55</v>
      </c>
      <c r="P4" s="1">
        <f t="shared" si="0"/>
        <v>0</v>
      </c>
      <c r="R4" s="41" t="s">
        <v>56</v>
      </c>
      <c r="S4" s="51">
        <f>COUNTIF($M$2:$M$46,"&lt;7")</f>
        <v>5</v>
      </c>
      <c r="T4" s="24">
        <f>S4-S3</f>
        <v>5</v>
      </c>
    </row>
    <row r="5" spans="1:20" ht="20.25" customHeight="1">
      <c r="A5" s="105" t="s">
        <v>2800</v>
      </c>
      <c r="B5" s="118" t="s">
        <v>2801</v>
      </c>
      <c r="C5" s="104" t="s">
        <v>2758</v>
      </c>
      <c r="D5" s="104" t="s">
        <v>1340</v>
      </c>
      <c r="E5" s="104" t="s">
        <v>2802</v>
      </c>
      <c r="F5" s="139" t="s">
        <v>2803</v>
      </c>
      <c r="G5" s="185">
        <v>44383</v>
      </c>
      <c r="H5" s="187">
        <v>44596</v>
      </c>
      <c r="I5" s="188"/>
      <c r="J5" s="1" t="s">
        <v>2737</v>
      </c>
      <c r="K5" s="81" t="s">
        <v>36</v>
      </c>
      <c r="L5" s="24" t="s">
        <v>28</v>
      </c>
      <c r="M5" s="134">
        <v>6</v>
      </c>
      <c r="O5" s="5" t="s">
        <v>60</v>
      </c>
      <c r="P5" s="1">
        <f t="shared" si="0"/>
        <v>0</v>
      </c>
      <c r="R5" s="41" t="s">
        <v>61</v>
      </c>
      <c r="S5" s="51">
        <f>COUNTIF($M$2:$M$46,"&lt;10")</f>
        <v>6</v>
      </c>
      <c r="T5" s="24">
        <f>S5-S4</f>
        <v>1</v>
      </c>
    </row>
    <row r="6" spans="1:20" ht="20.25" customHeight="1">
      <c r="A6" s="105" t="s">
        <v>2812</v>
      </c>
      <c r="B6" s="118" t="s">
        <v>2813</v>
      </c>
      <c r="C6" s="104" t="s">
        <v>2758</v>
      </c>
      <c r="D6" s="104" t="s">
        <v>1340</v>
      </c>
      <c r="E6" s="104" t="s">
        <v>2814</v>
      </c>
      <c r="F6" s="139" t="s">
        <v>2815</v>
      </c>
      <c r="G6" s="185">
        <v>44414</v>
      </c>
      <c r="H6" s="187">
        <v>44593</v>
      </c>
      <c r="I6" s="188"/>
      <c r="J6" s="1" t="s">
        <v>2737</v>
      </c>
      <c r="K6" s="81" t="s">
        <v>36</v>
      </c>
      <c r="L6" s="24" t="s">
        <v>28</v>
      </c>
      <c r="M6" s="134">
        <v>5</v>
      </c>
      <c r="O6" s="5" t="s">
        <v>36</v>
      </c>
      <c r="P6" s="1">
        <f t="shared" si="0"/>
        <v>6</v>
      </c>
      <c r="R6" s="41" t="s">
        <v>67</v>
      </c>
      <c r="S6" s="41">
        <f>COUNTIF($M$2:$M$46,"&lt;13")</f>
        <v>6</v>
      </c>
      <c r="T6" s="24">
        <f>S6-S5</f>
        <v>0</v>
      </c>
    </row>
    <row r="7" spans="1:20" ht="20.25" customHeight="1">
      <c r="A7" s="105" t="s">
        <v>2828</v>
      </c>
      <c r="B7" s="118" t="s">
        <v>2829</v>
      </c>
      <c r="C7" s="104" t="s">
        <v>2758</v>
      </c>
      <c r="D7" s="104" t="s">
        <v>2123</v>
      </c>
      <c r="E7" s="104" t="s">
        <v>2830</v>
      </c>
      <c r="F7" s="139" t="s">
        <v>2831</v>
      </c>
      <c r="G7" s="185">
        <v>44418</v>
      </c>
      <c r="H7" s="187">
        <v>44601</v>
      </c>
      <c r="I7" s="188"/>
      <c r="J7" s="1" t="s">
        <v>2737</v>
      </c>
      <c r="K7" s="81" t="s">
        <v>36</v>
      </c>
      <c r="L7" s="24" t="s">
        <v>28</v>
      </c>
      <c r="M7" s="134">
        <v>5</v>
      </c>
      <c r="O7" s="5" t="s">
        <v>75</v>
      </c>
      <c r="P7" s="1">
        <f t="shared" si="0"/>
        <v>0</v>
      </c>
      <c r="R7" s="47" t="s">
        <v>76</v>
      </c>
      <c r="S7" s="52">
        <f>COUNTIF($M$2:$M$46,"&gt;12")</f>
        <v>0</v>
      </c>
      <c r="T7" s="24">
        <f>S7</f>
        <v>0</v>
      </c>
    </row>
    <row r="8" spans="1:20" ht="20.25" customHeight="1">
      <c r="O8" s="5" t="s">
        <v>27</v>
      </c>
      <c r="P8" s="1">
        <f t="shared" si="0"/>
        <v>0</v>
      </c>
      <c r="R8" s="35" t="s">
        <v>80</v>
      </c>
      <c r="S8" s="53"/>
      <c r="T8" s="54">
        <f>SUM(T3:T7)</f>
        <v>6</v>
      </c>
    </row>
    <row r="9" spans="1:20" ht="20.25" customHeight="1">
      <c r="O9" s="153" t="s">
        <v>73</v>
      </c>
      <c r="P9" s="61">
        <f t="shared" si="0"/>
        <v>0</v>
      </c>
    </row>
    <row r="10" spans="1:20" ht="20.25" customHeight="1">
      <c r="O10" s="24" t="s">
        <v>578</v>
      </c>
      <c r="P10" s="24">
        <f t="shared" si="0"/>
        <v>0</v>
      </c>
    </row>
    <row r="11" spans="1:20" ht="20.25" customHeight="1">
      <c r="O11" s="80" t="s">
        <v>80</v>
      </c>
      <c r="P11" s="154">
        <f>SUM(P3:P10)</f>
        <v>6</v>
      </c>
    </row>
    <row r="13" spans="1:20" ht="20.25" customHeight="1">
      <c r="O13" s="36" t="s">
        <v>590</v>
      </c>
      <c r="P13" s="34"/>
    </row>
    <row r="14" spans="1:20" ht="20.25" customHeight="1">
      <c r="O14" s="5" t="s">
        <v>28</v>
      </c>
      <c r="P14" s="1">
        <f>COUNTIF($L$2:$L$602,O14)</f>
        <v>6</v>
      </c>
    </row>
    <row r="15" spans="1:20" ht="20.25" customHeight="1">
      <c r="O15" s="5" t="s">
        <v>74</v>
      </c>
      <c r="P15" s="1">
        <f>COUNTIF($L$2:$L$602,O15)</f>
        <v>0</v>
      </c>
    </row>
    <row r="16" spans="1:20" ht="20.25" customHeight="1">
      <c r="O16" s="153" t="s">
        <v>103</v>
      </c>
      <c r="P16" s="1">
        <f>COUNTIF($L$2:$L$602,O16)</f>
        <v>0</v>
      </c>
    </row>
    <row r="17" spans="15:16" ht="20.25" customHeight="1">
      <c r="O17" s="171" t="s">
        <v>0</v>
      </c>
      <c r="P17" s="27">
        <f>COUNTIF($L$2:$L$602,O17)</f>
        <v>0</v>
      </c>
    </row>
    <row r="18" spans="15:16" ht="20.25" customHeight="1">
      <c r="O18" s="80" t="s">
        <v>80</v>
      </c>
      <c r="P18" s="39">
        <f>SUM(P14:P17)</f>
        <v>6</v>
      </c>
    </row>
  </sheetData>
  <hyperlinks>
    <hyperlink ref="B2" r:id="rId1"/>
    <hyperlink ref="B3" r:id="rId2"/>
    <hyperlink ref="B4" r:id="rId3"/>
    <hyperlink ref="B5" r:id="rId4"/>
    <hyperlink ref="B6" r:id="rId5"/>
    <hyperlink ref="B7" r:id="rId6"/>
  </hyperlinks>
  <pageMargins left="0.7" right="0.7" top="0.75" bottom="0.75" header="0.3" footer="0.3"/>
  <drawing r:id="rId7"/>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sheetPr>
  <dimension ref="A1:T115"/>
  <sheetViews>
    <sheetView topLeftCell="N1" zoomScale="70" zoomScaleNormal="70" workbookViewId="0">
      <selection activeCell="R2" sqref="R2:T8"/>
    </sheetView>
  </sheetViews>
  <sheetFormatPr baseColWidth="10" defaultColWidth="61.41796875" defaultRowHeight="14.4"/>
  <cols>
    <col min="1" max="1" width="61.41796875" style="169"/>
    <col min="7" max="7" width="11.41796875" style="150" bestFit="1" customWidth="1"/>
    <col min="8" max="8" width="24.41796875" style="170" customWidth="1"/>
    <col min="9" max="9" width="27.41796875" style="170" customWidth="1"/>
    <col min="10" max="10" width="42.15625" style="169" customWidth="1"/>
    <col min="11" max="11" width="46.578125" customWidth="1"/>
    <col min="12" max="12" width="32.15625" style="199" customWidth="1"/>
    <col min="16" max="16" width="17" customWidth="1"/>
    <col min="18" max="18" width="22.41796875" customWidth="1"/>
    <col min="19" max="19" width="17.41796875" customWidth="1"/>
    <col min="20" max="20" width="19.15625" customWidth="1"/>
  </cols>
  <sheetData>
    <row r="1" spans="1:20" ht="20.25" customHeight="1">
      <c r="A1" s="205" t="s">
        <v>518</v>
      </c>
      <c r="B1" s="206" t="s">
        <v>519</v>
      </c>
      <c r="C1" s="206" t="s">
        <v>520</v>
      </c>
      <c r="D1" s="206" t="s">
        <v>521</v>
      </c>
      <c r="E1" s="206" t="s">
        <v>522</v>
      </c>
      <c r="F1" s="206" t="s">
        <v>523</v>
      </c>
      <c r="G1" s="207" t="s">
        <v>524</v>
      </c>
      <c r="H1" s="208" t="s">
        <v>525</v>
      </c>
      <c r="I1" s="208" t="s">
        <v>526</v>
      </c>
      <c r="J1" s="206" t="s">
        <v>12</v>
      </c>
      <c r="K1" s="209" t="s">
        <v>14</v>
      </c>
      <c r="L1" s="209" t="s">
        <v>15</v>
      </c>
      <c r="M1" s="209" t="s">
        <v>16</v>
      </c>
    </row>
    <row r="2" spans="1:20" ht="20.25" customHeight="1">
      <c r="A2" s="196" t="s">
        <v>1147</v>
      </c>
      <c r="B2" s="200" t="s">
        <v>1148</v>
      </c>
      <c r="C2" s="200" t="s">
        <v>1149</v>
      </c>
      <c r="D2" s="200" t="s">
        <v>703</v>
      </c>
      <c r="E2" s="200" t="s">
        <v>1150</v>
      </c>
      <c r="F2" s="200" t="s">
        <v>1151</v>
      </c>
      <c r="G2" s="189">
        <v>40928</v>
      </c>
      <c r="H2" s="190">
        <v>40969</v>
      </c>
      <c r="I2" s="190"/>
      <c r="J2" s="197" t="s">
        <v>1152</v>
      </c>
      <c r="K2" s="1" t="s">
        <v>540</v>
      </c>
      <c r="L2" s="5" t="s">
        <v>0</v>
      </c>
      <c r="M2" s="198">
        <v>1</v>
      </c>
      <c r="O2" s="36" t="s">
        <v>14</v>
      </c>
      <c r="P2" s="34"/>
      <c r="R2" s="46" t="s">
        <v>43</v>
      </c>
      <c r="S2" s="55" t="s">
        <v>44</v>
      </c>
      <c r="T2" s="46" t="s">
        <v>45</v>
      </c>
    </row>
    <row r="3" spans="1:20" ht="20.25" customHeight="1">
      <c r="A3" s="196" t="s">
        <v>1157</v>
      </c>
      <c r="B3" s="200" t="s">
        <v>1158</v>
      </c>
      <c r="C3" s="200" t="s">
        <v>1149</v>
      </c>
      <c r="D3" s="200" t="s">
        <v>703</v>
      </c>
      <c r="E3" s="200" t="s">
        <v>1159</v>
      </c>
      <c r="F3" s="200" t="s">
        <v>1160</v>
      </c>
      <c r="G3" s="189">
        <v>40927</v>
      </c>
      <c r="H3" s="190">
        <v>40969</v>
      </c>
      <c r="I3" s="190"/>
      <c r="J3" s="197" t="s">
        <v>1152</v>
      </c>
      <c r="K3" s="1" t="s">
        <v>540</v>
      </c>
      <c r="L3" s="5" t="s">
        <v>0</v>
      </c>
      <c r="M3" s="198">
        <v>1</v>
      </c>
      <c r="O3" s="5" t="s">
        <v>540</v>
      </c>
      <c r="P3" s="1">
        <f t="shared" ref="P3:P10" si="0">COUNTIF($K$2:$K$115,O3)</f>
        <v>17</v>
      </c>
      <c r="R3" s="49" t="s">
        <v>50</v>
      </c>
      <c r="S3" s="51">
        <f>COUNTIF($M$2:$M$64,"&lt;4")</f>
        <v>21</v>
      </c>
      <c r="T3" s="24">
        <f>S3</f>
        <v>21</v>
      </c>
    </row>
    <row r="4" spans="1:20" ht="20.25" customHeight="1">
      <c r="A4" s="196" t="s">
        <v>1161</v>
      </c>
      <c r="B4" s="200" t="s">
        <v>1162</v>
      </c>
      <c r="C4" s="200" t="s">
        <v>1149</v>
      </c>
      <c r="D4" s="200" t="s">
        <v>703</v>
      </c>
      <c r="E4" s="200" t="s">
        <v>1159</v>
      </c>
      <c r="F4" s="200" t="s">
        <v>1163</v>
      </c>
      <c r="G4" s="189">
        <v>41418</v>
      </c>
      <c r="H4" s="190">
        <v>41456</v>
      </c>
      <c r="I4" s="190"/>
      <c r="J4" s="197" t="s">
        <v>1152</v>
      </c>
      <c r="K4" s="1" t="s">
        <v>540</v>
      </c>
      <c r="L4" s="5" t="s">
        <v>0</v>
      </c>
      <c r="M4" s="198">
        <v>1</v>
      </c>
      <c r="O4" s="5" t="s">
        <v>55</v>
      </c>
      <c r="P4" s="1">
        <f t="shared" si="0"/>
        <v>0</v>
      </c>
      <c r="R4" s="41" t="s">
        <v>56</v>
      </c>
      <c r="S4" s="51">
        <f>COUNTIF($M$2:$M$64,"&lt;7")</f>
        <v>47</v>
      </c>
      <c r="T4" s="24">
        <f>S4-S3</f>
        <v>26</v>
      </c>
    </row>
    <row r="5" spans="1:20" ht="20.25" customHeight="1">
      <c r="A5" s="196" t="s">
        <v>1164</v>
      </c>
      <c r="B5" s="200" t="s">
        <v>1165</v>
      </c>
      <c r="C5" s="200" t="s">
        <v>1149</v>
      </c>
      <c r="D5" s="200" t="s">
        <v>703</v>
      </c>
      <c r="E5" s="200" t="s">
        <v>1166</v>
      </c>
      <c r="F5" s="200" t="s">
        <v>1167</v>
      </c>
      <c r="G5" s="189">
        <v>40856</v>
      </c>
      <c r="H5" s="190">
        <v>40907</v>
      </c>
      <c r="I5" s="190"/>
      <c r="J5" s="197" t="s">
        <v>1152</v>
      </c>
      <c r="K5" s="1" t="s">
        <v>540</v>
      </c>
      <c r="L5" s="5" t="s">
        <v>0</v>
      </c>
      <c r="M5" s="198">
        <v>1</v>
      </c>
      <c r="O5" s="5" t="s">
        <v>60</v>
      </c>
      <c r="P5" s="1">
        <f t="shared" si="0"/>
        <v>0</v>
      </c>
      <c r="R5" s="41" t="s">
        <v>61</v>
      </c>
      <c r="S5" s="51">
        <f>COUNTIF($M$2:$M$64,"&lt;10")</f>
        <v>49</v>
      </c>
      <c r="T5" s="24">
        <f>S5-S4</f>
        <v>2</v>
      </c>
    </row>
    <row r="6" spans="1:20" ht="20.25" customHeight="1">
      <c r="A6" s="196" t="s">
        <v>1164</v>
      </c>
      <c r="B6" s="201" t="s">
        <v>1168</v>
      </c>
      <c r="C6" s="200" t="s">
        <v>1149</v>
      </c>
      <c r="D6" s="200" t="s">
        <v>703</v>
      </c>
      <c r="E6" s="200" t="s">
        <v>1166</v>
      </c>
      <c r="F6" s="200" t="s">
        <v>1169</v>
      </c>
      <c r="G6" s="189">
        <v>40857</v>
      </c>
      <c r="H6" s="190"/>
      <c r="I6" s="190"/>
      <c r="J6" s="197"/>
      <c r="K6" s="1"/>
      <c r="L6" s="1"/>
      <c r="M6" s="198" t="e">
        <v>#NUM!</v>
      </c>
      <c r="O6" s="5" t="s">
        <v>36</v>
      </c>
      <c r="P6" s="1">
        <f t="shared" si="0"/>
        <v>6</v>
      </c>
      <c r="R6" s="41" t="s">
        <v>67</v>
      </c>
      <c r="S6" s="41">
        <f>COUNTIF($M$2:$M$64,"&lt;13")</f>
        <v>50</v>
      </c>
      <c r="T6" s="24">
        <f>S6-S5</f>
        <v>1</v>
      </c>
    </row>
    <row r="7" spans="1:20" ht="20.25" customHeight="1">
      <c r="A7" s="196" t="s">
        <v>1164</v>
      </c>
      <c r="B7" s="200" t="s">
        <v>1170</v>
      </c>
      <c r="C7" s="200" t="s">
        <v>1149</v>
      </c>
      <c r="D7" s="200" t="s">
        <v>703</v>
      </c>
      <c r="E7" s="200" t="s">
        <v>1166</v>
      </c>
      <c r="F7" s="200" t="s">
        <v>1167</v>
      </c>
      <c r="G7" s="189">
        <v>40856</v>
      </c>
      <c r="H7" s="190"/>
      <c r="I7" s="190"/>
      <c r="J7" s="197"/>
      <c r="K7" s="1"/>
      <c r="L7" s="1"/>
      <c r="M7" s="198" t="e">
        <v>#NUM!</v>
      </c>
      <c r="O7" s="5" t="s">
        <v>75</v>
      </c>
      <c r="P7" s="1">
        <f t="shared" si="0"/>
        <v>8</v>
      </c>
      <c r="R7" s="47" t="s">
        <v>76</v>
      </c>
      <c r="S7" s="52">
        <f>COUNTIF($M$2:$M$64,"&gt;12")</f>
        <v>0</v>
      </c>
      <c r="T7" s="24">
        <f>S7</f>
        <v>0</v>
      </c>
    </row>
    <row r="8" spans="1:20" ht="20.25" customHeight="1">
      <c r="A8" s="196" t="s">
        <v>1171</v>
      </c>
      <c r="B8" s="200" t="s">
        <v>1172</v>
      </c>
      <c r="C8" s="200" t="s">
        <v>1149</v>
      </c>
      <c r="D8" s="200" t="s">
        <v>703</v>
      </c>
      <c r="E8" s="200" t="s">
        <v>1159</v>
      </c>
      <c r="F8" s="200" t="s">
        <v>1173</v>
      </c>
      <c r="G8" s="189">
        <v>41418</v>
      </c>
      <c r="H8" s="190">
        <v>41456</v>
      </c>
      <c r="I8" s="190"/>
      <c r="J8" s="197" t="s">
        <v>1152</v>
      </c>
      <c r="K8" s="1" t="s">
        <v>540</v>
      </c>
      <c r="L8" s="5" t="s">
        <v>0</v>
      </c>
      <c r="M8" s="198">
        <v>1</v>
      </c>
      <c r="O8" s="5" t="s">
        <v>27</v>
      </c>
      <c r="P8" s="1">
        <f t="shared" si="0"/>
        <v>20</v>
      </c>
      <c r="R8" s="35" t="s">
        <v>80</v>
      </c>
      <c r="S8" s="53"/>
      <c r="T8" s="54">
        <f>SUM(T3:T7)</f>
        <v>50</v>
      </c>
    </row>
    <row r="9" spans="1:20" ht="20.25" customHeight="1">
      <c r="A9" s="196" t="s">
        <v>1177</v>
      </c>
      <c r="B9" s="200" t="s">
        <v>1178</v>
      </c>
      <c r="C9" s="200" t="s">
        <v>1149</v>
      </c>
      <c r="D9" s="200" t="s">
        <v>703</v>
      </c>
      <c r="E9" s="200" t="s">
        <v>1159</v>
      </c>
      <c r="F9" s="200" t="s">
        <v>1179</v>
      </c>
      <c r="G9" s="189">
        <v>40880</v>
      </c>
      <c r="H9" s="190">
        <v>40939</v>
      </c>
      <c r="I9" s="190"/>
      <c r="J9" s="197" t="s">
        <v>1152</v>
      </c>
      <c r="K9" s="1" t="s">
        <v>540</v>
      </c>
      <c r="L9" s="5" t="s">
        <v>0</v>
      </c>
      <c r="M9" s="198">
        <v>1</v>
      </c>
      <c r="O9" s="153" t="s">
        <v>73</v>
      </c>
      <c r="P9" s="61">
        <f t="shared" si="0"/>
        <v>58</v>
      </c>
    </row>
    <row r="10" spans="1:20" ht="20.25" customHeight="1">
      <c r="A10" s="196" t="s">
        <v>1446</v>
      </c>
      <c r="B10" s="202" t="s">
        <v>1447</v>
      </c>
      <c r="C10" s="200" t="s">
        <v>1149</v>
      </c>
      <c r="D10" s="200" t="s">
        <v>748</v>
      </c>
      <c r="E10" s="200" t="s">
        <v>1448</v>
      </c>
      <c r="F10" s="200" t="s">
        <v>1449</v>
      </c>
      <c r="G10" s="189">
        <v>40400</v>
      </c>
      <c r="H10" s="193">
        <v>40399</v>
      </c>
      <c r="I10" s="193">
        <v>40560</v>
      </c>
      <c r="J10" s="1" t="s">
        <v>1450</v>
      </c>
      <c r="K10" s="1" t="s">
        <v>75</v>
      </c>
      <c r="L10" s="1" t="s">
        <v>103</v>
      </c>
      <c r="M10" s="198" t="e">
        <v>#NUM!</v>
      </c>
      <c r="O10" s="24" t="s">
        <v>578</v>
      </c>
      <c r="P10" s="24">
        <f t="shared" si="0"/>
        <v>0</v>
      </c>
    </row>
    <row r="11" spans="1:20" ht="20.25" customHeight="1">
      <c r="A11" s="196" t="s">
        <v>1451</v>
      </c>
      <c r="B11" s="202" t="s">
        <v>1452</v>
      </c>
      <c r="C11" s="200" t="s">
        <v>1149</v>
      </c>
      <c r="D11" s="200" t="s">
        <v>748</v>
      </c>
      <c r="E11" s="200" t="s">
        <v>1453</v>
      </c>
      <c r="F11" s="200" t="s">
        <v>1454</v>
      </c>
      <c r="G11" s="189">
        <v>40499</v>
      </c>
      <c r="H11" s="191">
        <v>40664</v>
      </c>
      <c r="I11" s="191">
        <v>40847</v>
      </c>
      <c r="J11" s="197" t="s">
        <v>1455</v>
      </c>
      <c r="K11" s="1" t="s">
        <v>27</v>
      </c>
      <c r="L11" s="1" t="s">
        <v>28</v>
      </c>
      <c r="M11" s="198">
        <v>5</v>
      </c>
      <c r="O11" s="80" t="s">
        <v>80</v>
      </c>
      <c r="P11" s="154">
        <f>SUM(P3:P10)</f>
        <v>109</v>
      </c>
    </row>
    <row r="12" spans="1:20" ht="20.25" customHeight="1">
      <c r="A12" s="196" t="s">
        <v>1456</v>
      </c>
      <c r="B12" s="202" t="s">
        <v>1457</v>
      </c>
      <c r="C12" s="200" t="s">
        <v>1149</v>
      </c>
      <c r="D12" s="200" t="s">
        <v>748</v>
      </c>
      <c r="E12" s="200" t="s">
        <v>1458</v>
      </c>
      <c r="F12" s="200" t="s">
        <v>1459</v>
      </c>
      <c r="G12" s="189">
        <v>40499</v>
      </c>
      <c r="H12" s="187"/>
      <c r="I12" s="193">
        <v>40633</v>
      </c>
      <c r="J12" s="1" t="s">
        <v>1460</v>
      </c>
      <c r="K12" s="1" t="s">
        <v>540</v>
      </c>
      <c r="L12" s="5" t="s">
        <v>0</v>
      </c>
      <c r="M12" s="198" t="e">
        <v>#NUM!</v>
      </c>
    </row>
    <row r="13" spans="1:20" ht="20.25" customHeight="1">
      <c r="A13" s="196" t="s">
        <v>1461</v>
      </c>
      <c r="B13" s="201" t="s">
        <v>1462</v>
      </c>
      <c r="C13" s="200" t="s">
        <v>1149</v>
      </c>
      <c r="D13" s="200" t="s">
        <v>748</v>
      </c>
      <c r="E13" s="200" t="s">
        <v>749</v>
      </c>
      <c r="F13" s="200" t="s">
        <v>1463</v>
      </c>
      <c r="G13" s="189">
        <v>40506</v>
      </c>
      <c r="H13" s="187">
        <v>40689</v>
      </c>
      <c r="I13" s="191">
        <v>40872</v>
      </c>
      <c r="J13" s="197" t="s">
        <v>1464</v>
      </c>
      <c r="K13" s="1" t="s">
        <v>540</v>
      </c>
      <c r="L13" s="5" t="s">
        <v>0</v>
      </c>
      <c r="M13" s="198">
        <v>6</v>
      </c>
      <c r="O13" s="36" t="s">
        <v>14</v>
      </c>
      <c r="P13" s="34"/>
    </row>
    <row r="14" spans="1:20" ht="20.25" customHeight="1">
      <c r="A14" s="196" t="s">
        <v>1465</v>
      </c>
      <c r="B14" s="202" t="s">
        <v>1466</v>
      </c>
      <c r="C14" s="200" t="s">
        <v>1149</v>
      </c>
      <c r="D14" s="200" t="s">
        <v>748</v>
      </c>
      <c r="E14" s="200" t="s">
        <v>855</v>
      </c>
      <c r="F14" s="200" t="s">
        <v>1463</v>
      </c>
      <c r="G14" s="189">
        <v>40612</v>
      </c>
      <c r="H14" s="187">
        <v>40633</v>
      </c>
      <c r="I14" s="191">
        <v>40795</v>
      </c>
      <c r="J14" s="197" t="s">
        <v>1467</v>
      </c>
      <c r="K14" s="1" t="s">
        <v>540</v>
      </c>
      <c r="L14" s="5" t="s">
        <v>0</v>
      </c>
      <c r="M14" s="198">
        <v>0</v>
      </c>
      <c r="O14" s="5" t="s">
        <v>28</v>
      </c>
      <c r="P14" s="1">
        <f>COUNTIF($L$2:$L$115,O14)</f>
        <v>31</v>
      </c>
    </row>
    <row r="15" spans="1:20" ht="20.25" customHeight="1">
      <c r="A15" s="196" t="s">
        <v>1468</v>
      </c>
      <c r="B15" s="201" t="s">
        <v>1469</v>
      </c>
      <c r="C15" s="200" t="s">
        <v>1149</v>
      </c>
      <c r="D15" s="200" t="s">
        <v>748</v>
      </c>
      <c r="E15" s="200" t="s">
        <v>749</v>
      </c>
      <c r="F15" s="200" t="s">
        <v>1470</v>
      </c>
      <c r="G15" s="189">
        <v>40628</v>
      </c>
      <c r="H15" s="187">
        <v>40618</v>
      </c>
      <c r="I15" s="191">
        <v>40765</v>
      </c>
      <c r="J15" s="197" t="s">
        <v>1471</v>
      </c>
      <c r="K15" s="1" t="s">
        <v>75</v>
      </c>
      <c r="L15" s="1" t="s">
        <v>28</v>
      </c>
      <c r="M15" s="198" t="e">
        <v>#NUM!</v>
      </c>
      <c r="O15" s="5" t="s">
        <v>74</v>
      </c>
      <c r="P15" s="1">
        <f>COUNTIF($L$2:$L$115,O15)</f>
        <v>58</v>
      </c>
    </row>
    <row r="16" spans="1:20" ht="20.25" customHeight="1">
      <c r="A16" s="196" t="s">
        <v>1472</v>
      </c>
      <c r="B16" s="202" t="s">
        <v>1473</v>
      </c>
      <c r="C16" s="200" t="s">
        <v>1149</v>
      </c>
      <c r="D16" s="200" t="s">
        <v>782</v>
      </c>
      <c r="E16" s="200" t="s">
        <v>1474</v>
      </c>
      <c r="F16" s="200" t="s">
        <v>1475</v>
      </c>
      <c r="G16" s="189">
        <v>40852</v>
      </c>
      <c r="H16" s="187">
        <v>41029</v>
      </c>
      <c r="I16" s="191">
        <v>41213</v>
      </c>
      <c r="J16" s="197" t="s">
        <v>1476</v>
      </c>
      <c r="K16" s="1"/>
      <c r="L16" s="1"/>
      <c r="M16" s="198">
        <v>5</v>
      </c>
      <c r="O16" s="153" t="s">
        <v>103</v>
      </c>
      <c r="P16" s="61">
        <f>COUNTIF($L$2:$L$115,O16)</f>
        <v>3</v>
      </c>
    </row>
    <row r="17" spans="1:16" ht="20.25" customHeight="1">
      <c r="A17" s="196" t="s">
        <v>1477</v>
      </c>
      <c r="B17" s="202" t="s">
        <v>1478</v>
      </c>
      <c r="C17" s="200" t="s">
        <v>1149</v>
      </c>
      <c r="D17" s="200" t="s">
        <v>748</v>
      </c>
      <c r="E17" s="200" t="s">
        <v>1479</v>
      </c>
      <c r="F17" s="200" t="s">
        <v>1480</v>
      </c>
      <c r="G17" s="189">
        <v>40954</v>
      </c>
      <c r="H17" s="187">
        <v>41138</v>
      </c>
      <c r="I17" s="191">
        <v>41320</v>
      </c>
      <c r="J17" s="197" t="s">
        <v>1481</v>
      </c>
      <c r="K17" s="1" t="s">
        <v>27</v>
      </c>
      <c r="L17" s="1" t="s">
        <v>28</v>
      </c>
      <c r="M17" s="198">
        <v>6</v>
      </c>
      <c r="O17" s="41" t="s">
        <v>0</v>
      </c>
      <c r="P17" s="48">
        <f>COUNTIF($L$2:$L$115,O17)</f>
        <v>17</v>
      </c>
    </row>
    <row r="18" spans="1:16" ht="20.25" customHeight="1">
      <c r="A18" s="196" t="s">
        <v>1482</v>
      </c>
      <c r="B18" s="202" t="s">
        <v>1483</v>
      </c>
      <c r="C18" s="200" t="s">
        <v>1149</v>
      </c>
      <c r="D18" s="200" t="s">
        <v>748</v>
      </c>
      <c r="E18" s="200" t="s">
        <v>1484</v>
      </c>
      <c r="F18" s="200" t="s">
        <v>1485</v>
      </c>
      <c r="G18" s="189">
        <v>40992</v>
      </c>
      <c r="H18" s="187">
        <v>41044</v>
      </c>
      <c r="I18" s="191">
        <v>41166</v>
      </c>
      <c r="J18" s="197" t="s">
        <v>1486</v>
      </c>
      <c r="K18" s="1" t="s">
        <v>27</v>
      </c>
      <c r="L18" s="1" t="s">
        <v>28</v>
      </c>
      <c r="M18" s="198">
        <v>1</v>
      </c>
      <c r="O18" s="80" t="s">
        <v>80</v>
      </c>
      <c r="P18" s="154">
        <f>SUM(P14:P17)</f>
        <v>109</v>
      </c>
    </row>
    <row r="19" spans="1:16" ht="20.25" customHeight="1">
      <c r="A19" s="196" t="s">
        <v>1487</v>
      </c>
      <c r="B19" s="202" t="s">
        <v>1488</v>
      </c>
      <c r="C19" s="200" t="s">
        <v>1149</v>
      </c>
      <c r="D19" s="200" t="s">
        <v>748</v>
      </c>
      <c r="E19" s="200" t="s">
        <v>1489</v>
      </c>
      <c r="F19" s="200" t="s">
        <v>1490</v>
      </c>
      <c r="G19" s="189">
        <v>41005</v>
      </c>
      <c r="H19" s="187">
        <v>41183</v>
      </c>
      <c r="I19" s="191">
        <v>41371</v>
      </c>
      <c r="J19" s="197" t="s">
        <v>1491</v>
      </c>
      <c r="K19" s="1" t="s">
        <v>75</v>
      </c>
      <c r="L19" s="1" t="s">
        <v>103</v>
      </c>
      <c r="M19" s="198">
        <v>5</v>
      </c>
    </row>
    <row r="20" spans="1:16" ht="20.25" customHeight="1">
      <c r="A20" s="196" t="s">
        <v>1492</v>
      </c>
      <c r="B20" s="202" t="s">
        <v>1493</v>
      </c>
      <c r="C20" s="200" t="s">
        <v>1149</v>
      </c>
      <c r="D20" s="200" t="s">
        <v>748</v>
      </c>
      <c r="E20" s="200" t="s">
        <v>1494</v>
      </c>
      <c r="F20" s="200" t="s">
        <v>1495</v>
      </c>
      <c r="G20" s="189">
        <v>41013</v>
      </c>
      <c r="H20" s="187">
        <v>41012</v>
      </c>
      <c r="I20" s="191">
        <v>41012</v>
      </c>
      <c r="J20" s="197" t="s">
        <v>1496</v>
      </c>
      <c r="K20" s="1" t="s">
        <v>73</v>
      </c>
      <c r="L20" s="1" t="s">
        <v>74</v>
      </c>
      <c r="M20" s="198" t="e">
        <v>#NUM!</v>
      </c>
    </row>
    <row r="21" spans="1:16" ht="20.25" customHeight="1">
      <c r="A21" s="196" t="s">
        <v>1497</v>
      </c>
      <c r="B21" s="202" t="s">
        <v>1498</v>
      </c>
      <c r="C21" s="200" t="s">
        <v>1149</v>
      </c>
      <c r="D21" s="200" t="s">
        <v>748</v>
      </c>
      <c r="E21" s="200" t="s">
        <v>1499</v>
      </c>
      <c r="F21" s="200" t="s">
        <v>1500</v>
      </c>
      <c r="G21" s="189">
        <v>41109</v>
      </c>
      <c r="H21" s="187">
        <v>41103</v>
      </c>
      <c r="I21" s="191">
        <v>41103</v>
      </c>
      <c r="J21" s="197" t="s">
        <v>1501</v>
      </c>
      <c r="K21" s="1" t="s">
        <v>73</v>
      </c>
      <c r="L21" s="1" t="s">
        <v>74</v>
      </c>
      <c r="M21" s="198" t="e">
        <v>#NUM!</v>
      </c>
    </row>
    <row r="22" spans="1:16" ht="20.25" customHeight="1">
      <c r="A22" s="196" t="s">
        <v>1502</v>
      </c>
      <c r="B22" s="202" t="s">
        <v>1503</v>
      </c>
      <c r="C22" s="200" t="s">
        <v>1149</v>
      </c>
      <c r="D22" s="200" t="s">
        <v>748</v>
      </c>
      <c r="E22" s="200" t="s">
        <v>1504</v>
      </c>
      <c r="F22" s="200" t="s">
        <v>1505</v>
      </c>
      <c r="G22" s="189">
        <v>41109</v>
      </c>
      <c r="H22" s="187">
        <v>41196</v>
      </c>
      <c r="I22" s="191">
        <v>41289</v>
      </c>
      <c r="J22" s="197" t="s">
        <v>1506</v>
      </c>
      <c r="K22" s="1" t="s">
        <v>73</v>
      </c>
      <c r="L22" s="1" t="s">
        <v>74</v>
      </c>
      <c r="M22" s="198">
        <v>2</v>
      </c>
    </row>
    <row r="23" spans="1:16" ht="20.25" customHeight="1">
      <c r="A23" s="196" t="s">
        <v>1507</v>
      </c>
      <c r="B23" s="202" t="s">
        <v>1508</v>
      </c>
      <c r="C23" s="200" t="s">
        <v>1149</v>
      </c>
      <c r="D23" s="200" t="s">
        <v>748</v>
      </c>
      <c r="E23" s="200" t="s">
        <v>855</v>
      </c>
      <c r="F23" s="200" t="s">
        <v>1509</v>
      </c>
      <c r="G23" s="189">
        <v>41139</v>
      </c>
      <c r="H23" s="187">
        <v>41144</v>
      </c>
      <c r="I23" s="191">
        <v>41205</v>
      </c>
      <c r="J23" s="197" t="s">
        <v>1510</v>
      </c>
      <c r="K23" s="1" t="s">
        <v>75</v>
      </c>
      <c r="L23" s="1" t="s">
        <v>28</v>
      </c>
      <c r="M23" s="198">
        <v>0</v>
      </c>
    </row>
    <row r="24" spans="1:16" ht="20.25" customHeight="1">
      <c r="A24" s="196" t="s">
        <v>1511</v>
      </c>
      <c r="B24" s="201" t="s">
        <v>1512</v>
      </c>
      <c r="C24" s="200" t="s">
        <v>1149</v>
      </c>
      <c r="D24" s="200" t="s">
        <v>748</v>
      </c>
      <c r="E24" s="200" t="s">
        <v>1513</v>
      </c>
      <c r="F24" s="200" t="s">
        <v>1514</v>
      </c>
      <c r="G24" s="189">
        <v>41166</v>
      </c>
      <c r="H24" s="187">
        <v>41341</v>
      </c>
      <c r="I24" s="191">
        <v>41523</v>
      </c>
      <c r="J24" s="1" t="s">
        <v>1515</v>
      </c>
      <c r="K24" s="1" t="s">
        <v>36</v>
      </c>
      <c r="L24" s="1" t="s">
        <v>28</v>
      </c>
      <c r="M24" s="198">
        <v>5</v>
      </c>
    </row>
    <row r="25" spans="1:16" ht="20.25" customHeight="1">
      <c r="A25" s="196" t="s">
        <v>1516</v>
      </c>
      <c r="B25" s="202" t="s">
        <v>1517</v>
      </c>
      <c r="C25" s="200" t="s">
        <v>1149</v>
      </c>
      <c r="D25" s="200" t="s">
        <v>748</v>
      </c>
      <c r="E25" s="200" t="s">
        <v>1518</v>
      </c>
      <c r="F25" s="200" t="s">
        <v>1519</v>
      </c>
      <c r="G25" s="189">
        <v>41152</v>
      </c>
      <c r="H25" s="187">
        <v>41143</v>
      </c>
      <c r="I25" s="191">
        <v>41143</v>
      </c>
      <c r="J25" s="197" t="s">
        <v>1520</v>
      </c>
      <c r="K25" s="1" t="s">
        <v>73</v>
      </c>
      <c r="L25" s="1" t="s">
        <v>74</v>
      </c>
      <c r="M25" s="198" t="e">
        <v>#NUM!</v>
      </c>
    </row>
    <row r="26" spans="1:16" ht="20.25" customHeight="1">
      <c r="A26" s="196" t="s">
        <v>1521</v>
      </c>
      <c r="B26" s="202" t="s">
        <v>1522</v>
      </c>
      <c r="C26" s="200" t="s">
        <v>1149</v>
      </c>
      <c r="D26" s="200" t="s">
        <v>748</v>
      </c>
      <c r="E26" s="200" t="s">
        <v>1523</v>
      </c>
      <c r="F26" s="200" t="s">
        <v>1524</v>
      </c>
      <c r="G26" s="189">
        <v>41172</v>
      </c>
      <c r="H26" s="187">
        <v>41365</v>
      </c>
      <c r="I26" s="191">
        <v>41548</v>
      </c>
      <c r="J26" s="197" t="s">
        <v>1525</v>
      </c>
      <c r="K26" s="1" t="s">
        <v>27</v>
      </c>
      <c r="L26" s="1" t="s">
        <v>28</v>
      </c>
      <c r="M26" s="198">
        <v>6</v>
      </c>
    </row>
    <row r="27" spans="1:16" ht="20.25" customHeight="1">
      <c r="A27" s="196" t="s">
        <v>1526</v>
      </c>
      <c r="B27" s="201" t="s">
        <v>1527</v>
      </c>
      <c r="C27" s="200" t="s">
        <v>1149</v>
      </c>
      <c r="D27" s="200" t="s">
        <v>748</v>
      </c>
      <c r="E27" s="200" t="s">
        <v>1528</v>
      </c>
      <c r="F27" s="200" t="s">
        <v>1529</v>
      </c>
      <c r="G27" s="189">
        <v>41494</v>
      </c>
      <c r="H27" s="187">
        <v>41490</v>
      </c>
      <c r="I27" s="191">
        <v>41528</v>
      </c>
      <c r="J27" s="197" t="s">
        <v>1530</v>
      </c>
      <c r="K27" s="1" t="s">
        <v>73</v>
      </c>
      <c r="L27" s="1" t="s">
        <v>74</v>
      </c>
      <c r="M27" s="198" t="e">
        <v>#NUM!</v>
      </c>
    </row>
    <row r="28" spans="1:16" ht="20.25" customHeight="1">
      <c r="A28" s="196" t="s">
        <v>1531</v>
      </c>
      <c r="B28" s="202" t="s">
        <v>1532</v>
      </c>
      <c r="C28" s="200" t="s">
        <v>1149</v>
      </c>
      <c r="D28" s="200" t="s">
        <v>748</v>
      </c>
      <c r="E28" s="200" t="s">
        <v>1489</v>
      </c>
      <c r="F28" s="200" t="s">
        <v>1533</v>
      </c>
      <c r="G28" s="189">
        <v>41494</v>
      </c>
      <c r="H28" s="187">
        <v>41678</v>
      </c>
      <c r="I28" s="191">
        <v>41678</v>
      </c>
      <c r="J28" s="197" t="s">
        <v>1534</v>
      </c>
      <c r="K28" s="1" t="s">
        <v>27</v>
      </c>
      <c r="L28" s="1" t="s">
        <v>28</v>
      </c>
      <c r="M28" s="198">
        <v>6</v>
      </c>
    </row>
    <row r="29" spans="1:16" ht="20.25" customHeight="1">
      <c r="A29" s="196" t="s">
        <v>1535</v>
      </c>
      <c r="B29" s="202" t="s">
        <v>1536</v>
      </c>
      <c r="C29" s="200" t="s">
        <v>1149</v>
      </c>
      <c r="D29" s="200" t="s">
        <v>748</v>
      </c>
      <c r="E29" s="200" t="s">
        <v>1537</v>
      </c>
      <c r="F29" s="200" t="s">
        <v>1538</v>
      </c>
      <c r="G29" s="189">
        <v>41513</v>
      </c>
      <c r="H29" s="187">
        <v>41730</v>
      </c>
      <c r="I29" s="191">
        <v>41821</v>
      </c>
      <c r="J29" s="197" t="s">
        <v>1534</v>
      </c>
      <c r="K29" s="1" t="s">
        <v>27</v>
      </c>
      <c r="L29" s="1" t="s">
        <v>28</v>
      </c>
      <c r="M29" s="198">
        <v>7</v>
      </c>
    </row>
    <row r="30" spans="1:16" ht="20.25" customHeight="1">
      <c r="A30" s="196" t="s">
        <v>1539</v>
      </c>
      <c r="B30" s="202" t="s">
        <v>1540</v>
      </c>
      <c r="C30" s="200" t="s">
        <v>1149</v>
      </c>
      <c r="D30" s="200" t="s">
        <v>748</v>
      </c>
      <c r="E30" s="200" t="s">
        <v>1541</v>
      </c>
      <c r="F30" s="200" t="s">
        <v>1542</v>
      </c>
      <c r="G30" s="189">
        <v>41529</v>
      </c>
      <c r="H30" s="187">
        <v>41606</v>
      </c>
      <c r="I30" s="191">
        <v>41698</v>
      </c>
      <c r="J30" s="197" t="s">
        <v>1543</v>
      </c>
      <c r="K30" s="1" t="s">
        <v>73</v>
      </c>
      <c r="L30" s="1" t="s">
        <v>74</v>
      </c>
      <c r="M30" s="198">
        <v>2</v>
      </c>
    </row>
    <row r="31" spans="1:16" ht="20.25" customHeight="1">
      <c r="A31" s="196" t="s">
        <v>1544</v>
      </c>
      <c r="B31" s="202" t="s">
        <v>1545</v>
      </c>
      <c r="C31" s="200" t="s">
        <v>1149</v>
      </c>
      <c r="D31" s="200" t="s">
        <v>748</v>
      </c>
      <c r="E31" s="200" t="s">
        <v>1546</v>
      </c>
      <c r="F31" s="200" t="s">
        <v>1547</v>
      </c>
      <c r="G31" s="189">
        <v>41530</v>
      </c>
      <c r="H31" s="187">
        <v>41572</v>
      </c>
      <c r="I31" s="191">
        <v>41664</v>
      </c>
      <c r="J31" s="197" t="s">
        <v>1548</v>
      </c>
      <c r="K31" s="1" t="s">
        <v>73</v>
      </c>
      <c r="L31" s="1" t="s">
        <v>74</v>
      </c>
      <c r="M31" s="198">
        <v>1</v>
      </c>
    </row>
    <row r="32" spans="1:16" ht="20.25" customHeight="1">
      <c r="A32" s="196" t="s">
        <v>1549</v>
      </c>
      <c r="B32" s="202" t="s">
        <v>1550</v>
      </c>
      <c r="C32" s="200" t="s">
        <v>1149</v>
      </c>
      <c r="D32" s="200" t="s">
        <v>748</v>
      </c>
      <c r="E32" s="200" t="s">
        <v>1551</v>
      </c>
      <c r="F32" s="200" t="s">
        <v>1552</v>
      </c>
      <c r="G32" s="189">
        <v>41542</v>
      </c>
      <c r="H32" s="187">
        <v>41620</v>
      </c>
      <c r="I32" s="191">
        <v>41892</v>
      </c>
      <c r="J32" s="197" t="s">
        <v>1553</v>
      </c>
      <c r="K32" s="1" t="s">
        <v>75</v>
      </c>
      <c r="L32" s="1" t="s">
        <v>28</v>
      </c>
      <c r="M32" s="198">
        <v>2</v>
      </c>
    </row>
    <row r="33" spans="1:13" ht="20.25" customHeight="1">
      <c r="A33" s="196" t="s">
        <v>1554</v>
      </c>
      <c r="B33" s="202" t="s">
        <v>1555</v>
      </c>
      <c r="C33" s="200" t="s">
        <v>1149</v>
      </c>
      <c r="D33" s="200" t="s">
        <v>748</v>
      </c>
      <c r="E33" s="200" t="s">
        <v>1556</v>
      </c>
      <c r="F33" s="200" t="s">
        <v>1557</v>
      </c>
      <c r="G33" s="189">
        <v>41558</v>
      </c>
      <c r="H33" s="187">
        <v>41549</v>
      </c>
      <c r="I33" s="191">
        <v>41549</v>
      </c>
      <c r="J33" s="197" t="s">
        <v>1558</v>
      </c>
      <c r="K33" s="1" t="s">
        <v>73</v>
      </c>
      <c r="L33" s="1" t="s">
        <v>74</v>
      </c>
      <c r="M33" s="198" t="e">
        <v>#NUM!</v>
      </c>
    </row>
    <row r="34" spans="1:13" ht="20.25" customHeight="1">
      <c r="A34" s="196" t="s">
        <v>1559</v>
      </c>
      <c r="B34" s="202" t="s">
        <v>1560</v>
      </c>
      <c r="C34" s="200" t="s">
        <v>1149</v>
      </c>
      <c r="D34" s="200" t="s">
        <v>748</v>
      </c>
      <c r="E34" s="200" t="s">
        <v>1561</v>
      </c>
      <c r="F34" s="200" t="s">
        <v>1562</v>
      </c>
      <c r="G34" s="189">
        <v>41590</v>
      </c>
      <c r="H34" s="187">
        <v>41669</v>
      </c>
      <c r="I34" s="191">
        <v>41759</v>
      </c>
      <c r="J34" s="197" t="s">
        <v>1563</v>
      </c>
      <c r="K34" s="1" t="s">
        <v>27</v>
      </c>
      <c r="L34" s="1" t="s">
        <v>28</v>
      </c>
      <c r="M34" s="198">
        <v>2</v>
      </c>
    </row>
    <row r="35" spans="1:13" ht="20.25" customHeight="1">
      <c r="A35" s="196" t="s">
        <v>1564</v>
      </c>
      <c r="B35" s="202" t="s">
        <v>1565</v>
      </c>
      <c r="C35" s="200" t="s">
        <v>1149</v>
      </c>
      <c r="D35" s="200" t="s">
        <v>748</v>
      </c>
      <c r="E35" s="200" t="s">
        <v>1566</v>
      </c>
      <c r="F35" s="200" t="s">
        <v>1567</v>
      </c>
      <c r="G35" s="189">
        <v>41627</v>
      </c>
      <c r="H35" s="187">
        <v>41620</v>
      </c>
      <c r="I35" s="191">
        <v>41620</v>
      </c>
      <c r="J35" s="197" t="s">
        <v>1520</v>
      </c>
      <c r="K35" s="1" t="s">
        <v>73</v>
      </c>
      <c r="L35" s="1" t="s">
        <v>74</v>
      </c>
      <c r="M35" s="198" t="e">
        <v>#NUM!</v>
      </c>
    </row>
    <row r="36" spans="1:13" ht="20.25" customHeight="1">
      <c r="A36" s="196" t="s">
        <v>1568</v>
      </c>
      <c r="B36" s="202" t="s">
        <v>1569</v>
      </c>
      <c r="C36" s="200" t="s">
        <v>1149</v>
      </c>
      <c r="D36" s="200" t="s">
        <v>748</v>
      </c>
      <c r="E36" s="200" t="s">
        <v>1570</v>
      </c>
      <c r="F36" s="200" t="s">
        <v>1571</v>
      </c>
      <c r="G36" s="189">
        <v>41627</v>
      </c>
      <c r="H36" s="187">
        <v>41818</v>
      </c>
      <c r="I36" s="191">
        <v>41988</v>
      </c>
      <c r="J36" s="197" t="s">
        <v>1572</v>
      </c>
      <c r="K36" s="1" t="s">
        <v>73</v>
      </c>
      <c r="L36" s="1" t="s">
        <v>74</v>
      </c>
      <c r="M36" s="198">
        <v>6</v>
      </c>
    </row>
    <row r="37" spans="1:13" ht="20.25" customHeight="1">
      <c r="A37" s="196" t="s">
        <v>1573</v>
      </c>
      <c r="B37" s="202" t="s">
        <v>1574</v>
      </c>
      <c r="C37" s="200" t="s">
        <v>1149</v>
      </c>
      <c r="D37" s="200" t="s">
        <v>748</v>
      </c>
      <c r="E37" s="200" t="s">
        <v>1489</v>
      </c>
      <c r="F37" s="200" t="s">
        <v>1575</v>
      </c>
      <c r="G37" s="189">
        <v>41682</v>
      </c>
      <c r="H37" s="187">
        <v>41944</v>
      </c>
      <c r="I37" s="191">
        <v>42125</v>
      </c>
      <c r="J37" s="197" t="s">
        <v>1534</v>
      </c>
      <c r="K37" s="1" t="s">
        <v>27</v>
      </c>
      <c r="L37" s="1" t="s">
        <v>28</v>
      </c>
      <c r="M37" s="198">
        <v>8</v>
      </c>
    </row>
    <row r="38" spans="1:13" ht="20.25" customHeight="1">
      <c r="A38" s="196" t="s">
        <v>1576</v>
      </c>
      <c r="B38" s="202" t="s">
        <v>1577</v>
      </c>
      <c r="C38" s="200" t="s">
        <v>1149</v>
      </c>
      <c r="D38" s="200" t="s">
        <v>748</v>
      </c>
      <c r="E38" s="200" t="s">
        <v>1578</v>
      </c>
      <c r="F38" s="200" t="s">
        <v>1579</v>
      </c>
      <c r="G38" s="189">
        <v>41706</v>
      </c>
      <c r="H38" s="187">
        <v>41883</v>
      </c>
      <c r="I38" s="191">
        <v>42064</v>
      </c>
      <c r="J38" s="197" t="s">
        <v>1580</v>
      </c>
      <c r="K38" s="1" t="s">
        <v>27</v>
      </c>
      <c r="L38" s="1" t="s">
        <v>28</v>
      </c>
      <c r="M38" s="198">
        <v>5</v>
      </c>
    </row>
    <row r="39" spans="1:13" ht="20.25" customHeight="1">
      <c r="A39" s="196" t="s">
        <v>1581</v>
      </c>
      <c r="B39" s="202" t="s">
        <v>1582</v>
      </c>
      <c r="C39" s="200" t="s">
        <v>1149</v>
      </c>
      <c r="D39" s="200" t="s">
        <v>748</v>
      </c>
      <c r="E39" s="200" t="s">
        <v>1583</v>
      </c>
      <c r="F39" s="200" t="s">
        <v>1584</v>
      </c>
      <c r="G39" s="189">
        <v>41723</v>
      </c>
      <c r="H39" s="187">
        <v>41792</v>
      </c>
      <c r="I39" s="191">
        <v>42080</v>
      </c>
      <c r="J39" s="197" t="s">
        <v>1585</v>
      </c>
      <c r="K39" s="1" t="s">
        <v>73</v>
      </c>
      <c r="L39" s="1" t="s">
        <v>74</v>
      </c>
      <c r="M39" s="198">
        <v>2</v>
      </c>
    </row>
    <row r="40" spans="1:13" ht="20.25" customHeight="1">
      <c r="A40" s="196" t="s">
        <v>1586</v>
      </c>
      <c r="B40" s="202" t="s">
        <v>1587</v>
      </c>
      <c r="C40" s="200" t="s">
        <v>1149</v>
      </c>
      <c r="D40" s="200" t="s">
        <v>748</v>
      </c>
      <c r="E40" s="200" t="s">
        <v>1588</v>
      </c>
      <c r="F40" s="200" t="s">
        <v>1589</v>
      </c>
      <c r="G40" s="189">
        <v>41726</v>
      </c>
      <c r="H40" s="187">
        <v>41910</v>
      </c>
      <c r="I40" s="191">
        <v>42092</v>
      </c>
      <c r="J40" s="197" t="s">
        <v>1534</v>
      </c>
      <c r="K40" s="1" t="s">
        <v>27</v>
      </c>
      <c r="L40" s="1" t="s">
        <v>28</v>
      </c>
      <c r="M40" s="198">
        <v>6</v>
      </c>
    </row>
    <row r="41" spans="1:13" ht="20.25" customHeight="1">
      <c r="A41" s="196" t="s">
        <v>1590</v>
      </c>
      <c r="B41" s="202" t="s">
        <v>1591</v>
      </c>
      <c r="C41" s="200" t="s">
        <v>1149</v>
      </c>
      <c r="D41" s="200" t="s">
        <v>748</v>
      </c>
      <c r="E41" s="200" t="s">
        <v>1592</v>
      </c>
      <c r="F41" s="200" t="s">
        <v>1593</v>
      </c>
      <c r="G41" s="189">
        <v>41808</v>
      </c>
      <c r="H41" s="187">
        <v>42004</v>
      </c>
      <c r="I41" s="191">
        <v>42186</v>
      </c>
      <c r="J41" s="197" t="s">
        <v>1534</v>
      </c>
      <c r="K41" s="1" t="s">
        <v>27</v>
      </c>
      <c r="L41" s="1" t="s">
        <v>28</v>
      </c>
      <c r="M41" s="198">
        <v>6</v>
      </c>
    </row>
    <row r="42" spans="1:13" ht="20.25" customHeight="1">
      <c r="A42" s="196" t="s">
        <v>1594</v>
      </c>
      <c r="B42" s="202" t="s">
        <v>1595</v>
      </c>
      <c r="C42" s="200" t="s">
        <v>1149</v>
      </c>
      <c r="D42" s="200" t="s">
        <v>748</v>
      </c>
      <c r="E42" s="200" t="s">
        <v>1596</v>
      </c>
      <c r="F42" s="200" t="s">
        <v>1597</v>
      </c>
      <c r="G42" s="189">
        <v>41901</v>
      </c>
      <c r="H42" s="187">
        <v>42071</v>
      </c>
      <c r="I42" s="191">
        <v>42253</v>
      </c>
      <c r="J42" s="197" t="s">
        <v>1598</v>
      </c>
      <c r="K42" s="1" t="s">
        <v>73</v>
      </c>
      <c r="L42" s="1" t="s">
        <v>74</v>
      </c>
      <c r="M42" s="198">
        <v>5</v>
      </c>
    </row>
    <row r="43" spans="1:13" ht="20.25" customHeight="1">
      <c r="A43" s="196" t="s">
        <v>1599</v>
      </c>
      <c r="B43" s="202" t="s">
        <v>1600</v>
      </c>
      <c r="C43" s="200" t="s">
        <v>1149</v>
      </c>
      <c r="D43" s="200" t="s">
        <v>748</v>
      </c>
      <c r="E43" s="200" t="s">
        <v>1601</v>
      </c>
      <c r="F43" s="200" t="s">
        <v>1602</v>
      </c>
      <c r="G43" s="189">
        <v>41944</v>
      </c>
      <c r="H43" s="187">
        <v>42113</v>
      </c>
      <c r="I43" s="191">
        <v>42295</v>
      </c>
      <c r="J43" s="197" t="s">
        <v>1603</v>
      </c>
      <c r="K43" s="1" t="s">
        <v>27</v>
      </c>
      <c r="L43" s="1" t="s">
        <v>28</v>
      </c>
      <c r="M43" s="198">
        <v>5</v>
      </c>
    </row>
    <row r="44" spans="1:13" ht="20.25" customHeight="1">
      <c r="A44" s="196" t="s">
        <v>1610</v>
      </c>
      <c r="B44" s="202" t="s">
        <v>1611</v>
      </c>
      <c r="C44" s="200" t="s">
        <v>1149</v>
      </c>
      <c r="D44" s="200" t="s">
        <v>748</v>
      </c>
      <c r="E44" s="200" t="s">
        <v>1612</v>
      </c>
      <c r="F44" s="200" t="s">
        <v>1613</v>
      </c>
      <c r="G44" s="189">
        <v>42102</v>
      </c>
      <c r="H44" s="187">
        <v>42278</v>
      </c>
      <c r="I44" s="191">
        <v>42461</v>
      </c>
      <c r="J44" s="197" t="s">
        <v>1580</v>
      </c>
      <c r="K44" s="1" t="s">
        <v>27</v>
      </c>
      <c r="L44" s="1" t="s">
        <v>28</v>
      </c>
      <c r="M44" s="198">
        <v>5</v>
      </c>
    </row>
    <row r="45" spans="1:13" ht="20.25" customHeight="1">
      <c r="A45" s="196" t="s">
        <v>1614</v>
      </c>
      <c r="B45" s="202" t="s">
        <v>1615</v>
      </c>
      <c r="C45" s="200" t="s">
        <v>1149</v>
      </c>
      <c r="D45" s="200" t="s">
        <v>748</v>
      </c>
      <c r="E45" s="200" t="s">
        <v>1616</v>
      </c>
      <c r="F45" s="200" t="s">
        <v>1617</v>
      </c>
      <c r="G45" s="189">
        <v>42164</v>
      </c>
      <c r="H45" s="187">
        <v>42336</v>
      </c>
      <c r="I45" s="191">
        <v>42518</v>
      </c>
      <c r="J45" s="197" t="s">
        <v>1618</v>
      </c>
      <c r="K45" s="1" t="s">
        <v>27</v>
      </c>
      <c r="L45" s="1" t="s">
        <v>28</v>
      </c>
      <c r="M45" s="198">
        <v>5</v>
      </c>
    </row>
    <row r="46" spans="1:13" ht="20.25" customHeight="1">
      <c r="A46" s="196" t="s">
        <v>1619</v>
      </c>
      <c r="B46" s="202" t="s">
        <v>1620</v>
      </c>
      <c r="C46" s="200" t="s">
        <v>1149</v>
      </c>
      <c r="D46" s="200" t="s">
        <v>748</v>
      </c>
      <c r="E46" s="200" t="s">
        <v>1621</v>
      </c>
      <c r="F46" s="200" t="s">
        <v>1622</v>
      </c>
      <c r="G46" s="189">
        <v>42240</v>
      </c>
      <c r="H46" s="187">
        <v>42400</v>
      </c>
      <c r="I46" s="191">
        <v>42582</v>
      </c>
      <c r="J46" s="197" t="s">
        <v>1623</v>
      </c>
      <c r="K46" s="1" t="s">
        <v>36</v>
      </c>
      <c r="L46" s="1" t="s">
        <v>28</v>
      </c>
      <c r="M46" s="198">
        <v>5</v>
      </c>
    </row>
    <row r="47" spans="1:13" ht="20.25" customHeight="1">
      <c r="A47" s="196" t="s">
        <v>1625</v>
      </c>
      <c r="B47" s="201" t="s">
        <v>1626</v>
      </c>
      <c r="C47" s="200" t="s">
        <v>1149</v>
      </c>
      <c r="D47" s="200" t="s">
        <v>748</v>
      </c>
      <c r="E47" s="200" t="s">
        <v>1627</v>
      </c>
      <c r="F47" s="200" t="s">
        <v>1628</v>
      </c>
      <c r="G47" s="189">
        <v>42288</v>
      </c>
      <c r="H47" s="187">
        <v>42326</v>
      </c>
      <c r="I47" s="191">
        <v>42653</v>
      </c>
      <c r="J47" s="197" t="s">
        <v>1629</v>
      </c>
      <c r="K47" s="1" t="s">
        <v>75</v>
      </c>
      <c r="L47" s="1" t="s">
        <v>28</v>
      </c>
      <c r="M47" s="198">
        <v>1</v>
      </c>
    </row>
    <row r="48" spans="1:13" ht="20.25" customHeight="1">
      <c r="A48" s="196" t="s">
        <v>1630</v>
      </c>
      <c r="B48" s="202" t="s">
        <v>1631</v>
      </c>
      <c r="C48" s="200" t="s">
        <v>1149</v>
      </c>
      <c r="D48" s="200" t="s">
        <v>748</v>
      </c>
      <c r="E48" s="200" t="s">
        <v>1632</v>
      </c>
      <c r="F48" s="200" t="s">
        <v>1633</v>
      </c>
      <c r="G48" s="189">
        <v>42391</v>
      </c>
      <c r="H48" s="187">
        <v>42551</v>
      </c>
      <c r="I48" s="191">
        <v>42735</v>
      </c>
      <c r="J48" s="197" t="s">
        <v>1634</v>
      </c>
      <c r="K48" s="1" t="s">
        <v>73</v>
      </c>
      <c r="L48" s="1" t="s">
        <v>74</v>
      </c>
      <c r="M48" s="198">
        <v>5</v>
      </c>
    </row>
    <row r="49" spans="1:13" ht="20.25" customHeight="1">
      <c r="A49" s="196" t="s">
        <v>1635</v>
      </c>
      <c r="B49" s="202" t="s">
        <v>1636</v>
      </c>
      <c r="C49" s="200" t="s">
        <v>1149</v>
      </c>
      <c r="D49" s="200" t="s">
        <v>748</v>
      </c>
      <c r="E49" s="200" t="s">
        <v>1637</v>
      </c>
      <c r="F49" s="200" t="s">
        <v>1638</v>
      </c>
      <c r="G49" s="189">
        <v>42404</v>
      </c>
      <c r="H49" s="187">
        <v>42766</v>
      </c>
      <c r="I49" s="191">
        <v>42947</v>
      </c>
      <c r="J49" s="197" t="s">
        <v>1639</v>
      </c>
      <c r="K49" s="1" t="s">
        <v>540</v>
      </c>
      <c r="L49" s="1" t="s">
        <v>0</v>
      </c>
      <c r="M49" s="198">
        <v>11</v>
      </c>
    </row>
    <row r="50" spans="1:13" ht="20.25" customHeight="1">
      <c r="A50" s="196" t="s">
        <v>1640</v>
      </c>
      <c r="B50" s="202" t="s">
        <v>1641</v>
      </c>
      <c r="C50" s="200" t="s">
        <v>1149</v>
      </c>
      <c r="D50" s="200" t="s">
        <v>748</v>
      </c>
      <c r="E50" s="200" t="s">
        <v>1642</v>
      </c>
      <c r="F50" s="200" t="s">
        <v>1643</v>
      </c>
      <c r="G50" s="189">
        <v>42451</v>
      </c>
      <c r="H50" s="187">
        <v>42531</v>
      </c>
      <c r="I50" s="191">
        <v>42623</v>
      </c>
      <c r="J50" s="197" t="s">
        <v>1644</v>
      </c>
      <c r="K50" s="1" t="s">
        <v>73</v>
      </c>
      <c r="L50" s="1" t="s">
        <v>74</v>
      </c>
      <c r="M50" s="198">
        <v>2</v>
      </c>
    </row>
    <row r="51" spans="1:13" ht="20.25" customHeight="1">
      <c r="A51" s="196" t="s">
        <v>1645</v>
      </c>
      <c r="B51" s="202" t="s">
        <v>1646</v>
      </c>
      <c r="C51" s="200" t="s">
        <v>1149</v>
      </c>
      <c r="D51" s="200" t="s">
        <v>748</v>
      </c>
      <c r="E51" s="200" t="s">
        <v>1647</v>
      </c>
      <c r="F51" s="200" t="s">
        <v>1648</v>
      </c>
      <c r="G51" s="189">
        <v>42538</v>
      </c>
      <c r="H51" s="187">
        <v>42534</v>
      </c>
      <c r="I51" s="191">
        <v>42534</v>
      </c>
      <c r="J51" s="197" t="s">
        <v>1649</v>
      </c>
      <c r="K51" s="1" t="s">
        <v>27</v>
      </c>
      <c r="L51" s="1" t="s">
        <v>28</v>
      </c>
      <c r="M51" s="198" t="e">
        <v>#NUM!</v>
      </c>
    </row>
    <row r="52" spans="1:13" ht="20.25" customHeight="1">
      <c r="A52" s="196" t="s">
        <v>1650</v>
      </c>
      <c r="B52" s="202" t="s">
        <v>1651</v>
      </c>
      <c r="C52" s="200" t="s">
        <v>1149</v>
      </c>
      <c r="D52" s="200" t="s">
        <v>748</v>
      </c>
      <c r="E52" s="200" t="s">
        <v>1652</v>
      </c>
      <c r="F52" s="200" t="s">
        <v>1653</v>
      </c>
      <c r="G52" s="189">
        <v>42525</v>
      </c>
      <c r="H52" s="187">
        <v>42724</v>
      </c>
      <c r="I52" s="191">
        <v>42886</v>
      </c>
      <c r="J52" s="197" t="s">
        <v>1654</v>
      </c>
      <c r="K52" s="1" t="s">
        <v>73</v>
      </c>
      <c r="L52" s="1" t="s">
        <v>74</v>
      </c>
      <c r="M52" s="198">
        <v>6</v>
      </c>
    </row>
    <row r="53" spans="1:13" ht="20.25" customHeight="1">
      <c r="A53" s="196" t="s">
        <v>1650</v>
      </c>
      <c r="B53" s="202" t="s">
        <v>1655</v>
      </c>
      <c r="C53" s="200" t="s">
        <v>1149</v>
      </c>
      <c r="D53" s="200" t="s">
        <v>748</v>
      </c>
      <c r="E53" s="200" t="s">
        <v>1656</v>
      </c>
      <c r="F53" s="200" t="s">
        <v>1653</v>
      </c>
      <c r="G53" s="189">
        <v>42718</v>
      </c>
      <c r="H53" s="187">
        <v>42724</v>
      </c>
      <c r="I53" s="191">
        <v>42886</v>
      </c>
      <c r="J53" s="197" t="s">
        <v>1654</v>
      </c>
      <c r="K53" s="1" t="s">
        <v>73</v>
      </c>
      <c r="L53" s="1" t="s">
        <v>74</v>
      </c>
      <c r="M53" s="198">
        <v>0</v>
      </c>
    </row>
    <row r="54" spans="1:13" ht="20.25" customHeight="1">
      <c r="A54" s="196" t="s">
        <v>1657</v>
      </c>
      <c r="B54" s="202" t="s">
        <v>1658</v>
      </c>
      <c r="C54" s="200" t="s">
        <v>1149</v>
      </c>
      <c r="D54" s="200" t="s">
        <v>748</v>
      </c>
      <c r="E54" s="200" t="s">
        <v>1659</v>
      </c>
      <c r="F54" s="200" t="s">
        <v>1660</v>
      </c>
      <c r="G54" s="189">
        <v>42769</v>
      </c>
      <c r="H54" s="187">
        <v>42944</v>
      </c>
      <c r="I54" s="191">
        <v>43126</v>
      </c>
      <c r="J54" s="197" t="s">
        <v>1661</v>
      </c>
      <c r="K54" s="1" t="s">
        <v>73</v>
      </c>
      <c r="L54" s="1" t="s">
        <v>74</v>
      </c>
      <c r="M54" s="198">
        <v>5</v>
      </c>
    </row>
    <row r="55" spans="1:13" ht="20.25" customHeight="1">
      <c r="A55" s="196" t="s">
        <v>1662</v>
      </c>
      <c r="B55" s="202" t="s">
        <v>1663</v>
      </c>
      <c r="C55" s="200" t="s">
        <v>1149</v>
      </c>
      <c r="D55" s="200" t="s">
        <v>748</v>
      </c>
      <c r="E55" s="200" t="s">
        <v>1664</v>
      </c>
      <c r="F55" s="200" t="s">
        <v>1665</v>
      </c>
      <c r="G55" s="189">
        <v>42787</v>
      </c>
      <c r="H55" s="187">
        <v>42958</v>
      </c>
      <c r="I55" s="191">
        <v>43147</v>
      </c>
      <c r="J55" s="197" t="s">
        <v>1666</v>
      </c>
      <c r="K55" s="1" t="s">
        <v>27</v>
      </c>
      <c r="L55" s="1" t="s">
        <v>28</v>
      </c>
      <c r="M55" s="198">
        <v>5</v>
      </c>
    </row>
    <row r="56" spans="1:13" ht="20.25" customHeight="1">
      <c r="A56" s="196" t="s">
        <v>1667</v>
      </c>
      <c r="B56" s="201" t="s">
        <v>1668</v>
      </c>
      <c r="C56" s="200" t="s">
        <v>1149</v>
      </c>
      <c r="D56" s="200" t="s">
        <v>748</v>
      </c>
      <c r="E56" s="200" t="s">
        <v>1669</v>
      </c>
      <c r="F56" s="200" t="s">
        <v>1670</v>
      </c>
      <c r="G56" s="189">
        <v>42787</v>
      </c>
      <c r="H56" s="187">
        <v>42944</v>
      </c>
      <c r="I56" s="191">
        <v>42944</v>
      </c>
      <c r="J56" s="1" t="s">
        <v>1671</v>
      </c>
      <c r="K56" s="1" t="s">
        <v>73</v>
      </c>
      <c r="L56" s="1" t="s">
        <v>74</v>
      </c>
      <c r="M56" s="198">
        <v>5</v>
      </c>
    </row>
    <row r="57" spans="1:13" ht="20.25" customHeight="1">
      <c r="A57" s="196" t="s">
        <v>1672</v>
      </c>
      <c r="B57" s="201" t="s">
        <v>1673</v>
      </c>
      <c r="C57" s="200" t="s">
        <v>1149</v>
      </c>
      <c r="D57" s="200" t="s">
        <v>748</v>
      </c>
      <c r="E57" s="200" t="s">
        <v>1674</v>
      </c>
      <c r="F57" s="200" t="s">
        <v>1675</v>
      </c>
      <c r="G57" s="189">
        <v>42809</v>
      </c>
      <c r="H57" s="187">
        <v>42979</v>
      </c>
      <c r="I57" s="191">
        <v>43161</v>
      </c>
      <c r="J57" s="1" t="s">
        <v>1676</v>
      </c>
      <c r="K57" s="1" t="s">
        <v>540</v>
      </c>
      <c r="L57" s="1" t="s">
        <v>0</v>
      </c>
      <c r="M57" s="198">
        <v>5</v>
      </c>
    </row>
    <row r="58" spans="1:13" ht="20.25" customHeight="1">
      <c r="A58" s="196" t="s">
        <v>1677</v>
      </c>
      <c r="B58" s="202" t="s">
        <v>1678</v>
      </c>
      <c r="C58" s="200" t="s">
        <v>1149</v>
      </c>
      <c r="D58" s="200" t="s">
        <v>748</v>
      </c>
      <c r="E58" s="200" t="s">
        <v>1679</v>
      </c>
      <c r="F58" s="200" t="s">
        <v>1680</v>
      </c>
      <c r="G58" s="189">
        <v>42851</v>
      </c>
      <c r="H58" s="187">
        <v>43008</v>
      </c>
      <c r="I58" s="191">
        <v>43191</v>
      </c>
      <c r="J58" s="197" t="s">
        <v>1580</v>
      </c>
      <c r="K58" s="1" t="s">
        <v>27</v>
      </c>
      <c r="L58" s="1" t="s">
        <v>28</v>
      </c>
      <c r="M58" s="198">
        <v>5</v>
      </c>
    </row>
    <row r="59" spans="1:13" ht="20.25" customHeight="1">
      <c r="A59" s="196" t="s">
        <v>1681</v>
      </c>
      <c r="B59" s="202" t="s">
        <v>1682</v>
      </c>
      <c r="C59" s="200" t="s">
        <v>1149</v>
      </c>
      <c r="D59" s="200" t="s">
        <v>748</v>
      </c>
      <c r="E59" s="200" t="s">
        <v>1683</v>
      </c>
      <c r="F59" s="200" t="s">
        <v>1684</v>
      </c>
      <c r="G59" s="189">
        <v>42851</v>
      </c>
      <c r="H59" s="187">
        <v>42841</v>
      </c>
      <c r="I59" s="191">
        <v>42841</v>
      </c>
      <c r="J59" s="197" t="s">
        <v>1685</v>
      </c>
      <c r="K59" s="1" t="s">
        <v>73</v>
      </c>
      <c r="L59" s="1" t="s">
        <v>74</v>
      </c>
      <c r="M59" s="198" t="e">
        <v>#NUM!</v>
      </c>
    </row>
    <row r="60" spans="1:13" ht="20.25" customHeight="1">
      <c r="A60" s="196" t="s">
        <v>1686</v>
      </c>
      <c r="B60" s="202" t="s">
        <v>1687</v>
      </c>
      <c r="C60" s="200" t="s">
        <v>1149</v>
      </c>
      <c r="D60" s="200" t="s">
        <v>748</v>
      </c>
      <c r="E60" s="200" t="s">
        <v>1688</v>
      </c>
      <c r="F60" s="200" t="s">
        <v>1689</v>
      </c>
      <c r="G60" s="189">
        <v>40123</v>
      </c>
      <c r="H60" s="187">
        <v>40270</v>
      </c>
      <c r="I60" s="210">
        <v>40361</v>
      </c>
      <c r="J60" s="197" t="s">
        <v>1690</v>
      </c>
      <c r="K60" s="1" t="s">
        <v>73</v>
      </c>
      <c r="L60" s="1" t="s">
        <v>74</v>
      </c>
      <c r="M60" s="198">
        <v>4</v>
      </c>
    </row>
    <row r="61" spans="1:13" ht="20.25" customHeight="1">
      <c r="A61" s="196" t="s">
        <v>1691</v>
      </c>
      <c r="B61" s="202" t="s">
        <v>1692</v>
      </c>
      <c r="C61" s="200" t="s">
        <v>1149</v>
      </c>
      <c r="D61" s="200" t="s">
        <v>748</v>
      </c>
      <c r="E61" s="200" t="s">
        <v>1693</v>
      </c>
      <c r="F61" s="200" t="s">
        <v>1694</v>
      </c>
      <c r="G61" s="189">
        <v>40165</v>
      </c>
      <c r="H61" s="187">
        <v>40249</v>
      </c>
      <c r="I61" s="191">
        <v>40359</v>
      </c>
      <c r="J61" s="197" t="s">
        <v>1455</v>
      </c>
      <c r="K61" s="1" t="s">
        <v>27</v>
      </c>
      <c r="L61" s="1" t="s">
        <v>28</v>
      </c>
      <c r="M61" s="198">
        <v>2</v>
      </c>
    </row>
    <row r="62" spans="1:13" ht="20.25" customHeight="1">
      <c r="A62" s="196" t="s">
        <v>1695</v>
      </c>
      <c r="B62" s="202" t="s">
        <v>1696</v>
      </c>
      <c r="C62" s="200" t="s">
        <v>1149</v>
      </c>
      <c r="D62" s="200" t="s">
        <v>748</v>
      </c>
      <c r="E62" s="200" t="s">
        <v>1697</v>
      </c>
      <c r="F62" s="200" t="s">
        <v>1698</v>
      </c>
      <c r="G62" s="189">
        <v>40165</v>
      </c>
      <c r="H62" s="187">
        <v>40249</v>
      </c>
      <c r="I62" s="210">
        <v>40359</v>
      </c>
      <c r="J62" s="197" t="s">
        <v>1699</v>
      </c>
      <c r="K62" s="1" t="s">
        <v>27</v>
      </c>
      <c r="L62" s="1" t="s">
        <v>28</v>
      </c>
      <c r="M62" s="198">
        <v>2</v>
      </c>
    </row>
    <row r="63" spans="1:13" ht="20.25" customHeight="1">
      <c r="A63" s="196" t="s">
        <v>1700</v>
      </c>
      <c r="B63" s="204" t="s">
        <v>1701</v>
      </c>
      <c r="C63" s="200" t="s">
        <v>1149</v>
      </c>
      <c r="D63" s="200" t="s">
        <v>748</v>
      </c>
      <c r="E63" s="200" t="s">
        <v>1702</v>
      </c>
      <c r="F63" s="200" t="s">
        <v>1703</v>
      </c>
      <c r="G63" s="189">
        <v>40435</v>
      </c>
      <c r="H63" s="187">
        <v>40603</v>
      </c>
      <c r="I63" s="191">
        <v>40786</v>
      </c>
      <c r="J63" s="197" t="s">
        <v>1704</v>
      </c>
      <c r="K63" s="1" t="s">
        <v>73</v>
      </c>
      <c r="L63" s="1" t="s">
        <v>74</v>
      </c>
      <c r="M63" s="198">
        <v>5</v>
      </c>
    </row>
    <row r="64" spans="1:13" ht="20.25" customHeight="1">
      <c r="A64" s="196" t="s">
        <v>1705</v>
      </c>
      <c r="B64" s="202" t="s">
        <v>1706</v>
      </c>
      <c r="C64" s="200" t="s">
        <v>1149</v>
      </c>
      <c r="D64" s="200" t="s">
        <v>748</v>
      </c>
      <c r="E64" s="200" t="s">
        <v>1707</v>
      </c>
      <c r="F64" s="200" t="s">
        <v>1708</v>
      </c>
      <c r="G64" s="189">
        <v>40506</v>
      </c>
      <c r="H64" s="187">
        <v>40523</v>
      </c>
      <c r="I64" s="190">
        <v>44286</v>
      </c>
      <c r="J64" s="197" t="s">
        <v>1709</v>
      </c>
      <c r="K64" s="1" t="s">
        <v>540</v>
      </c>
      <c r="L64" s="1" t="s">
        <v>0</v>
      </c>
      <c r="M64" s="198">
        <v>0</v>
      </c>
    </row>
    <row r="65" spans="1:13" ht="20.25" customHeight="1">
      <c r="A65" s="196" t="s">
        <v>1710</v>
      </c>
      <c r="B65" s="202" t="s">
        <v>1711</v>
      </c>
      <c r="C65" s="200" t="s">
        <v>1149</v>
      </c>
      <c r="D65" s="200" t="s">
        <v>748</v>
      </c>
      <c r="E65" s="200" t="s">
        <v>1712</v>
      </c>
      <c r="F65" s="200" t="s">
        <v>1713</v>
      </c>
      <c r="G65" s="189">
        <v>40628</v>
      </c>
      <c r="H65" s="187">
        <v>40847</v>
      </c>
      <c r="I65" s="191">
        <v>41029</v>
      </c>
      <c r="J65" s="197" t="s">
        <v>1714</v>
      </c>
      <c r="K65" s="1" t="s">
        <v>73</v>
      </c>
      <c r="L65" s="1" t="s">
        <v>74</v>
      </c>
      <c r="M65" s="198">
        <v>7</v>
      </c>
    </row>
    <row r="66" spans="1:13" ht="20.25" customHeight="1">
      <c r="A66" s="196" t="s">
        <v>1715</v>
      </c>
      <c r="B66" s="202" t="s">
        <v>1716</v>
      </c>
      <c r="C66" s="200" t="s">
        <v>1149</v>
      </c>
      <c r="D66" s="200" t="s">
        <v>748</v>
      </c>
      <c r="E66" s="200" t="s">
        <v>1717</v>
      </c>
      <c r="F66" s="200" t="s">
        <v>1718</v>
      </c>
      <c r="G66" s="189">
        <v>40712</v>
      </c>
      <c r="H66" s="187">
        <v>40724</v>
      </c>
      <c r="I66" s="190">
        <v>40724</v>
      </c>
      <c r="J66" s="197" t="s">
        <v>1719</v>
      </c>
      <c r="K66" s="1" t="s">
        <v>73</v>
      </c>
      <c r="L66" s="1" t="s">
        <v>74</v>
      </c>
      <c r="M66" s="198">
        <v>0</v>
      </c>
    </row>
    <row r="67" spans="1:13" ht="20.25" customHeight="1">
      <c r="A67" s="196" t="s">
        <v>1720</v>
      </c>
      <c r="B67" s="202" t="s">
        <v>1721</v>
      </c>
      <c r="C67" s="200" t="s">
        <v>1149</v>
      </c>
      <c r="D67" s="200" t="s">
        <v>748</v>
      </c>
      <c r="E67" s="200" t="s">
        <v>1722</v>
      </c>
      <c r="F67" s="200" t="s">
        <v>1723</v>
      </c>
      <c r="G67" s="189">
        <v>40852</v>
      </c>
      <c r="H67" s="187">
        <v>40939</v>
      </c>
      <c r="I67" s="191">
        <v>41029</v>
      </c>
      <c r="J67" s="197" t="s">
        <v>1724</v>
      </c>
      <c r="K67" s="1"/>
      <c r="L67" s="1"/>
      <c r="M67" s="198">
        <v>2</v>
      </c>
    </row>
    <row r="68" spans="1:13" ht="20.25" customHeight="1">
      <c r="A68" s="196" t="s">
        <v>1725</v>
      </c>
      <c r="B68" s="202" t="s">
        <v>1726</v>
      </c>
      <c r="C68" s="200" t="s">
        <v>1727</v>
      </c>
      <c r="D68" s="200" t="s">
        <v>782</v>
      </c>
      <c r="E68" s="200" t="s">
        <v>1728</v>
      </c>
      <c r="F68" s="200" t="s">
        <v>1729</v>
      </c>
      <c r="G68" s="189">
        <v>41005</v>
      </c>
      <c r="H68" s="187">
        <v>40991</v>
      </c>
      <c r="I68" s="190">
        <v>40991</v>
      </c>
      <c r="J68" s="197" t="s">
        <v>1730</v>
      </c>
      <c r="K68" s="1" t="s">
        <v>73</v>
      </c>
      <c r="L68" s="1" t="s">
        <v>74</v>
      </c>
      <c r="M68" s="198" t="e">
        <v>#NUM!</v>
      </c>
    </row>
    <row r="69" spans="1:13" ht="20.25" customHeight="1">
      <c r="A69" s="196" t="s">
        <v>1731</v>
      </c>
      <c r="B69" s="202" t="s">
        <v>1732</v>
      </c>
      <c r="C69" s="200" t="s">
        <v>1727</v>
      </c>
      <c r="D69" s="200" t="s">
        <v>748</v>
      </c>
      <c r="E69" s="200" t="s">
        <v>1733</v>
      </c>
      <c r="F69" s="200" t="s">
        <v>1734</v>
      </c>
      <c r="G69" s="189">
        <v>41045</v>
      </c>
      <c r="H69" s="187">
        <v>41020</v>
      </c>
      <c r="I69" s="191">
        <v>41020</v>
      </c>
      <c r="J69" s="197" t="s">
        <v>1735</v>
      </c>
      <c r="K69" s="1" t="s">
        <v>73</v>
      </c>
      <c r="L69" s="1" t="s">
        <v>74</v>
      </c>
      <c r="M69" s="198" t="e">
        <v>#NUM!</v>
      </c>
    </row>
    <row r="70" spans="1:13" ht="20.25" customHeight="1">
      <c r="A70" s="196" t="s">
        <v>1736</v>
      </c>
      <c r="B70" s="202" t="s">
        <v>1737</v>
      </c>
      <c r="C70" s="200" t="s">
        <v>1149</v>
      </c>
      <c r="D70" s="200" t="s">
        <v>748</v>
      </c>
      <c r="E70" s="200" t="s">
        <v>1738</v>
      </c>
      <c r="F70" s="200" t="s">
        <v>1739</v>
      </c>
      <c r="G70" s="189">
        <v>41293</v>
      </c>
      <c r="H70" s="187">
        <v>41456</v>
      </c>
      <c r="I70" s="190">
        <v>41639</v>
      </c>
      <c r="J70" s="196" t="s">
        <v>1740</v>
      </c>
      <c r="K70" s="1" t="s">
        <v>73</v>
      </c>
      <c r="L70" s="1" t="s">
        <v>74</v>
      </c>
      <c r="M70" s="198">
        <v>5</v>
      </c>
    </row>
    <row r="71" spans="1:13" ht="20.25" customHeight="1">
      <c r="A71" s="196" t="s">
        <v>1741</v>
      </c>
      <c r="B71" s="202" t="s">
        <v>1742</v>
      </c>
      <c r="C71" s="200" t="s">
        <v>1149</v>
      </c>
      <c r="D71" s="200" t="s">
        <v>748</v>
      </c>
      <c r="E71" s="200" t="s">
        <v>1743</v>
      </c>
      <c r="F71" s="200" t="s">
        <v>1744</v>
      </c>
      <c r="G71" s="189">
        <v>41293</v>
      </c>
      <c r="H71" s="187">
        <v>41453</v>
      </c>
      <c r="I71" s="191">
        <v>41623</v>
      </c>
      <c r="J71" s="196" t="s">
        <v>1745</v>
      </c>
      <c r="K71" s="1" t="s">
        <v>73</v>
      </c>
      <c r="L71" s="1" t="s">
        <v>74</v>
      </c>
      <c r="M71" s="198">
        <v>5</v>
      </c>
    </row>
    <row r="72" spans="1:13" ht="20.25" customHeight="1">
      <c r="A72" s="196" t="s">
        <v>1746</v>
      </c>
      <c r="B72" s="202" t="s">
        <v>1747</v>
      </c>
      <c r="C72" s="200" t="s">
        <v>1727</v>
      </c>
      <c r="D72" s="200" t="s">
        <v>748</v>
      </c>
      <c r="E72" s="200" t="s">
        <v>1748</v>
      </c>
      <c r="F72" s="200" t="s">
        <v>1749</v>
      </c>
      <c r="G72" s="189">
        <v>41412</v>
      </c>
      <c r="H72" s="187">
        <v>41402</v>
      </c>
      <c r="I72" s="190">
        <v>41402</v>
      </c>
      <c r="J72" s="197" t="s">
        <v>1750</v>
      </c>
      <c r="K72" s="1" t="s">
        <v>75</v>
      </c>
      <c r="L72" s="1" t="s">
        <v>28</v>
      </c>
      <c r="M72" s="198" t="e">
        <v>#NUM!</v>
      </c>
    </row>
    <row r="73" spans="1:13" ht="20.25" customHeight="1">
      <c r="A73" s="196" t="s">
        <v>1751</v>
      </c>
      <c r="B73" s="202" t="s">
        <v>1752</v>
      </c>
      <c r="C73" s="200" t="s">
        <v>1149</v>
      </c>
      <c r="D73" s="200" t="s">
        <v>748</v>
      </c>
      <c r="E73" s="200" t="s">
        <v>1753</v>
      </c>
      <c r="F73" s="200" t="s">
        <v>1754</v>
      </c>
      <c r="G73" s="189">
        <v>41472</v>
      </c>
      <c r="H73" s="187">
        <v>41670</v>
      </c>
      <c r="I73" s="190">
        <v>41670</v>
      </c>
      <c r="J73" s="197" t="s">
        <v>1755</v>
      </c>
      <c r="K73" s="1" t="s">
        <v>73</v>
      </c>
      <c r="L73" s="1" t="s">
        <v>74</v>
      </c>
      <c r="M73" s="198">
        <v>6</v>
      </c>
    </row>
    <row r="74" spans="1:13" ht="20.25" customHeight="1">
      <c r="A74" s="196" t="s">
        <v>1756</v>
      </c>
      <c r="B74" s="202" t="s">
        <v>1757</v>
      </c>
      <c r="C74" s="200" t="s">
        <v>1149</v>
      </c>
      <c r="D74" s="200" t="s">
        <v>748</v>
      </c>
      <c r="E74" s="200" t="s">
        <v>1758</v>
      </c>
      <c r="F74" s="200" t="s">
        <v>1759</v>
      </c>
      <c r="G74" s="189">
        <v>41472</v>
      </c>
      <c r="H74" s="187">
        <v>41729</v>
      </c>
      <c r="I74" s="190">
        <v>41851</v>
      </c>
      <c r="J74" s="197" t="s">
        <v>1760</v>
      </c>
      <c r="K74" s="1"/>
      <c r="L74" s="1"/>
      <c r="M74" s="198">
        <v>8</v>
      </c>
    </row>
    <row r="75" spans="1:13" ht="20.25" customHeight="1">
      <c r="A75" s="196" t="s">
        <v>1761</v>
      </c>
      <c r="B75" s="202" t="s">
        <v>1762</v>
      </c>
      <c r="C75" s="200" t="s">
        <v>1727</v>
      </c>
      <c r="D75" s="200" t="s">
        <v>748</v>
      </c>
      <c r="E75" s="200" t="s">
        <v>1763</v>
      </c>
      <c r="F75" s="200" t="s">
        <v>1764</v>
      </c>
      <c r="G75" s="189">
        <v>41619</v>
      </c>
      <c r="H75" s="187">
        <v>41790</v>
      </c>
      <c r="I75" s="191">
        <v>42004</v>
      </c>
      <c r="J75" s="197" t="s">
        <v>1765</v>
      </c>
      <c r="K75" s="1" t="s">
        <v>73</v>
      </c>
      <c r="L75" s="1" t="s">
        <v>74</v>
      </c>
      <c r="M75" s="198">
        <v>5</v>
      </c>
    </row>
    <row r="76" spans="1:13" ht="20.25" customHeight="1">
      <c r="A76" s="196" t="s">
        <v>1766</v>
      </c>
      <c r="B76" s="202" t="s">
        <v>1767</v>
      </c>
      <c r="C76" s="200" t="s">
        <v>1149</v>
      </c>
      <c r="D76" s="200" t="s">
        <v>748</v>
      </c>
      <c r="E76" s="200" t="s">
        <v>1768</v>
      </c>
      <c r="F76" s="200" t="s">
        <v>1769</v>
      </c>
      <c r="G76" s="189">
        <v>41667</v>
      </c>
      <c r="H76" s="187">
        <v>41729</v>
      </c>
      <c r="I76" s="190">
        <v>41820</v>
      </c>
      <c r="J76" s="197" t="s">
        <v>1770</v>
      </c>
      <c r="K76" s="1" t="s">
        <v>73</v>
      </c>
      <c r="L76" s="1" t="s">
        <v>74</v>
      </c>
      <c r="M76" s="198">
        <v>2</v>
      </c>
    </row>
    <row r="77" spans="1:13" ht="20.25" customHeight="1">
      <c r="A77" s="196" t="s">
        <v>1771</v>
      </c>
      <c r="B77" s="202" t="s">
        <v>1772</v>
      </c>
      <c r="C77" s="200" t="s">
        <v>1727</v>
      </c>
      <c r="D77" s="200" t="s">
        <v>748</v>
      </c>
      <c r="E77" s="200" t="s">
        <v>1773</v>
      </c>
      <c r="F77" s="200" t="s">
        <v>1774</v>
      </c>
      <c r="G77" s="189">
        <v>41821</v>
      </c>
      <c r="H77" s="187">
        <v>41851</v>
      </c>
      <c r="I77" s="190">
        <v>41882</v>
      </c>
      <c r="J77" s="197" t="s">
        <v>1775</v>
      </c>
      <c r="K77" s="1" t="s">
        <v>73</v>
      </c>
      <c r="L77" s="1" t="s">
        <v>74</v>
      </c>
      <c r="M77" s="198">
        <v>0</v>
      </c>
    </row>
    <row r="78" spans="1:13" ht="20.25" customHeight="1">
      <c r="A78" s="196" t="s">
        <v>1776</v>
      </c>
      <c r="B78" s="202" t="s">
        <v>1777</v>
      </c>
      <c r="C78" s="200" t="s">
        <v>1149</v>
      </c>
      <c r="D78" s="200" t="s">
        <v>748</v>
      </c>
      <c r="E78" s="200" t="s">
        <v>1778</v>
      </c>
      <c r="F78" s="200" t="s">
        <v>1779</v>
      </c>
      <c r="G78" s="189">
        <v>41872</v>
      </c>
      <c r="H78" s="187">
        <v>41880</v>
      </c>
      <c r="I78" s="190">
        <v>41912</v>
      </c>
      <c r="J78" s="197" t="s">
        <v>1780</v>
      </c>
      <c r="K78" s="1" t="s">
        <v>73</v>
      </c>
      <c r="L78" s="1" t="s">
        <v>74</v>
      </c>
      <c r="M78" s="198">
        <v>0</v>
      </c>
    </row>
    <row r="79" spans="1:13" ht="20.25" customHeight="1">
      <c r="A79" s="196" t="s">
        <v>1781</v>
      </c>
      <c r="B79" s="202" t="s">
        <v>1782</v>
      </c>
      <c r="C79" s="200" t="s">
        <v>1149</v>
      </c>
      <c r="D79" s="200" t="s">
        <v>748</v>
      </c>
      <c r="E79" s="200" t="s">
        <v>1783</v>
      </c>
      <c r="F79" s="200" t="s">
        <v>1784</v>
      </c>
      <c r="G79" s="189">
        <v>41951</v>
      </c>
      <c r="H79" s="187">
        <v>42124</v>
      </c>
      <c r="I79" s="190">
        <v>42308</v>
      </c>
      <c r="J79" s="197" t="s">
        <v>1785</v>
      </c>
      <c r="K79" s="1" t="s">
        <v>73</v>
      </c>
      <c r="L79" s="1" t="s">
        <v>74</v>
      </c>
      <c r="M79" s="198">
        <v>5</v>
      </c>
    </row>
    <row r="80" spans="1:13" ht="20.25" customHeight="1">
      <c r="A80" s="196" t="s">
        <v>1786</v>
      </c>
      <c r="B80" s="202" t="s">
        <v>1787</v>
      </c>
      <c r="C80" s="200" t="s">
        <v>1149</v>
      </c>
      <c r="D80" s="200" t="s">
        <v>748</v>
      </c>
      <c r="E80" s="200" t="s">
        <v>1788</v>
      </c>
      <c r="F80" s="200" t="s">
        <v>1789</v>
      </c>
      <c r="G80" s="189">
        <v>42026</v>
      </c>
      <c r="H80" s="187">
        <v>42155</v>
      </c>
      <c r="I80" s="190">
        <v>42338</v>
      </c>
      <c r="J80" s="197" t="s">
        <v>1790</v>
      </c>
      <c r="K80" s="1" t="s">
        <v>540</v>
      </c>
      <c r="L80" s="5" t="s">
        <v>0</v>
      </c>
      <c r="M80" s="198">
        <v>4</v>
      </c>
    </row>
    <row r="81" spans="1:13" ht="20.25" customHeight="1">
      <c r="A81" s="196" t="s">
        <v>1791</v>
      </c>
      <c r="B81" s="202" t="s">
        <v>1792</v>
      </c>
      <c r="C81" s="200" t="s">
        <v>1727</v>
      </c>
      <c r="D81" s="200" t="s">
        <v>748</v>
      </c>
      <c r="E81" s="200" t="s">
        <v>1793</v>
      </c>
      <c r="F81" s="200" t="s">
        <v>1794</v>
      </c>
      <c r="G81" s="189">
        <v>42087</v>
      </c>
      <c r="H81" s="187">
        <v>42114</v>
      </c>
      <c r="I81" s="210">
        <v>42183</v>
      </c>
      <c r="J81" s="196" t="s">
        <v>1795</v>
      </c>
      <c r="K81" s="1" t="s">
        <v>73</v>
      </c>
      <c r="L81" s="1" t="s">
        <v>74</v>
      </c>
      <c r="M81" s="198">
        <v>0</v>
      </c>
    </row>
    <row r="82" spans="1:13" ht="20.25" customHeight="1">
      <c r="A82" s="196" t="s">
        <v>1796</v>
      </c>
      <c r="B82" s="202" t="s">
        <v>1797</v>
      </c>
      <c r="C82" s="200" t="s">
        <v>1149</v>
      </c>
      <c r="D82" s="200" t="s">
        <v>748</v>
      </c>
      <c r="E82" s="200" t="s">
        <v>1798</v>
      </c>
      <c r="F82" s="200" t="s">
        <v>1799</v>
      </c>
      <c r="G82" s="189">
        <v>42243</v>
      </c>
      <c r="H82" s="187">
        <v>42234</v>
      </c>
      <c r="I82" s="190">
        <v>42234</v>
      </c>
      <c r="J82" s="197" t="s">
        <v>1780</v>
      </c>
      <c r="K82" s="1" t="s">
        <v>73</v>
      </c>
      <c r="L82" s="1" t="s">
        <v>74</v>
      </c>
      <c r="M82" s="198" t="e">
        <v>#NUM!</v>
      </c>
    </row>
    <row r="83" spans="1:13" ht="20.25" customHeight="1">
      <c r="A83" s="196" t="s">
        <v>1800</v>
      </c>
      <c r="B83" s="202" t="s">
        <v>1801</v>
      </c>
      <c r="C83" s="200" t="s">
        <v>1149</v>
      </c>
      <c r="D83" s="200" t="s">
        <v>748</v>
      </c>
      <c r="E83" s="200" t="s">
        <v>1802</v>
      </c>
      <c r="F83" s="200" t="s">
        <v>1803</v>
      </c>
      <c r="G83" s="189">
        <v>42280</v>
      </c>
      <c r="H83" s="187">
        <v>42275</v>
      </c>
      <c r="I83" s="190">
        <v>42275</v>
      </c>
      <c r="J83" s="197" t="s">
        <v>1780</v>
      </c>
      <c r="K83" s="1" t="s">
        <v>73</v>
      </c>
      <c r="L83" s="1" t="s">
        <v>74</v>
      </c>
      <c r="M83" s="198" t="e">
        <v>#NUM!</v>
      </c>
    </row>
    <row r="84" spans="1:13" ht="20.25" customHeight="1">
      <c r="A84" s="196" t="s">
        <v>1804</v>
      </c>
      <c r="B84" s="202" t="s">
        <v>1805</v>
      </c>
      <c r="C84" s="200" t="s">
        <v>1806</v>
      </c>
      <c r="D84" s="200" t="s">
        <v>748</v>
      </c>
      <c r="E84" s="200" t="s">
        <v>1807</v>
      </c>
      <c r="F84" s="200" t="s">
        <v>1807</v>
      </c>
      <c r="G84" s="189">
        <v>42451</v>
      </c>
      <c r="H84" s="187">
        <v>42421</v>
      </c>
      <c r="I84" s="190">
        <v>42421</v>
      </c>
      <c r="J84" s="197" t="s">
        <v>1808</v>
      </c>
      <c r="K84" s="1" t="s">
        <v>540</v>
      </c>
      <c r="L84" s="1" t="s">
        <v>0</v>
      </c>
      <c r="M84" s="198" t="e">
        <v>#NUM!</v>
      </c>
    </row>
    <row r="85" spans="1:13" ht="20.25" customHeight="1">
      <c r="A85" s="196" t="s">
        <v>1809</v>
      </c>
      <c r="B85" s="202" t="s">
        <v>1810</v>
      </c>
      <c r="C85" s="200" t="s">
        <v>1149</v>
      </c>
      <c r="D85" s="200" t="s">
        <v>748</v>
      </c>
      <c r="E85" s="200" t="s">
        <v>1811</v>
      </c>
      <c r="F85" s="200" t="s">
        <v>1812</v>
      </c>
      <c r="G85" s="189">
        <v>42809</v>
      </c>
      <c r="H85" s="187">
        <v>42978</v>
      </c>
      <c r="I85" s="193"/>
      <c r="J85" s="197" t="s">
        <v>1813</v>
      </c>
      <c r="K85" s="1" t="s">
        <v>73</v>
      </c>
      <c r="L85" s="1" t="s">
        <v>74</v>
      </c>
      <c r="M85" s="198">
        <v>5</v>
      </c>
    </row>
    <row r="86" spans="1:13" ht="20.25" customHeight="1">
      <c r="A86" s="196" t="s">
        <v>1814</v>
      </c>
      <c r="B86" s="202" t="s">
        <v>1815</v>
      </c>
      <c r="C86" s="200" t="s">
        <v>1806</v>
      </c>
      <c r="D86" s="200" t="s">
        <v>748</v>
      </c>
      <c r="E86" s="200" t="s">
        <v>1816</v>
      </c>
      <c r="F86" s="200" t="s">
        <v>1817</v>
      </c>
      <c r="G86" s="189">
        <v>42787</v>
      </c>
      <c r="H86" s="187">
        <v>42775</v>
      </c>
      <c r="I86" s="190">
        <v>42775</v>
      </c>
      <c r="J86" s="197" t="s">
        <v>1818</v>
      </c>
      <c r="K86" s="1" t="s">
        <v>73</v>
      </c>
      <c r="L86" s="1" t="s">
        <v>74</v>
      </c>
      <c r="M86" s="198" t="e">
        <v>#NUM!</v>
      </c>
    </row>
    <row r="87" spans="1:13" ht="20.25" customHeight="1">
      <c r="A87" s="196" t="s">
        <v>1819</v>
      </c>
      <c r="B87" s="202" t="s">
        <v>1820</v>
      </c>
      <c r="C87" s="200" t="s">
        <v>1806</v>
      </c>
      <c r="D87" s="200" t="s">
        <v>748</v>
      </c>
      <c r="E87" s="200" t="s">
        <v>1821</v>
      </c>
      <c r="F87" s="200" t="s">
        <v>1822</v>
      </c>
      <c r="G87" s="189">
        <v>42787</v>
      </c>
      <c r="H87" s="187">
        <v>42775</v>
      </c>
      <c r="I87" s="190">
        <v>42775</v>
      </c>
      <c r="J87" s="197" t="s">
        <v>1818</v>
      </c>
      <c r="K87" s="1" t="s">
        <v>73</v>
      </c>
      <c r="L87" s="1" t="s">
        <v>74</v>
      </c>
      <c r="M87" s="198" t="e">
        <v>#NUM!</v>
      </c>
    </row>
    <row r="88" spans="1:13" ht="20.25" customHeight="1">
      <c r="A88" s="196" t="s">
        <v>1823</v>
      </c>
      <c r="B88" s="202" t="s">
        <v>1824</v>
      </c>
      <c r="C88" s="200" t="s">
        <v>1806</v>
      </c>
      <c r="D88" s="200" t="s">
        <v>748</v>
      </c>
      <c r="E88" s="200" t="s">
        <v>1825</v>
      </c>
      <c r="F88" s="200" t="s">
        <v>1826</v>
      </c>
      <c r="G88" s="189">
        <v>42790</v>
      </c>
      <c r="H88" s="187">
        <v>42776</v>
      </c>
      <c r="I88" s="190">
        <v>42776</v>
      </c>
      <c r="J88" s="197" t="s">
        <v>1827</v>
      </c>
      <c r="K88" s="1" t="s">
        <v>73</v>
      </c>
      <c r="L88" s="1" t="s">
        <v>74</v>
      </c>
      <c r="M88" s="198" t="e">
        <v>#NUM!</v>
      </c>
    </row>
    <row r="89" spans="1:13" ht="20.25" customHeight="1">
      <c r="A89" s="196" t="s">
        <v>2192</v>
      </c>
      <c r="B89" s="202" t="s">
        <v>2193</v>
      </c>
      <c r="C89" s="200" t="s">
        <v>2194</v>
      </c>
      <c r="D89" s="200" t="s">
        <v>748</v>
      </c>
      <c r="E89" s="200" t="s">
        <v>2195</v>
      </c>
      <c r="F89" s="200" t="s">
        <v>2196</v>
      </c>
      <c r="G89" s="189">
        <v>43119</v>
      </c>
      <c r="H89" s="187">
        <v>43251</v>
      </c>
      <c r="I89" s="190">
        <v>43343</v>
      </c>
      <c r="J89" s="197" t="s">
        <v>2197</v>
      </c>
      <c r="K89" s="198" t="s">
        <v>36</v>
      </c>
      <c r="L89" s="1" t="s">
        <v>28</v>
      </c>
      <c r="M89" s="198">
        <v>4</v>
      </c>
    </row>
    <row r="90" spans="1:13" ht="20.25" customHeight="1">
      <c r="A90" s="196" t="s">
        <v>2198</v>
      </c>
      <c r="B90" s="202" t="s">
        <v>2199</v>
      </c>
      <c r="C90" s="200" t="s">
        <v>1149</v>
      </c>
      <c r="D90" s="200" t="s">
        <v>748</v>
      </c>
      <c r="E90" s="200" t="s">
        <v>2200</v>
      </c>
      <c r="F90" s="200" t="s">
        <v>2201</v>
      </c>
      <c r="G90" s="189">
        <v>43523</v>
      </c>
      <c r="H90" s="187">
        <v>43616</v>
      </c>
      <c r="I90" s="190">
        <v>43830</v>
      </c>
      <c r="J90" s="197" t="s">
        <v>2202</v>
      </c>
      <c r="K90" s="198" t="s">
        <v>36</v>
      </c>
      <c r="L90" s="1" t="s">
        <v>28</v>
      </c>
      <c r="M90" s="198">
        <v>3</v>
      </c>
    </row>
    <row r="91" spans="1:13" ht="20.25" customHeight="1">
      <c r="A91" s="196" t="s">
        <v>2203</v>
      </c>
      <c r="B91" s="202" t="s">
        <v>2204</v>
      </c>
      <c r="C91" s="200" t="s">
        <v>2205</v>
      </c>
      <c r="D91" s="200" t="s">
        <v>748</v>
      </c>
      <c r="E91" s="200" t="s">
        <v>2206</v>
      </c>
      <c r="F91" s="200" t="s">
        <v>2207</v>
      </c>
      <c r="G91" s="189">
        <v>43539</v>
      </c>
      <c r="H91" s="187">
        <v>43708</v>
      </c>
      <c r="I91" s="191">
        <v>43799</v>
      </c>
      <c r="J91" s="196" t="s">
        <v>2208</v>
      </c>
      <c r="K91" s="1" t="s">
        <v>73</v>
      </c>
      <c r="L91" s="1" t="s">
        <v>74</v>
      </c>
      <c r="M91" s="198">
        <v>5</v>
      </c>
    </row>
    <row r="92" spans="1:13" ht="20.25" customHeight="1">
      <c r="A92" s="196" t="s">
        <v>2209</v>
      </c>
      <c r="B92" s="202" t="s">
        <v>2210</v>
      </c>
      <c r="C92" s="200" t="s">
        <v>1727</v>
      </c>
      <c r="D92" s="200" t="s">
        <v>748</v>
      </c>
      <c r="E92" s="200" t="s">
        <v>2211</v>
      </c>
      <c r="F92" s="200" t="s">
        <v>2212</v>
      </c>
      <c r="G92" s="189">
        <v>43741</v>
      </c>
      <c r="H92" s="187">
        <v>43830</v>
      </c>
      <c r="I92" s="190">
        <v>43951</v>
      </c>
      <c r="J92" s="197" t="s">
        <v>2202</v>
      </c>
      <c r="K92" s="198" t="s">
        <v>36</v>
      </c>
      <c r="L92" s="1" t="s">
        <v>28</v>
      </c>
      <c r="M92" s="198">
        <v>2</v>
      </c>
    </row>
    <row r="93" spans="1:13" ht="20.25" customHeight="1">
      <c r="A93" s="196" t="s">
        <v>2213</v>
      </c>
      <c r="B93" s="202" t="s">
        <v>2214</v>
      </c>
      <c r="C93" s="200" t="s">
        <v>1149</v>
      </c>
      <c r="D93" s="200" t="s">
        <v>748</v>
      </c>
      <c r="E93" s="200" t="s">
        <v>2215</v>
      </c>
      <c r="F93" s="200" t="s">
        <v>2216</v>
      </c>
      <c r="G93" s="189">
        <v>43770</v>
      </c>
      <c r="H93" s="187">
        <v>43936</v>
      </c>
      <c r="I93" s="190">
        <v>44118</v>
      </c>
      <c r="J93" s="197" t="s">
        <v>1780</v>
      </c>
      <c r="K93" s="1" t="s">
        <v>73</v>
      </c>
      <c r="L93" s="1" t="s">
        <v>74</v>
      </c>
      <c r="M93" s="198">
        <v>5</v>
      </c>
    </row>
    <row r="94" spans="1:13" ht="20.25" customHeight="1">
      <c r="A94" s="196" t="s">
        <v>2217</v>
      </c>
      <c r="B94" s="202" t="s">
        <v>2218</v>
      </c>
      <c r="C94" s="200" t="s">
        <v>1727</v>
      </c>
      <c r="D94" s="200" t="s">
        <v>748</v>
      </c>
      <c r="E94" s="200" t="s">
        <v>2219</v>
      </c>
      <c r="F94" s="200" t="s">
        <v>2220</v>
      </c>
      <c r="G94" s="189">
        <v>44092</v>
      </c>
      <c r="H94" s="187">
        <v>44165</v>
      </c>
      <c r="I94" s="190">
        <v>44225</v>
      </c>
      <c r="J94" s="197" t="s">
        <v>2221</v>
      </c>
      <c r="K94" s="1" t="s">
        <v>73</v>
      </c>
      <c r="L94" s="1" t="s">
        <v>74</v>
      </c>
      <c r="M94" s="198">
        <v>2</v>
      </c>
    </row>
    <row r="95" spans="1:13" ht="20.25" customHeight="1">
      <c r="A95" s="196" t="s">
        <v>2222</v>
      </c>
      <c r="B95" s="202" t="s">
        <v>2223</v>
      </c>
      <c r="C95" s="200" t="s">
        <v>1806</v>
      </c>
      <c r="D95" s="200" t="s">
        <v>748</v>
      </c>
      <c r="E95" s="200" t="s">
        <v>2224</v>
      </c>
      <c r="F95" s="200" t="s">
        <v>2225</v>
      </c>
      <c r="G95" s="189">
        <v>44015</v>
      </c>
      <c r="H95" s="187">
        <v>44104</v>
      </c>
      <c r="I95" s="190">
        <v>44196</v>
      </c>
      <c r="J95" s="197" t="s">
        <v>2226</v>
      </c>
      <c r="K95" s="198" t="s">
        <v>36</v>
      </c>
      <c r="L95" s="1" t="s">
        <v>28</v>
      </c>
      <c r="M95" s="198">
        <v>2</v>
      </c>
    </row>
    <row r="96" spans="1:13" ht="20.25" customHeight="1">
      <c r="A96" s="196" t="s">
        <v>2227</v>
      </c>
      <c r="B96" s="202" t="s">
        <v>2228</v>
      </c>
      <c r="C96" s="200" t="s">
        <v>1149</v>
      </c>
      <c r="D96" s="200" t="s">
        <v>748</v>
      </c>
      <c r="E96" s="200" t="s">
        <v>2229</v>
      </c>
      <c r="F96" s="200" t="s">
        <v>2230</v>
      </c>
      <c r="G96" s="189">
        <v>44033</v>
      </c>
      <c r="H96" s="187">
        <v>44196</v>
      </c>
      <c r="I96" s="190">
        <v>44380</v>
      </c>
      <c r="J96" s="197" t="s">
        <v>1780</v>
      </c>
      <c r="K96" s="1" t="s">
        <v>73</v>
      </c>
      <c r="L96" s="1" t="s">
        <v>74</v>
      </c>
      <c r="M96" s="198">
        <v>5</v>
      </c>
    </row>
    <row r="97" spans="1:13" ht="20.25" customHeight="1">
      <c r="A97" s="196" t="s">
        <v>2231</v>
      </c>
      <c r="B97" s="202" t="s">
        <v>2232</v>
      </c>
      <c r="C97" s="200" t="s">
        <v>1727</v>
      </c>
      <c r="D97" s="200" t="s">
        <v>748</v>
      </c>
      <c r="E97" s="200" t="s">
        <v>2233</v>
      </c>
      <c r="F97" s="200" t="s">
        <v>2234</v>
      </c>
      <c r="G97" s="189">
        <v>44366</v>
      </c>
      <c r="H97" s="187">
        <v>44469</v>
      </c>
      <c r="I97" s="190">
        <v>44560</v>
      </c>
      <c r="J97" s="197" t="s">
        <v>1780</v>
      </c>
      <c r="K97" s="1" t="s">
        <v>73</v>
      </c>
      <c r="L97" s="1" t="s">
        <v>74</v>
      </c>
      <c r="M97" s="198">
        <v>3</v>
      </c>
    </row>
    <row r="98" spans="1:13" ht="20.25" customHeight="1">
      <c r="A98" s="196" t="s">
        <v>2235</v>
      </c>
      <c r="B98" s="202" t="s">
        <v>2236</v>
      </c>
      <c r="C98" s="200" t="s">
        <v>1149</v>
      </c>
      <c r="D98" s="200" t="s">
        <v>748</v>
      </c>
      <c r="E98" s="200" t="s">
        <v>2237</v>
      </c>
      <c r="F98" s="200" t="s">
        <v>2238</v>
      </c>
      <c r="G98" s="189">
        <v>44397</v>
      </c>
      <c r="H98" s="187">
        <v>44560</v>
      </c>
      <c r="I98" s="193">
        <v>44925</v>
      </c>
      <c r="J98" s="1" t="s">
        <v>2239</v>
      </c>
      <c r="K98" s="1" t="s">
        <v>75</v>
      </c>
      <c r="L98" s="1" t="s">
        <v>103</v>
      </c>
      <c r="M98" s="198">
        <v>5</v>
      </c>
    </row>
    <row r="99" spans="1:13" ht="20.25" customHeight="1">
      <c r="A99" s="196" t="s">
        <v>2879</v>
      </c>
      <c r="B99" s="202" t="s">
        <v>2880</v>
      </c>
      <c r="C99" s="200" t="s">
        <v>1149</v>
      </c>
      <c r="D99" s="200" t="s">
        <v>748</v>
      </c>
      <c r="E99" s="200" t="s">
        <v>2881</v>
      </c>
      <c r="F99" s="200" t="s">
        <v>2882</v>
      </c>
      <c r="G99" s="189">
        <v>42969</v>
      </c>
      <c r="H99" s="187">
        <v>223</v>
      </c>
      <c r="I99" s="190">
        <v>42957</v>
      </c>
      <c r="J99" s="197" t="s">
        <v>1685</v>
      </c>
      <c r="K99" s="1" t="s">
        <v>73</v>
      </c>
      <c r="L99" s="1" t="s">
        <v>74</v>
      </c>
      <c r="M99" s="198" t="e">
        <v>#NUM!</v>
      </c>
    </row>
    <row r="100" spans="1:13" ht="20.25" customHeight="1">
      <c r="A100" s="196" t="s">
        <v>2883</v>
      </c>
      <c r="B100" s="202" t="s">
        <v>2884</v>
      </c>
      <c r="C100" s="200" t="s">
        <v>1149</v>
      </c>
      <c r="D100" s="200" t="s">
        <v>748</v>
      </c>
      <c r="E100" s="200" t="s">
        <v>2885</v>
      </c>
      <c r="F100" s="200" t="s">
        <v>2886</v>
      </c>
      <c r="G100" s="189">
        <v>43057</v>
      </c>
      <c r="H100" s="187">
        <v>43191</v>
      </c>
      <c r="I100" s="190">
        <v>43111</v>
      </c>
      <c r="J100" s="196" t="s">
        <v>2887</v>
      </c>
      <c r="K100" s="1" t="s">
        <v>27</v>
      </c>
      <c r="L100" s="1" t="s">
        <v>28</v>
      </c>
      <c r="M100" s="198">
        <v>4</v>
      </c>
    </row>
    <row r="101" spans="1:13" ht="20.25" customHeight="1">
      <c r="A101" s="196" t="s">
        <v>2903</v>
      </c>
      <c r="B101" s="202" t="s">
        <v>2904</v>
      </c>
      <c r="C101" s="200" t="s">
        <v>1149</v>
      </c>
      <c r="D101" s="200" t="s">
        <v>748</v>
      </c>
      <c r="E101" s="200" t="s">
        <v>1556</v>
      </c>
      <c r="F101" s="200" t="s">
        <v>2905</v>
      </c>
      <c r="G101" s="189">
        <v>43166</v>
      </c>
      <c r="H101" s="187">
        <v>43152</v>
      </c>
      <c r="I101" s="190">
        <v>43152</v>
      </c>
      <c r="J101" s="197" t="s">
        <v>2906</v>
      </c>
      <c r="K101" s="1" t="s">
        <v>73</v>
      </c>
      <c r="L101" s="1" t="s">
        <v>74</v>
      </c>
      <c r="M101" s="198" t="e">
        <v>#NUM!</v>
      </c>
    </row>
    <row r="102" spans="1:13" ht="20.25" customHeight="1">
      <c r="A102" s="196" t="s">
        <v>2907</v>
      </c>
      <c r="B102" s="202" t="s">
        <v>2908</v>
      </c>
      <c r="C102" s="200" t="s">
        <v>1149</v>
      </c>
      <c r="D102" s="200" t="s">
        <v>748</v>
      </c>
      <c r="E102" s="200" t="s">
        <v>2909</v>
      </c>
      <c r="F102" s="200" t="s">
        <v>2910</v>
      </c>
      <c r="G102" s="189">
        <v>43362</v>
      </c>
      <c r="H102" s="187">
        <v>43328</v>
      </c>
      <c r="I102" s="190">
        <v>43328</v>
      </c>
      <c r="J102" s="197" t="s">
        <v>2911</v>
      </c>
      <c r="K102" s="1" t="s">
        <v>73</v>
      </c>
      <c r="L102" s="1" t="s">
        <v>74</v>
      </c>
      <c r="M102" s="198" t="e">
        <v>#NUM!</v>
      </c>
    </row>
    <row r="103" spans="1:13" ht="20.25" customHeight="1">
      <c r="A103" s="196" t="s">
        <v>2912</v>
      </c>
      <c r="B103" s="202" t="s">
        <v>2913</v>
      </c>
      <c r="C103" s="200" t="s">
        <v>1149</v>
      </c>
      <c r="D103" s="200" t="s">
        <v>748</v>
      </c>
      <c r="E103" s="200" t="s">
        <v>2914</v>
      </c>
      <c r="F103" s="200" t="s">
        <v>2915</v>
      </c>
      <c r="G103" s="189">
        <v>43362</v>
      </c>
      <c r="H103" s="187">
        <v>43536</v>
      </c>
      <c r="I103" s="190">
        <v>43718</v>
      </c>
      <c r="J103" s="197" t="s">
        <v>2916</v>
      </c>
      <c r="K103" s="1" t="s">
        <v>73</v>
      </c>
      <c r="L103" s="1" t="s">
        <v>74</v>
      </c>
      <c r="M103" s="198">
        <v>5</v>
      </c>
    </row>
    <row r="104" spans="1:13" ht="20.25" customHeight="1">
      <c r="A104" s="196" t="s">
        <v>2917</v>
      </c>
      <c r="B104" s="202" t="s">
        <v>2918</v>
      </c>
      <c r="C104" s="200" t="s">
        <v>1149</v>
      </c>
      <c r="D104" s="200" t="s">
        <v>748</v>
      </c>
      <c r="E104" s="200" t="s">
        <v>2919</v>
      </c>
      <c r="F104" s="200" t="s">
        <v>2920</v>
      </c>
      <c r="G104" s="189">
        <v>43419</v>
      </c>
      <c r="H104" s="187">
        <v>43598</v>
      </c>
      <c r="I104" s="190">
        <v>43749</v>
      </c>
      <c r="J104" s="197" t="s">
        <v>2921</v>
      </c>
      <c r="K104" s="1" t="s">
        <v>73</v>
      </c>
      <c r="L104" s="1" t="s">
        <v>74</v>
      </c>
      <c r="M104" s="198">
        <v>5</v>
      </c>
    </row>
    <row r="105" spans="1:13" ht="20.25" customHeight="1">
      <c r="A105" s="196" t="s">
        <v>2922</v>
      </c>
      <c r="B105" s="202" t="s">
        <v>2923</v>
      </c>
      <c r="C105" s="200" t="s">
        <v>1149</v>
      </c>
      <c r="D105" s="200" t="s">
        <v>748</v>
      </c>
      <c r="E105" s="200" t="s">
        <v>2924</v>
      </c>
      <c r="F105" s="200" t="s">
        <v>2925</v>
      </c>
      <c r="G105" s="189">
        <v>43419</v>
      </c>
      <c r="H105" s="187">
        <v>43598</v>
      </c>
      <c r="I105" s="190">
        <v>43749</v>
      </c>
      <c r="J105" s="197" t="s">
        <v>2325</v>
      </c>
      <c r="K105" s="1" t="s">
        <v>73</v>
      </c>
      <c r="L105" s="1" t="s">
        <v>74</v>
      </c>
      <c r="M105" s="198">
        <v>5</v>
      </c>
    </row>
    <row r="106" spans="1:13" ht="20.25" customHeight="1">
      <c r="A106" s="196" t="s">
        <v>2926</v>
      </c>
      <c r="B106" s="202" t="s">
        <v>2927</v>
      </c>
      <c r="C106" s="200" t="s">
        <v>1149</v>
      </c>
      <c r="D106" s="200" t="s">
        <v>748</v>
      </c>
      <c r="E106" s="200" t="s">
        <v>2928</v>
      </c>
      <c r="F106" s="200" t="s">
        <v>2929</v>
      </c>
      <c r="G106" s="189">
        <v>43580</v>
      </c>
      <c r="H106" s="187">
        <v>43568</v>
      </c>
      <c r="I106" s="190">
        <v>43568</v>
      </c>
      <c r="J106" s="197" t="s">
        <v>2930</v>
      </c>
      <c r="K106" s="1" t="s">
        <v>73</v>
      </c>
      <c r="L106" s="1" t="s">
        <v>74</v>
      </c>
      <c r="M106" s="198" t="e">
        <v>#NUM!</v>
      </c>
    </row>
    <row r="107" spans="1:13" ht="20.25" customHeight="1">
      <c r="A107" s="196" t="s">
        <v>2931</v>
      </c>
      <c r="B107" s="202" t="s">
        <v>2932</v>
      </c>
      <c r="C107" s="200" t="s">
        <v>1149</v>
      </c>
      <c r="D107" s="200" t="s">
        <v>748</v>
      </c>
      <c r="E107" s="200" t="s">
        <v>2933</v>
      </c>
      <c r="F107" s="200" t="s">
        <v>2934</v>
      </c>
      <c r="G107" s="189">
        <v>43580</v>
      </c>
      <c r="H107" s="187">
        <v>43756</v>
      </c>
      <c r="I107" s="190">
        <v>43938</v>
      </c>
      <c r="J107" s="197" t="s">
        <v>2935</v>
      </c>
      <c r="K107" s="1" t="s">
        <v>73</v>
      </c>
      <c r="L107" s="1" t="s">
        <v>74</v>
      </c>
      <c r="M107" s="198">
        <v>5</v>
      </c>
    </row>
    <row r="108" spans="1:13" ht="20.25" customHeight="1">
      <c r="A108" s="196" t="s">
        <v>2936</v>
      </c>
      <c r="B108" s="202" t="s">
        <v>2937</v>
      </c>
      <c r="C108" s="200" t="s">
        <v>1149</v>
      </c>
      <c r="D108" s="200" t="s">
        <v>748</v>
      </c>
      <c r="E108" s="200" t="s">
        <v>2938</v>
      </c>
      <c r="F108" s="200" t="s">
        <v>2939</v>
      </c>
      <c r="G108" s="189">
        <v>43608</v>
      </c>
      <c r="H108" s="187">
        <v>43595</v>
      </c>
      <c r="I108" s="190">
        <v>43595</v>
      </c>
      <c r="J108" s="197" t="s">
        <v>2940</v>
      </c>
      <c r="K108" s="1" t="s">
        <v>73</v>
      </c>
      <c r="L108" s="1" t="s">
        <v>74</v>
      </c>
      <c r="M108" s="198" t="e">
        <v>#NUM!</v>
      </c>
    </row>
    <row r="109" spans="1:13" ht="20.25" customHeight="1">
      <c r="A109" s="196" t="s">
        <v>2941</v>
      </c>
      <c r="B109" s="202" t="s">
        <v>2942</v>
      </c>
      <c r="C109" s="200" t="s">
        <v>1149</v>
      </c>
      <c r="D109" s="200" t="s">
        <v>748</v>
      </c>
      <c r="E109" s="200" t="s">
        <v>2943</v>
      </c>
      <c r="F109" s="200" t="s">
        <v>2944</v>
      </c>
      <c r="G109" s="189">
        <v>43726</v>
      </c>
      <c r="H109" s="187">
        <v>43712</v>
      </c>
      <c r="I109" s="190">
        <v>43712</v>
      </c>
      <c r="J109" s="197" t="s">
        <v>2945</v>
      </c>
      <c r="K109" s="1" t="s">
        <v>540</v>
      </c>
      <c r="L109" s="5" t="s">
        <v>0</v>
      </c>
      <c r="M109" s="198" t="e">
        <v>#NUM!</v>
      </c>
    </row>
    <row r="110" spans="1:13" ht="20.25" customHeight="1">
      <c r="A110" s="196" t="s">
        <v>2946</v>
      </c>
      <c r="B110" s="202" t="s">
        <v>2947</v>
      </c>
      <c r="C110" s="200" t="s">
        <v>1149</v>
      </c>
      <c r="D110" s="200" t="s">
        <v>748</v>
      </c>
      <c r="E110" s="200" t="s">
        <v>2924</v>
      </c>
      <c r="F110" s="200" t="s">
        <v>2948</v>
      </c>
      <c r="G110" s="189">
        <v>43788</v>
      </c>
      <c r="H110" s="187">
        <v>43945</v>
      </c>
      <c r="I110" s="190">
        <v>44127</v>
      </c>
      <c r="J110" s="197" t="s">
        <v>2949</v>
      </c>
      <c r="K110" s="1" t="s">
        <v>73</v>
      </c>
      <c r="L110" s="1" t="s">
        <v>74</v>
      </c>
      <c r="M110" s="198">
        <v>5</v>
      </c>
    </row>
    <row r="111" spans="1:13" ht="20.25" customHeight="1">
      <c r="A111" s="196" t="s">
        <v>2950</v>
      </c>
      <c r="B111" s="202" t="s">
        <v>2951</v>
      </c>
      <c r="C111" s="200" t="s">
        <v>1149</v>
      </c>
      <c r="D111" s="200" t="s">
        <v>748</v>
      </c>
      <c r="E111" s="200" t="s">
        <v>2952</v>
      </c>
      <c r="F111" s="200" t="s">
        <v>2953</v>
      </c>
      <c r="G111" s="189">
        <v>43914</v>
      </c>
      <c r="H111" s="187">
        <v>43888</v>
      </c>
      <c r="I111" s="190">
        <v>43936</v>
      </c>
      <c r="J111" s="197" t="s">
        <v>2954</v>
      </c>
      <c r="K111" s="1" t="s">
        <v>540</v>
      </c>
      <c r="L111" s="5" t="s">
        <v>0</v>
      </c>
      <c r="M111" s="198" t="e">
        <v>#NUM!</v>
      </c>
    </row>
    <row r="112" spans="1:13" ht="20.25" customHeight="1">
      <c r="A112" s="196" t="s">
        <v>2955</v>
      </c>
      <c r="B112" s="202" t="s">
        <v>2956</v>
      </c>
      <c r="C112" s="200" t="s">
        <v>1149</v>
      </c>
      <c r="D112" s="200" t="s">
        <v>748</v>
      </c>
      <c r="E112" s="200" t="s">
        <v>2957</v>
      </c>
      <c r="F112" s="200" t="s">
        <v>2958</v>
      </c>
      <c r="G112" s="189">
        <v>43951</v>
      </c>
      <c r="H112" s="187" t="e">
        <v>#VALUE!</v>
      </c>
      <c r="I112" s="190">
        <v>43968</v>
      </c>
      <c r="J112" s="196" t="s">
        <v>2959</v>
      </c>
      <c r="K112" s="1" t="s">
        <v>73</v>
      </c>
      <c r="L112" s="1" t="s">
        <v>74</v>
      </c>
      <c r="M112" s="198" t="e">
        <v>#VALUE!</v>
      </c>
    </row>
    <row r="113" spans="1:13" ht="20.25" customHeight="1">
      <c r="A113" s="196" t="s">
        <v>2960</v>
      </c>
      <c r="B113" s="202" t="s">
        <v>2961</v>
      </c>
      <c r="C113" s="200" t="s">
        <v>1149</v>
      </c>
      <c r="D113" s="200" t="s">
        <v>748</v>
      </c>
      <c r="E113" s="200" t="s">
        <v>2962</v>
      </c>
      <c r="F113" s="200" t="s">
        <v>2963</v>
      </c>
      <c r="G113" s="189">
        <v>44229</v>
      </c>
      <c r="H113" s="187">
        <v>44317</v>
      </c>
      <c r="I113" s="190">
        <v>44531</v>
      </c>
      <c r="J113" s="197" t="s">
        <v>2964</v>
      </c>
      <c r="K113" s="1" t="s">
        <v>540</v>
      </c>
      <c r="L113" s="5" t="s">
        <v>0</v>
      </c>
      <c r="M113" s="198">
        <v>2</v>
      </c>
    </row>
    <row r="114" spans="1:13" ht="20.25" customHeight="1">
      <c r="A114" s="196" t="s">
        <v>2965</v>
      </c>
      <c r="B114" s="202" t="s">
        <v>2966</v>
      </c>
      <c r="C114" s="200" t="s">
        <v>1149</v>
      </c>
      <c r="D114" s="200" t="s">
        <v>748</v>
      </c>
      <c r="E114" s="200" t="s">
        <v>2967</v>
      </c>
      <c r="F114" s="200" t="s">
        <v>2968</v>
      </c>
      <c r="G114" s="189">
        <v>44321</v>
      </c>
      <c r="H114" s="187">
        <v>44408</v>
      </c>
      <c r="I114" s="190">
        <v>44439</v>
      </c>
      <c r="J114" s="196" t="s">
        <v>2969</v>
      </c>
      <c r="K114" s="1" t="s">
        <v>73</v>
      </c>
      <c r="L114" s="1" t="s">
        <v>74</v>
      </c>
      <c r="M114" s="198">
        <v>2</v>
      </c>
    </row>
    <row r="115" spans="1:13" ht="20.25" customHeight="1">
      <c r="A115" s="196" t="s">
        <v>2970</v>
      </c>
      <c r="B115" s="202" t="s">
        <v>2971</v>
      </c>
      <c r="C115" s="200" t="s">
        <v>1149</v>
      </c>
      <c r="D115" s="200" t="s">
        <v>748</v>
      </c>
      <c r="E115" s="200" t="s">
        <v>2972</v>
      </c>
      <c r="F115" s="200" t="s">
        <v>2973</v>
      </c>
      <c r="G115" s="189">
        <v>44288</v>
      </c>
      <c r="H115" s="187">
        <v>44286</v>
      </c>
      <c r="I115" s="190">
        <v>44286</v>
      </c>
      <c r="J115" s="197" t="s">
        <v>2959</v>
      </c>
      <c r="K115" s="1" t="s">
        <v>73</v>
      </c>
      <c r="L115" s="1" t="s">
        <v>74</v>
      </c>
      <c r="M115" s="198" t="e">
        <v>#NUM!</v>
      </c>
    </row>
  </sheetData>
  <autoFilter ref="K1:K115"/>
  <hyperlinks>
    <hyperlink ref="B6" r:id="rId1"/>
    <hyperlink ref="B10" r:id="rId2" display="https://www.vishay.com/quality/pcn-doc/PCN-OMV-414-2010-Rev-0/omv_414_2010_rev0.pdf/"/>
    <hyperlink ref="B11" r:id="rId3"/>
    <hyperlink ref="B12" r:id="rId4"/>
    <hyperlink ref="B13" r:id="rId5"/>
    <hyperlink ref="B14" r:id="rId6"/>
    <hyperlink ref="B15" r:id="rId7"/>
    <hyperlink ref="B16" r:id="rId8"/>
    <hyperlink ref="B17" r:id="rId9"/>
    <hyperlink ref="B18" r:id="rId10"/>
    <hyperlink ref="B19" r:id="rId11"/>
    <hyperlink ref="B20" r:id="rId12"/>
    <hyperlink ref="B21" r:id="rId13"/>
    <hyperlink ref="B22" r:id="rId14"/>
    <hyperlink ref="B23" r:id="rId15"/>
    <hyperlink ref="B24" r:id="rId16"/>
    <hyperlink ref="B25" r:id="rId17"/>
    <hyperlink ref="B26" r:id="rId18"/>
    <hyperlink ref="B27" r:id="rId19"/>
    <hyperlink ref="B28" r:id="rId20"/>
    <hyperlink ref="B29" r:id="rId21"/>
    <hyperlink ref="B30" r:id="rId22"/>
    <hyperlink ref="B31" r:id="rId23"/>
    <hyperlink ref="B32" r:id="rId24"/>
    <hyperlink ref="B33" r:id="rId25"/>
    <hyperlink ref="B34" r:id="rId26"/>
    <hyperlink ref="B35" r:id="rId27"/>
    <hyperlink ref="B36" r:id="rId28"/>
    <hyperlink ref="B37" r:id="rId29"/>
    <hyperlink ref="B38" r:id="rId30"/>
    <hyperlink ref="B39" r:id="rId31"/>
    <hyperlink ref="B40" r:id="rId32"/>
    <hyperlink ref="B41" r:id="rId33"/>
    <hyperlink ref="B42" r:id="rId34"/>
    <hyperlink ref="B43" r:id="rId35"/>
    <hyperlink ref="B44" r:id="rId36"/>
    <hyperlink ref="B45" r:id="rId37"/>
    <hyperlink ref="B46" r:id="rId38"/>
    <hyperlink ref="B47" r:id="rId39"/>
    <hyperlink ref="B48" r:id="rId40"/>
    <hyperlink ref="B49" r:id="rId41"/>
    <hyperlink ref="B50" r:id="rId42"/>
    <hyperlink ref="B51" r:id="rId43"/>
    <hyperlink ref="B52" r:id="rId44"/>
    <hyperlink ref="B53" r:id="rId45"/>
    <hyperlink ref="B54" r:id="rId46"/>
    <hyperlink ref="B55" r:id="rId47"/>
    <hyperlink ref="B56" r:id="rId48"/>
    <hyperlink ref="B57" r:id="rId49"/>
    <hyperlink ref="B58" r:id="rId50"/>
    <hyperlink ref="B59" r:id="rId51"/>
    <hyperlink ref="B60" r:id="rId52"/>
    <hyperlink ref="B61" r:id="rId53"/>
    <hyperlink ref="B62" r:id="rId54"/>
    <hyperlink ref="B63" r:id="rId55"/>
    <hyperlink ref="B64" r:id="rId56"/>
    <hyperlink ref="B65" r:id="rId57"/>
    <hyperlink ref="B66" r:id="rId58"/>
    <hyperlink ref="B67" r:id="rId59"/>
    <hyperlink ref="B68" r:id="rId60"/>
    <hyperlink ref="B69" r:id="rId61"/>
    <hyperlink ref="B70" r:id="rId62"/>
    <hyperlink ref="B71" r:id="rId63"/>
    <hyperlink ref="B72" r:id="rId64"/>
    <hyperlink ref="B73" r:id="rId65"/>
    <hyperlink ref="B74" r:id="rId66"/>
    <hyperlink ref="B75" r:id="rId67"/>
    <hyperlink ref="B76" r:id="rId68"/>
    <hyperlink ref="B77" r:id="rId69"/>
    <hyperlink ref="B78" r:id="rId70"/>
    <hyperlink ref="B79" r:id="rId71"/>
    <hyperlink ref="B80" r:id="rId72"/>
    <hyperlink ref="B81" r:id="rId73"/>
    <hyperlink ref="B82" r:id="rId74"/>
    <hyperlink ref="B83" r:id="rId75"/>
    <hyperlink ref="B84" r:id="rId76"/>
    <hyperlink ref="B85" r:id="rId77"/>
    <hyperlink ref="B86" r:id="rId78"/>
    <hyperlink ref="B87" r:id="rId79"/>
    <hyperlink ref="B88" r:id="rId80"/>
    <hyperlink ref="B89" r:id="rId81" display="https://www.vishay.com/quality/pcn-doc/PTN-OSI-01007-2017-Rev-0/pcn_osi_1007_2017_rev0.pdf/"/>
    <hyperlink ref="B90" r:id="rId82" display="https://www.vishay.com/quality/pcn-doc/PTN-OSI-01059-2019-Rev-0/ptn_osi_1059_2019_rev0.pdf/"/>
    <hyperlink ref="B91" r:id="rId83" display="https://www.vishay.com/quality/pcn-doc/PTN-OSI-01061-2019-Rev-0/ptn_osi_1061_2019_rev0.pdf/"/>
    <hyperlink ref="B92" r:id="rId84" display="https://www.vishay.com/quality/pcn-doc/PTN-OSI-01093-2019-Rev-0/ptn_osi_1093_2019_rev0.pdf/"/>
    <hyperlink ref="B93" r:id="rId85" display="https://www.vishay.com/quality/pcn-doc/PTN-OSI-01098-2019-Rev-0/ptn_osi_1098_2019_rev0.pdf/"/>
    <hyperlink ref="B94" r:id="rId86" display="https://www.vishay.com/quality/pcn-doc/PTN-OSI-01103-2019-Rev-0/ptn_osi_1103_2019_rev0.pdf/"/>
    <hyperlink ref="B95" r:id="rId87" display="https://www.vishay.com/quality/pcn-doc/PTN-OSI-01125-2020-Rev-0/ptn_osi_1125_2020_rev0.pdf/"/>
    <hyperlink ref="B96" r:id="rId88" display="https://www.vishay.com/quality/pcn-doc/PTN-OSI-01127-2020-Rev-0/ptn_osi_1127_2020_rev0.pdf/"/>
    <hyperlink ref="B97" r:id="rId89" display="https://www.vishay.com/quality/pcn-doc/PTN-OSI-01188-2021-Rev-0/ptn_osi_1188_2021_rev0.pdf/"/>
    <hyperlink ref="B98" r:id="rId90" display="https://www.vishay.com/quality/pcn-doc/PTN-OSI-01189-2021-Rev-0/ptn_osi_1189_2021_rev0.pdf/"/>
    <hyperlink ref="B99" r:id="rId91" display="https://www.vishay.com/quality/pcn-doc/PTN-OMV-01000-2017-Rev-0/ptn_omv_1000_2017_rev0.pdf/"/>
    <hyperlink ref="B100" r:id="rId92" display="https://www.vishay.com/quality/pcn-doc/PTN-OMV-01004-2017-Rev-0/pcn_omv_1004_2017_rev0.pdf/"/>
    <hyperlink ref="B101" r:id="rId93" display="https://www.vishay.com/quality/pcn-doc/PTN-OMV-01013-2018-Rev-0/pcn_omv_1013_2018_rev0.pdf/"/>
    <hyperlink ref="B102" r:id="rId94" display="https://www.vishay.com/quality/pcn-doc/PTN-OMV-01040-2018-Rev-0/ptn_omv_1040_2018_rev0.pdf/"/>
    <hyperlink ref="B103" r:id="rId95" display="https://www.vishay.com/quality/pcn-doc/PTN-OMV-01043-2018-Rev-0/ptn_omv_1043_2018_rev0.pdf/"/>
    <hyperlink ref="B104" r:id="rId96" display="https://www.vishay.com/quality/pcn-doc/PTN-OMV-01044-2018-Rev-0/ptn_omv_1044_2018_rev0.pdf/"/>
    <hyperlink ref="B105" r:id="rId97" display="https://www.vishay.com/quality/pcn-doc/PTN-OMV-01046-2018-Rev-0/ptn_omv_1046_2018_rev0.pdf/"/>
    <hyperlink ref="B106" r:id="rId98" display="https://www.vishay.com/quality/pcn-doc/PTN-OMV-01070-2019-Rev-0/ptn_omv_1070_2019_rev0.pdf/"/>
    <hyperlink ref="B107" r:id="rId99" display="https://www.vishay.com/quality/pcn-doc/PTN-OMV-01071-2019-Rev-0/ptn_omv_1071_2019_rev0.pdf/"/>
    <hyperlink ref="B108" r:id="rId100" display="https://www.vishay.com/quality/pcn-doc/PTN-OMV-01073-2019-Rev-0/ptn_omv_1073_2019_rev0.pdf/"/>
    <hyperlink ref="B109" r:id="rId101" display="https://www.vishay.com/quality/pcn-doc/PTN-OMV-01091-2019-Rev-0/ptn_omv_1091_2019_rev0.pdf/"/>
    <hyperlink ref="B110" r:id="rId102" display="https://www.vishay.com/quality/pcn-doc/PTN-OMV-01100-2019-Rev-0/ptn_omv_1100_2019_rev0.pdf/"/>
    <hyperlink ref="B111" r:id="rId103" display="https://www.vishay.com/quality/pcn-doc/PTN-OMV-01111-2020-Rev-0/ptn_omv_1111_2020_rev0.pdf/"/>
    <hyperlink ref="B112" r:id="rId104" display="https://www.vishay.com/quality/pcn-doc/PTN-OMV-01116-2020-Rev-0/ptn_omv_1116_2020_rev0.pdf/"/>
    <hyperlink ref="B113" r:id="rId105" display="https://www.vishay.com/quality/pcn-doc/PTN-OMV-01160-2020-Rev-0/ptn_omv_1160_2020_rev0.pdf/"/>
    <hyperlink ref="B114" r:id="rId106" display="https://www.vishay.com/quality/pcn-doc/PTN-OMV-01172-2021-Rev-0/ptn_omv_1172_2021_rev0.pdf/"/>
    <hyperlink ref="B115" r:id="rId107" display="https://www.vishay.com/quality/pcn-doc/PTN-OMV-01180-2021-Rev-0/ptn_omv_1180_2021_rev0.pdf/"/>
  </hyperlinks>
  <pageMargins left="0.7" right="0.7" top="0.75" bottom="0.75" header="0.3" footer="0.3"/>
  <drawing r:id="rId108"/>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theme="9"/>
  </sheetPr>
  <dimension ref="A1:AK87"/>
  <sheetViews>
    <sheetView topLeftCell="T36" zoomScale="85" zoomScaleNormal="85" workbookViewId="0">
      <selection activeCell="X6" sqref="X6:Z11"/>
    </sheetView>
  </sheetViews>
  <sheetFormatPr baseColWidth="10" defaultColWidth="11.41796875" defaultRowHeight="14.4"/>
  <cols>
    <col min="1" max="1" width="10.578125"/>
    <col min="2" max="3" width="17.41796875" bestFit="1" customWidth="1"/>
    <col min="4" max="5" width="17.41796875" customWidth="1"/>
    <col min="6" max="6" width="8.578125" customWidth="1"/>
    <col min="7" max="7" width="13.578125" bestFit="1" customWidth="1"/>
    <col min="8" max="8" width="19" bestFit="1" customWidth="1"/>
    <col min="9" max="9" width="16.578125" bestFit="1" customWidth="1"/>
    <col min="10" max="10" width="15.578125" customWidth="1"/>
    <col min="13" max="13" width="94.578125" customWidth="1"/>
    <col min="14" max="14" width="14.41796875" customWidth="1"/>
    <col min="15" max="15" width="27.578125" style="62" customWidth="1"/>
    <col min="16" max="16" width="24" style="62" bestFit="1" customWidth="1"/>
    <col min="17" max="18" width="68.578125" bestFit="1" customWidth="1"/>
    <col min="19" max="19" width="97.578125" bestFit="1" customWidth="1"/>
    <col min="20" max="20" width="13.578125" customWidth="1"/>
    <col min="21" max="21" width="30.578125" customWidth="1"/>
  </cols>
  <sheetData>
    <row r="1" spans="1:37">
      <c r="A1" s="14" t="s">
        <v>0</v>
      </c>
      <c r="B1" s="25" t="s">
        <v>1</v>
      </c>
      <c r="C1" s="22" t="s">
        <v>2</v>
      </c>
      <c r="D1" s="15" t="s">
        <v>3</v>
      </c>
      <c r="E1" s="15" t="s">
        <v>4</v>
      </c>
      <c r="F1" s="15" t="s">
        <v>5</v>
      </c>
      <c r="G1" s="15" t="s">
        <v>6</v>
      </c>
      <c r="H1" s="15" t="s">
        <v>7</v>
      </c>
      <c r="I1" s="15" t="s">
        <v>8</v>
      </c>
      <c r="J1" s="15" t="s">
        <v>9</v>
      </c>
      <c r="K1" s="15" t="s">
        <v>10</v>
      </c>
      <c r="L1" s="25" t="s">
        <v>11</v>
      </c>
      <c r="M1" s="22" t="s">
        <v>12</v>
      </c>
      <c r="N1" s="25" t="s">
        <v>13</v>
      </c>
      <c r="O1" s="32" t="s">
        <v>14</v>
      </c>
      <c r="P1" s="32" t="s">
        <v>15</v>
      </c>
      <c r="Q1" s="40" t="s">
        <v>16</v>
      </c>
      <c r="R1" s="40" t="s">
        <v>16</v>
      </c>
      <c r="S1" s="56" t="s">
        <v>18</v>
      </c>
      <c r="T1" s="38"/>
    </row>
    <row r="2" spans="1:37">
      <c r="A2" s="16" t="s">
        <v>191</v>
      </c>
      <c r="B2" s="26" t="s">
        <v>192</v>
      </c>
      <c r="C2" s="23" t="s">
        <v>22</v>
      </c>
      <c r="D2" s="21" t="s">
        <v>23</v>
      </c>
      <c r="E2" s="17" t="s">
        <v>23</v>
      </c>
      <c r="F2" s="17" t="s">
        <v>193</v>
      </c>
      <c r="G2" s="18"/>
      <c r="H2" s="21" t="s">
        <v>194</v>
      </c>
      <c r="I2" s="18">
        <v>40458</v>
      </c>
      <c r="J2" s="18">
        <v>40519</v>
      </c>
      <c r="K2" s="17" t="s">
        <v>22</v>
      </c>
      <c r="L2" s="26" t="s">
        <v>22</v>
      </c>
      <c r="M2" s="23" t="s">
        <v>195</v>
      </c>
      <c r="N2" s="31">
        <v>40274</v>
      </c>
      <c r="O2" s="5" t="s">
        <v>73</v>
      </c>
      <c r="P2" s="41" t="s">
        <v>74</v>
      </c>
      <c r="Q2" s="41">
        <f t="shared" ref="Q2:Q19" si="0">DATEDIF(N2,I2, "m")</f>
        <v>6</v>
      </c>
      <c r="R2" s="87">
        <f>Q2/12</f>
        <v>0.5</v>
      </c>
      <c r="S2" s="57"/>
      <c r="T2" s="38"/>
    </row>
    <row r="3" spans="1:37">
      <c r="A3" s="16" t="s">
        <v>196</v>
      </c>
      <c r="B3" s="26" t="s">
        <v>192</v>
      </c>
      <c r="C3" s="23" t="s">
        <v>22</v>
      </c>
      <c r="D3" s="21" t="s">
        <v>197</v>
      </c>
      <c r="E3" s="17" t="s">
        <v>23</v>
      </c>
      <c r="F3" s="17" t="s">
        <v>193</v>
      </c>
      <c r="G3" s="18">
        <v>41072</v>
      </c>
      <c r="H3" s="21" t="s">
        <v>198</v>
      </c>
      <c r="I3" s="18">
        <v>42643</v>
      </c>
      <c r="J3" s="18">
        <v>42735</v>
      </c>
      <c r="K3" s="17" t="s">
        <v>22</v>
      </c>
      <c r="L3" s="26" t="s">
        <v>22</v>
      </c>
      <c r="M3" s="24" t="s">
        <v>199</v>
      </c>
      <c r="N3" s="31">
        <v>42536</v>
      </c>
      <c r="O3" s="5" t="s">
        <v>73</v>
      </c>
      <c r="P3" s="41" t="s">
        <v>74</v>
      </c>
      <c r="Q3" s="41">
        <f t="shared" si="0"/>
        <v>3</v>
      </c>
      <c r="R3" s="87">
        <f t="shared" ref="R3:R66" si="1">Q3/12</f>
        <v>0.25</v>
      </c>
      <c r="S3" s="57">
        <f>DATEDIF(G3,I3,"m")</f>
        <v>51</v>
      </c>
      <c r="T3" s="38"/>
    </row>
    <row r="4" spans="1:37">
      <c r="A4" s="16" t="s">
        <v>196</v>
      </c>
      <c r="B4" s="26" t="s">
        <v>192</v>
      </c>
      <c r="C4" s="23" t="s">
        <v>22</v>
      </c>
      <c r="D4" s="17" t="s">
        <v>23</v>
      </c>
      <c r="E4" s="17" t="s">
        <v>23</v>
      </c>
      <c r="F4" s="17" t="s">
        <v>193</v>
      </c>
      <c r="G4" s="17" t="s">
        <v>193</v>
      </c>
      <c r="H4" s="21" t="s">
        <v>200</v>
      </c>
      <c r="I4" s="18">
        <v>40527</v>
      </c>
      <c r="J4" s="18">
        <v>40589</v>
      </c>
      <c r="K4" s="17" t="s">
        <v>23</v>
      </c>
      <c r="L4" s="26" t="s">
        <v>23</v>
      </c>
      <c r="M4" s="23" t="s">
        <v>201</v>
      </c>
      <c r="N4" s="31">
        <v>40464</v>
      </c>
      <c r="O4" s="5" t="s">
        <v>55</v>
      </c>
      <c r="P4" s="41" t="s">
        <v>103</v>
      </c>
      <c r="Q4" s="41">
        <f t="shared" si="0"/>
        <v>2</v>
      </c>
      <c r="R4" s="87">
        <f t="shared" si="1"/>
        <v>0.16666666666666666</v>
      </c>
      <c r="S4" s="57"/>
      <c r="T4" s="38"/>
    </row>
    <row r="5" spans="1:37">
      <c r="A5" s="16" t="s">
        <v>196</v>
      </c>
      <c r="B5" s="26" t="s">
        <v>192</v>
      </c>
      <c r="C5" s="23" t="s">
        <v>22</v>
      </c>
      <c r="D5" s="17" t="s">
        <v>23</v>
      </c>
      <c r="E5" s="17" t="s">
        <v>23</v>
      </c>
      <c r="F5" s="17" t="s">
        <v>193</v>
      </c>
      <c r="G5" s="17" t="s">
        <v>193</v>
      </c>
      <c r="H5" s="21" t="s">
        <v>202</v>
      </c>
      <c r="I5" s="18">
        <v>40527</v>
      </c>
      <c r="J5" s="18">
        <v>40589</v>
      </c>
      <c r="K5" s="17" t="s">
        <v>23</v>
      </c>
      <c r="L5" s="26" t="s">
        <v>23</v>
      </c>
      <c r="M5" s="23" t="s">
        <v>201</v>
      </c>
      <c r="N5" s="31">
        <v>40464</v>
      </c>
      <c r="O5" s="5" t="s">
        <v>55</v>
      </c>
      <c r="P5" s="41" t="s">
        <v>103</v>
      </c>
      <c r="Q5" s="41">
        <f t="shared" si="0"/>
        <v>2</v>
      </c>
      <c r="R5" s="87">
        <f t="shared" si="1"/>
        <v>0.16666666666666666</v>
      </c>
      <c r="S5" s="57"/>
      <c r="T5" s="38"/>
    </row>
    <row r="6" spans="1:37">
      <c r="A6" s="16" t="s">
        <v>203</v>
      </c>
      <c r="B6" s="26" t="s">
        <v>192</v>
      </c>
      <c r="C6" s="23" t="s">
        <v>204</v>
      </c>
      <c r="D6" s="17" t="s">
        <v>205</v>
      </c>
      <c r="E6" s="17" t="s">
        <v>23</v>
      </c>
      <c r="F6" s="17" t="s">
        <v>193</v>
      </c>
      <c r="G6" s="17" t="s">
        <v>193</v>
      </c>
      <c r="H6" s="21" t="s">
        <v>206</v>
      </c>
      <c r="I6" s="18">
        <v>42643</v>
      </c>
      <c r="J6" s="18">
        <v>42674</v>
      </c>
      <c r="K6" s="17" t="s">
        <v>23</v>
      </c>
      <c r="L6" s="26" t="s">
        <v>23</v>
      </c>
      <c r="M6" s="24" t="s">
        <v>195</v>
      </c>
      <c r="N6" s="31">
        <v>42590</v>
      </c>
      <c r="O6" s="5" t="s">
        <v>73</v>
      </c>
      <c r="P6" s="5" t="s">
        <v>74</v>
      </c>
      <c r="Q6" s="41">
        <f t="shared" si="0"/>
        <v>1</v>
      </c>
      <c r="R6" s="87">
        <f t="shared" si="1"/>
        <v>8.3333333333333329E-2</v>
      </c>
      <c r="S6" s="57"/>
      <c r="T6" s="38"/>
      <c r="U6" s="36" t="s">
        <v>14</v>
      </c>
      <c r="V6" s="34"/>
      <c r="X6" s="46" t="s">
        <v>43</v>
      </c>
      <c r="Y6" s="55" t="s">
        <v>44</v>
      </c>
      <c r="Z6" s="46" t="s">
        <v>45</v>
      </c>
      <c r="AI6" s="46" t="s">
        <v>18</v>
      </c>
      <c r="AJ6" s="55" t="s">
        <v>44</v>
      </c>
      <c r="AK6" s="46" t="s">
        <v>45</v>
      </c>
    </row>
    <row r="7" spans="1:37" ht="28.8">
      <c r="A7" s="16" t="s">
        <v>196</v>
      </c>
      <c r="B7" s="26" t="s">
        <v>192</v>
      </c>
      <c r="C7" s="23" t="s">
        <v>193</v>
      </c>
      <c r="D7" s="17" t="s">
        <v>23</v>
      </c>
      <c r="E7" s="17" t="s">
        <v>23</v>
      </c>
      <c r="F7" s="17" t="s">
        <v>193</v>
      </c>
      <c r="G7" s="17" t="s">
        <v>193</v>
      </c>
      <c r="H7" s="21" t="s">
        <v>207</v>
      </c>
      <c r="I7" s="18">
        <v>42855</v>
      </c>
      <c r="J7" s="18">
        <v>42916</v>
      </c>
      <c r="K7" s="17" t="s">
        <v>23</v>
      </c>
      <c r="L7" s="26" t="s">
        <v>23</v>
      </c>
      <c r="M7" s="24" t="s">
        <v>195</v>
      </c>
      <c r="N7" s="31">
        <v>42656</v>
      </c>
      <c r="O7" s="5" t="s">
        <v>73</v>
      </c>
      <c r="P7" s="5" t="s">
        <v>74</v>
      </c>
      <c r="Q7" s="41">
        <f t="shared" si="0"/>
        <v>6</v>
      </c>
      <c r="R7" s="87">
        <f t="shared" si="1"/>
        <v>0.5</v>
      </c>
      <c r="S7" s="57"/>
      <c r="T7" s="38"/>
      <c r="U7" s="33" t="s">
        <v>540</v>
      </c>
      <c r="V7" s="1">
        <f t="shared" ref="V7:V13" si="2">COUNTIF($O$2:$O$83,U7)</f>
        <v>2</v>
      </c>
      <c r="X7" s="49" t="s">
        <v>50</v>
      </c>
      <c r="Y7" s="51">
        <f>COUNTIF($Q$2:$Q$83,"&lt;4")</f>
        <v>18</v>
      </c>
      <c r="Z7" s="24">
        <f>Y7</f>
        <v>18</v>
      </c>
      <c r="AI7" s="49" t="s">
        <v>51</v>
      </c>
      <c r="AJ7" s="51">
        <f>COUNTIF($S$2:$S$64,"&lt;21")</f>
        <v>0</v>
      </c>
      <c r="AK7" s="24">
        <f>AJ7</f>
        <v>0</v>
      </c>
    </row>
    <row r="8" spans="1:37">
      <c r="A8" s="16" t="s">
        <v>203</v>
      </c>
      <c r="B8" s="26" t="s">
        <v>192</v>
      </c>
      <c r="C8" s="23" t="s">
        <v>208</v>
      </c>
      <c r="D8" s="17" t="s">
        <v>23</v>
      </c>
      <c r="E8" s="17" t="s">
        <v>23</v>
      </c>
      <c r="F8" s="17" t="s">
        <v>193</v>
      </c>
      <c r="G8" s="17" t="s">
        <v>193</v>
      </c>
      <c r="H8" s="21" t="s">
        <v>209</v>
      </c>
      <c r="I8" s="18">
        <v>40574</v>
      </c>
      <c r="J8" s="18">
        <v>40633</v>
      </c>
      <c r="K8" s="17" t="s">
        <v>23</v>
      </c>
      <c r="L8" s="26" t="s">
        <v>23</v>
      </c>
      <c r="M8" s="23" t="s">
        <v>210</v>
      </c>
      <c r="N8" s="31">
        <v>40448</v>
      </c>
      <c r="O8" s="5" t="s">
        <v>73</v>
      </c>
      <c r="P8" s="5" t="s">
        <v>74</v>
      </c>
      <c r="Q8" s="41">
        <f t="shared" si="0"/>
        <v>4</v>
      </c>
      <c r="R8" s="87">
        <f t="shared" si="1"/>
        <v>0.33333333333333331</v>
      </c>
      <c r="S8" s="57"/>
      <c r="T8" s="38"/>
      <c r="U8" s="5" t="s">
        <v>55</v>
      </c>
      <c r="V8" s="1">
        <f t="shared" si="2"/>
        <v>10</v>
      </c>
      <c r="X8" s="41" t="s">
        <v>56</v>
      </c>
      <c r="Y8" s="51">
        <f>COUNTIF($Q$2:$Q$83,"&lt;7")</f>
        <v>66</v>
      </c>
      <c r="Z8" s="24">
        <f>Y8-Y7</f>
        <v>48</v>
      </c>
      <c r="AI8" s="41" t="s">
        <v>57</v>
      </c>
      <c r="AJ8" s="51">
        <f>COUNTIF($S$2:$S$64,"&lt;41")</f>
        <v>0</v>
      </c>
      <c r="AK8" s="24">
        <f>AJ8-AJ7</f>
        <v>0</v>
      </c>
    </row>
    <row r="9" spans="1:37">
      <c r="A9" s="16" t="s">
        <v>196</v>
      </c>
      <c r="B9" s="26" t="s">
        <v>192</v>
      </c>
      <c r="C9" s="23" t="s">
        <v>211</v>
      </c>
      <c r="D9" s="17" t="s">
        <v>23</v>
      </c>
      <c r="E9" s="17" t="s">
        <v>23</v>
      </c>
      <c r="F9" s="17" t="s">
        <v>193</v>
      </c>
      <c r="G9" s="17" t="s">
        <v>193</v>
      </c>
      <c r="H9" s="21" t="s">
        <v>212</v>
      </c>
      <c r="I9" s="18">
        <v>40178</v>
      </c>
      <c r="J9" s="18">
        <v>40268</v>
      </c>
      <c r="K9" s="17" t="s">
        <v>23</v>
      </c>
      <c r="L9" s="26" t="s">
        <v>23</v>
      </c>
      <c r="M9" s="23" t="s">
        <v>213</v>
      </c>
      <c r="N9" s="31">
        <v>40128</v>
      </c>
      <c r="O9" s="5" t="s">
        <v>27</v>
      </c>
      <c r="P9" s="5" t="s">
        <v>28</v>
      </c>
      <c r="Q9" s="41">
        <f t="shared" si="0"/>
        <v>1</v>
      </c>
      <c r="R9" s="87">
        <f t="shared" si="1"/>
        <v>8.3333333333333329E-2</v>
      </c>
      <c r="S9" s="57"/>
      <c r="T9" s="38"/>
      <c r="U9" s="5" t="s">
        <v>60</v>
      </c>
      <c r="V9" s="1">
        <f t="shared" si="2"/>
        <v>0</v>
      </c>
      <c r="X9" s="41" t="s">
        <v>61</v>
      </c>
      <c r="Y9" s="51">
        <f>COUNTIF($Q$2:$Q$83,"&lt;10")</f>
        <v>72</v>
      </c>
      <c r="Z9" s="24">
        <f>Y9-Y8</f>
        <v>6</v>
      </c>
      <c r="AI9" s="41" t="s">
        <v>62</v>
      </c>
      <c r="AJ9" s="51">
        <f>COUNTIF($S$2:$S$64,"&lt;61")</f>
        <v>1</v>
      </c>
      <c r="AK9" s="24">
        <f>AJ9-AJ8</f>
        <v>1</v>
      </c>
    </row>
    <row r="10" spans="1:37">
      <c r="A10" s="16" t="s">
        <v>191</v>
      </c>
      <c r="B10" s="26" t="s">
        <v>193</v>
      </c>
      <c r="C10" s="23" t="s">
        <v>214</v>
      </c>
      <c r="D10" s="17" t="s">
        <v>23</v>
      </c>
      <c r="E10" s="17" t="s">
        <v>23</v>
      </c>
      <c r="F10" s="17" t="s">
        <v>193</v>
      </c>
      <c r="G10" s="17" t="s">
        <v>193</v>
      </c>
      <c r="H10" s="21" t="s">
        <v>215</v>
      </c>
      <c r="I10" s="18">
        <v>40663</v>
      </c>
      <c r="J10" s="18">
        <v>40724</v>
      </c>
      <c r="K10" s="17" t="s">
        <v>23</v>
      </c>
      <c r="L10" s="26" t="s">
        <v>23</v>
      </c>
      <c r="M10" s="23" t="s">
        <v>216</v>
      </c>
      <c r="N10" s="31">
        <v>40483</v>
      </c>
      <c r="O10" s="5" t="s">
        <v>73</v>
      </c>
      <c r="P10" s="5" t="s">
        <v>74</v>
      </c>
      <c r="Q10" s="41">
        <f t="shared" si="0"/>
        <v>5</v>
      </c>
      <c r="R10" s="87">
        <f t="shared" si="1"/>
        <v>0.41666666666666669</v>
      </c>
      <c r="S10" s="57"/>
      <c r="T10" s="38"/>
      <c r="U10" s="5" t="s">
        <v>36</v>
      </c>
      <c r="V10" s="1">
        <f t="shared" si="2"/>
        <v>4</v>
      </c>
      <c r="X10" s="41" t="s">
        <v>67</v>
      </c>
      <c r="Y10" s="41">
        <f>COUNTIF($Q$2:$Q$83,"&lt;13")</f>
        <v>73</v>
      </c>
      <c r="Z10" s="24">
        <f>Y10-Y9</f>
        <v>1</v>
      </c>
      <c r="AI10" s="50" t="s">
        <v>68</v>
      </c>
      <c r="AJ10" s="50">
        <f>COUNTIF($S$2:$S$64,"&lt;81")</f>
        <v>1</v>
      </c>
      <c r="AK10" s="47">
        <f>AJ10-AJ9</f>
        <v>0</v>
      </c>
    </row>
    <row r="11" spans="1:37">
      <c r="A11" s="16" t="s">
        <v>191</v>
      </c>
      <c r="B11" s="26" t="s">
        <v>193</v>
      </c>
      <c r="C11" s="23" t="s">
        <v>217</v>
      </c>
      <c r="D11" s="17" t="s">
        <v>23</v>
      </c>
      <c r="E11" s="17" t="s">
        <v>23</v>
      </c>
      <c r="F11" s="17" t="s">
        <v>193</v>
      </c>
      <c r="G11" s="17" t="s">
        <v>193</v>
      </c>
      <c r="H11" s="21" t="s">
        <v>218</v>
      </c>
      <c r="I11" s="18">
        <v>40321</v>
      </c>
      <c r="J11" s="18">
        <v>40505</v>
      </c>
      <c r="K11" s="17" t="s">
        <v>219</v>
      </c>
      <c r="L11" s="26" t="s">
        <v>23</v>
      </c>
      <c r="M11" s="23" t="s">
        <v>220</v>
      </c>
      <c r="N11" s="31">
        <v>40140</v>
      </c>
      <c r="O11" s="5" t="s">
        <v>27</v>
      </c>
      <c r="P11" s="5" t="s">
        <v>28</v>
      </c>
      <c r="Q11" s="41">
        <f t="shared" si="0"/>
        <v>6</v>
      </c>
      <c r="R11" s="87">
        <f t="shared" si="1"/>
        <v>0.5</v>
      </c>
      <c r="S11" s="57"/>
      <c r="T11" s="38"/>
      <c r="U11" s="5" t="s">
        <v>75</v>
      </c>
      <c r="V11" s="1">
        <f t="shared" si="2"/>
        <v>6</v>
      </c>
      <c r="X11" s="47" t="s">
        <v>76</v>
      </c>
      <c r="Y11" s="52">
        <f>COUNTIF($Q$2:$Q$83,"&gt;12")</f>
        <v>2</v>
      </c>
      <c r="Z11" s="24">
        <f>Y11</f>
        <v>2</v>
      </c>
      <c r="AI11" s="24" t="s">
        <v>77</v>
      </c>
      <c r="AJ11" s="47">
        <f>COUNTIF($S$2:$S$64,"&lt;101")</f>
        <v>1</v>
      </c>
      <c r="AK11" s="24">
        <f>AJ11-AJ10</f>
        <v>0</v>
      </c>
    </row>
    <row r="12" spans="1:37">
      <c r="A12" s="16" t="s">
        <v>191</v>
      </c>
      <c r="B12" s="26" t="s">
        <v>193</v>
      </c>
      <c r="C12" s="23" t="s">
        <v>221</v>
      </c>
      <c r="D12" s="17" t="s">
        <v>23</v>
      </c>
      <c r="E12" s="17" t="s">
        <v>23</v>
      </c>
      <c r="F12" s="17" t="s">
        <v>193</v>
      </c>
      <c r="G12" s="17" t="s">
        <v>193</v>
      </c>
      <c r="H12" s="21" t="s">
        <v>222</v>
      </c>
      <c r="I12" s="18">
        <v>40359</v>
      </c>
      <c r="J12" s="18">
        <v>40451</v>
      </c>
      <c r="K12" s="17" t="s">
        <v>23</v>
      </c>
      <c r="L12" s="26" t="s">
        <v>23</v>
      </c>
      <c r="M12" s="23" t="s">
        <v>223</v>
      </c>
      <c r="N12" s="31">
        <v>40143</v>
      </c>
      <c r="O12" s="5" t="s">
        <v>73</v>
      </c>
      <c r="P12" s="5" t="s">
        <v>74</v>
      </c>
      <c r="Q12" s="41">
        <f t="shared" si="0"/>
        <v>7</v>
      </c>
      <c r="R12" s="87">
        <f t="shared" si="1"/>
        <v>0.58333333333333337</v>
      </c>
      <c r="S12" s="57"/>
      <c r="T12" s="38"/>
      <c r="U12" s="5" t="s">
        <v>27</v>
      </c>
      <c r="V12" s="1">
        <f t="shared" si="2"/>
        <v>6</v>
      </c>
      <c r="X12" s="35" t="s">
        <v>80</v>
      </c>
      <c r="Y12" s="53"/>
      <c r="Z12" s="54">
        <f>SUM(Z7:Z11)</f>
        <v>75</v>
      </c>
      <c r="AI12" s="41" t="s">
        <v>81</v>
      </c>
      <c r="AJ12" s="48">
        <f>COUNTIF($S$2:$S$64,"&lt;121")</f>
        <v>1</v>
      </c>
      <c r="AK12" s="81">
        <f>AJ12-AJ11</f>
        <v>0</v>
      </c>
    </row>
    <row r="13" spans="1:37">
      <c r="A13" s="16" t="s">
        <v>191</v>
      </c>
      <c r="B13" s="26" t="s">
        <v>193</v>
      </c>
      <c r="C13" s="23" t="s">
        <v>22</v>
      </c>
      <c r="D13" s="17" t="s">
        <v>23</v>
      </c>
      <c r="E13" s="17" t="s">
        <v>23</v>
      </c>
      <c r="F13" s="17" t="s">
        <v>193</v>
      </c>
      <c r="G13" s="17" t="s">
        <v>193</v>
      </c>
      <c r="H13" s="21" t="s">
        <v>224</v>
      </c>
      <c r="I13" s="18">
        <v>40359</v>
      </c>
      <c r="J13" s="18">
        <v>40451</v>
      </c>
      <c r="K13" s="17" t="s">
        <v>23</v>
      </c>
      <c r="L13" s="26" t="s">
        <v>23</v>
      </c>
      <c r="M13" s="23" t="s">
        <v>225</v>
      </c>
      <c r="N13" s="31">
        <v>40162</v>
      </c>
      <c r="O13" s="5" t="s">
        <v>73</v>
      </c>
      <c r="P13" s="5" t="s">
        <v>74</v>
      </c>
      <c r="Q13" s="41">
        <f t="shared" si="0"/>
        <v>6</v>
      </c>
      <c r="R13" s="87">
        <f t="shared" si="1"/>
        <v>0.5</v>
      </c>
      <c r="S13" s="57"/>
      <c r="T13" s="38"/>
      <c r="U13" s="5" t="s">
        <v>73</v>
      </c>
      <c r="V13" s="1">
        <f t="shared" si="2"/>
        <v>54</v>
      </c>
      <c r="AI13" s="41" t="s">
        <v>84</v>
      </c>
      <c r="AJ13" s="48">
        <f>COUNTIF($Q$2:$Q$64,"&gt;120")</f>
        <v>0</v>
      </c>
      <c r="AK13" s="81">
        <f>AJ13</f>
        <v>0</v>
      </c>
    </row>
    <row r="14" spans="1:37" ht="28.8">
      <c r="A14" s="16" t="s">
        <v>191</v>
      </c>
      <c r="B14" s="26" t="s">
        <v>193</v>
      </c>
      <c r="C14" s="23" t="s">
        <v>22</v>
      </c>
      <c r="D14" s="17" t="s">
        <v>23</v>
      </c>
      <c r="E14" s="17" t="s">
        <v>23</v>
      </c>
      <c r="F14" s="17" t="s">
        <v>193</v>
      </c>
      <c r="G14" s="17" t="s">
        <v>193</v>
      </c>
      <c r="H14" s="21" t="s">
        <v>226</v>
      </c>
      <c r="I14" s="18">
        <v>41495</v>
      </c>
      <c r="J14" s="18">
        <v>41578</v>
      </c>
      <c r="K14" s="17" t="s">
        <v>22</v>
      </c>
      <c r="L14" s="26" t="s">
        <v>23</v>
      </c>
      <c r="M14" s="23" t="s">
        <v>227</v>
      </c>
      <c r="N14" s="31">
        <v>41305</v>
      </c>
      <c r="O14" s="5" t="s">
        <v>540</v>
      </c>
      <c r="P14" s="5" t="s">
        <v>0</v>
      </c>
      <c r="Q14" s="41">
        <f t="shared" si="0"/>
        <v>6</v>
      </c>
      <c r="R14" s="87">
        <f t="shared" si="1"/>
        <v>0.5</v>
      </c>
      <c r="S14" s="57"/>
      <c r="T14" s="38"/>
      <c r="U14" s="36" t="s">
        <v>80</v>
      </c>
      <c r="V14" s="39">
        <f>SUM(V7:V13)</f>
        <v>82</v>
      </c>
      <c r="AI14" s="83" t="s">
        <v>80</v>
      </c>
      <c r="AJ14" s="84"/>
      <c r="AK14" s="85">
        <f>SUM(AK7:AK13)</f>
        <v>1</v>
      </c>
    </row>
    <row r="15" spans="1:37">
      <c r="A15" s="16" t="s">
        <v>191</v>
      </c>
      <c r="B15" s="26" t="s">
        <v>193</v>
      </c>
      <c r="C15" s="23" t="s">
        <v>22</v>
      </c>
      <c r="D15" s="17" t="s">
        <v>23</v>
      </c>
      <c r="E15" s="17" t="s">
        <v>23</v>
      </c>
      <c r="F15" s="17" t="s">
        <v>193</v>
      </c>
      <c r="G15" s="17" t="s">
        <v>193</v>
      </c>
      <c r="H15" s="21" t="s">
        <v>228</v>
      </c>
      <c r="I15" s="18">
        <v>41796</v>
      </c>
      <c r="J15" s="18">
        <v>41850</v>
      </c>
      <c r="K15" s="17" t="s">
        <v>23</v>
      </c>
      <c r="L15" s="26" t="s">
        <v>23</v>
      </c>
      <c r="M15" s="23" t="s">
        <v>229</v>
      </c>
      <c r="N15" s="31">
        <v>41782</v>
      </c>
      <c r="O15" s="5" t="s">
        <v>75</v>
      </c>
      <c r="P15" s="5" t="s">
        <v>103</v>
      </c>
      <c r="Q15" s="41">
        <f t="shared" si="0"/>
        <v>0</v>
      </c>
      <c r="R15" s="87">
        <f t="shared" si="1"/>
        <v>0</v>
      </c>
      <c r="S15" s="57"/>
      <c r="T15" s="38"/>
    </row>
    <row r="16" spans="1:37">
      <c r="A16" s="16" t="s">
        <v>191</v>
      </c>
      <c r="B16" s="26" t="s">
        <v>193</v>
      </c>
      <c r="C16" s="23" t="s">
        <v>22</v>
      </c>
      <c r="D16" s="17" t="s">
        <v>23</v>
      </c>
      <c r="E16" s="17" t="s">
        <v>23</v>
      </c>
      <c r="F16" s="17" t="s">
        <v>193</v>
      </c>
      <c r="G16" s="17" t="s">
        <v>193</v>
      </c>
      <c r="H16" s="21" t="s">
        <v>230</v>
      </c>
      <c r="I16" s="18">
        <v>42706</v>
      </c>
      <c r="J16" s="18">
        <v>42888</v>
      </c>
      <c r="K16" s="17" t="s">
        <v>23</v>
      </c>
      <c r="L16" s="26" t="s">
        <v>23</v>
      </c>
      <c r="M16" s="23" t="s">
        <v>231</v>
      </c>
      <c r="N16" s="31">
        <v>42523</v>
      </c>
      <c r="O16" s="5" t="s">
        <v>73</v>
      </c>
      <c r="P16" s="5" t="s">
        <v>74</v>
      </c>
      <c r="Q16" s="41">
        <f t="shared" si="0"/>
        <v>6</v>
      </c>
      <c r="R16" s="87">
        <f t="shared" si="1"/>
        <v>0.5</v>
      </c>
      <c r="S16" s="57"/>
      <c r="T16" s="38"/>
      <c r="U16" s="36" t="s">
        <v>14</v>
      </c>
      <c r="V16" s="34"/>
      <c r="X16" s="46" t="s">
        <v>90</v>
      </c>
      <c r="Y16" s="55" t="s">
        <v>44</v>
      </c>
      <c r="Z16" s="46" t="s">
        <v>45</v>
      </c>
    </row>
    <row r="17" spans="1:26">
      <c r="A17" s="16" t="s">
        <v>191</v>
      </c>
      <c r="B17" s="26" t="s">
        <v>193</v>
      </c>
      <c r="C17" s="23" t="s">
        <v>22</v>
      </c>
      <c r="D17" s="17" t="s">
        <v>23</v>
      </c>
      <c r="E17" s="17" t="s">
        <v>23</v>
      </c>
      <c r="F17" s="17" t="s">
        <v>193</v>
      </c>
      <c r="G17" s="17" t="s">
        <v>193</v>
      </c>
      <c r="H17" s="21" t="s">
        <v>232</v>
      </c>
      <c r="I17" s="18">
        <v>42454</v>
      </c>
      <c r="J17" s="18">
        <v>42643</v>
      </c>
      <c r="K17" s="17" t="s">
        <v>23</v>
      </c>
      <c r="L17" s="26" t="s">
        <v>23</v>
      </c>
      <c r="M17" s="23" t="s">
        <v>233</v>
      </c>
      <c r="N17" s="31">
        <v>42286</v>
      </c>
      <c r="O17" s="5" t="s">
        <v>27</v>
      </c>
      <c r="P17" s="5" t="s">
        <v>28</v>
      </c>
      <c r="Q17" s="41">
        <f t="shared" si="0"/>
        <v>5</v>
      </c>
      <c r="R17" s="87">
        <f t="shared" si="1"/>
        <v>0.41666666666666669</v>
      </c>
      <c r="S17" s="57"/>
      <c r="T17" s="38"/>
      <c r="U17" s="5" t="s">
        <v>28</v>
      </c>
      <c r="V17" s="1">
        <f>COUNTIF($P$2:$P$83,U17)</f>
        <v>10</v>
      </c>
      <c r="X17" s="49" t="s">
        <v>94</v>
      </c>
      <c r="Y17" s="51">
        <f>COUNTIF($R$2:$R$83,"&lt;0,2")</f>
        <v>14</v>
      </c>
      <c r="Z17" s="24">
        <f>Y17</f>
        <v>14</v>
      </c>
    </row>
    <row r="18" spans="1:26">
      <c r="A18" s="16" t="s">
        <v>191</v>
      </c>
      <c r="B18" s="26" t="s">
        <v>193</v>
      </c>
      <c r="C18" s="23" t="s">
        <v>22</v>
      </c>
      <c r="D18" s="17" t="s">
        <v>23</v>
      </c>
      <c r="E18" s="17" t="s">
        <v>23</v>
      </c>
      <c r="F18" s="17" t="s">
        <v>193</v>
      </c>
      <c r="G18" s="17" t="s">
        <v>193</v>
      </c>
      <c r="H18" s="21" t="s">
        <v>234</v>
      </c>
      <c r="I18" s="18">
        <v>42692</v>
      </c>
      <c r="J18" s="18">
        <v>42727</v>
      </c>
      <c r="K18" s="17" t="s">
        <v>23</v>
      </c>
      <c r="L18" s="26" t="s">
        <v>23</v>
      </c>
      <c r="M18" s="23" t="s">
        <v>235</v>
      </c>
      <c r="N18" s="31">
        <v>42636</v>
      </c>
      <c r="O18" s="5" t="s">
        <v>73</v>
      </c>
      <c r="P18" s="5" t="s">
        <v>74</v>
      </c>
      <c r="Q18" s="41">
        <f t="shared" si="0"/>
        <v>1</v>
      </c>
      <c r="R18" s="87">
        <f t="shared" si="1"/>
        <v>8.3333333333333329E-2</v>
      </c>
      <c r="S18" s="57"/>
      <c r="T18" s="38"/>
      <c r="U18" s="5" t="s">
        <v>74</v>
      </c>
      <c r="V18" s="1">
        <f>COUNTIF($P$2:$P$83,U18)</f>
        <v>54</v>
      </c>
      <c r="X18" s="41" t="s">
        <v>97</v>
      </c>
      <c r="Y18" s="51">
        <f>COUNTIF($R$2:$R$83,"&lt;0,4")</f>
        <v>23</v>
      </c>
      <c r="Z18" s="24">
        <f t="shared" ref="Z18:Z23" si="3">Y18-Y17</f>
        <v>9</v>
      </c>
    </row>
    <row r="19" spans="1:26">
      <c r="A19" s="16" t="s">
        <v>191</v>
      </c>
      <c r="B19" s="26" t="s">
        <v>193</v>
      </c>
      <c r="C19" s="23" t="s">
        <v>236</v>
      </c>
      <c r="D19" s="17" t="s">
        <v>23</v>
      </c>
      <c r="E19" s="17" t="s">
        <v>23</v>
      </c>
      <c r="F19" s="17" t="s">
        <v>193</v>
      </c>
      <c r="G19" s="17" t="s">
        <v>193</v>
      </c>
      <c r="H19" s="21" t="s">
        <v>237</v>
      </c>
      <c r="I19" s="18">
        <v>42419</v>
      </c>
      <c r="J19" s="18">
        <v>42601</v>
      </c>
      <c r="K19" s="17" t="s">
        <v>23</v>
      </c>
      <c r="L19" s="26" t="s">
        <v>23</v>
      </c>
      <c r="M19" s="23" t="s">
        <v>238</v>
      </c>
      <c r="N19" s="31">
        <v>42275</v>
      </c>
      <c r="O19" s="5" t="s">
        <v>55</v>
      </c>
      <c r="P19" s="5" t="s">
        <v>103</v>
      </c>
      <c r="Q19" s="41">
        <f t="shared" si="0"/>
        <v>4</v>
      </c>
      <c r="R19" s="87">
        <f t="shared" si="1"/>
        <v>0.33333333333333331</v>
      </c>
      <c r="S19" s="57"/>
      <c r="T19" s="38"/>
      <c r="U19" s="5" t="s">
        <v>103</v>
      </c>
      <c r="V19" s="1">
        <f>COUNTIF($P$2:$P$83,U19)</f>
        <v>16</v>
      </c>
      <c r="X19" s="41" t="s">
        <v>100</v>
      </c>
      <c r="Y19" s="51">
        <f>COUNTIF($R$2:$R$83,"&lt;0,6")</f>
        <v>72</v>
      </c>
      <c r="Z19" s="24">
        <f t="shared" si="3"/>
        <v>49</v>
      </c>
    </row>
    <row r="20" spans="1:26">
      <c r="A20" s="16" t="s">
        <v>191</v>
      </c>
      <c r="B20" s="26" t="s">
        <v>193</v>
      </c>
      <c r="C20" s="23" t="s">
        <v>22</v>
      </c>
      <c r="D20" s="17" t="s">
        <v>23</v>
      </c>
      <c r="E20" s="17" t="s">
        <v>23</v>
      </c>
      <c r="F20" s="17" t="s">
        <v>193</v>
      </c>
      <c r="G20" s="17" t="s">
        <v>193</v>
      </c>
      <c r="H20" s="21" t="s">
        <v>239</v>
      </c>
      <c r="I20" s="17" t="s">
        <v>23</v>
      </c>
      <c r="J20" s="17" t="s">
        <v>23</v>
      </c>
      <c r="K20" s="17" t="s">
        <v>23</v>
      </c>
      <c r="L20" s="26" t="s">
        <v>23</v>
      </c>
      <c r="M20" s="23" t="s">
        <v>240</v>
      </c>
      <c r="N20" s="31">
        <v>42684</v>
      </c>
      <c r="O20" s="5" t="s">
        <v>36</v>
      </c>
      <c r="P20" s="5" t="s">
        <v>28</v>
      </c>
      <c r="Q20" s="41"/>
      <c r="R20" s="87"/>
      <c r="S20" s="57"/>
      <c r="T20" s="38"/>
      <c r="U20" s="5" t="s">
        <v>0</v>
      </c>
      <c r="V20" s="1">
        <f>COUNTIF($P$2:$P$83,U20)</f>
        <v>2</v>
      </c>
      <c r="X20" s="41" t="s">
        <v>104</v>
      </c>
      <c r="Y20" s="51">
        <f>COUNTIF($R$2:$R$83,"&lt;0,8")</f>
        <v>72</v>
      </c>
      <c r="Z20" s="24">
        <f t="shared" si="3"/>
        <v>0</v>
      </c>
    </row>
    <row r="21" spans="1:26">
      <c r="A21" s="16" t="s">
        <v>191</v>
      </c>
      <c r="B21" s="26" t="s">
        <v>193</v>
      </c>
      <c r="C21" s="23" t="s">
        <v>22</v>
      </c>
      <c r="D21" s="17" t="s">
        <v>23</v>
      </c>
      <c r="E21" s="17" t="s">
        <v>23</v>
      </c>
      <c r="F21" s="17" t="s">
        <v>193</v>
      </c>
      <c r="G21" s="17" t="s">
        <v>193</v>
      </c>
      <c r="H21" s="21" t="s">
        <v>241</v>
      </c>
      <c r="I21" s="18">
        <v>42255</v>
      </c>
      <c r="J21" s="17" t="s">
        <v>23</v>
      </c>
      <c r="K21" s="17" t="s">
        <v>23</v>
      </c>
      <c r="L21" s="26" t="s">
        <v>23</v>
      </c>
      <c r="M21" s="23" t="s">
        <v>242</v>
      </c>
      <c r="N21" s="31">
        <v>42255</v>
      </c>
      <c r="O21" s="5" t="s">
        <v>36</v>
      </c>
      <c r="P21" s="5" t="s">
        <v>28</v>
      </c>
      <c r="Q21" s="41">
        <f t="shared" ref="Q21:Q29" si="4">DATEDIF(N21,I21, "m")</f>
        <v>0</v>
      </c>
      <c r="R21" s="87">
        <f t="shared" si="1"/>
        <v>0</v>
      </c>
      <c r="S21" s="57"/>
      <c r="T21" s="38"/>
      <c r="U21" s="36" t="s">
        <v>80</v>
      </c>
      <c r="V21" s="39">
        <f>SUM(V17:V20)</f>
        <v>82</v>
      </c>
      <c r="X21" s="50" t="s">
        <v>243</v>
      </c>
      <c r="Y21" s="51">
        <f>COUNTIF($R$2:$R$83,"&lt;1,0")</f>
        <v>72</v>
      </c>
      <c r="Z21" s="24">
        <f t="shared" si="3"/>
        <v>0</v>
      </c>
    </row>
    <row r="22" spans="1:26">
      <c r="A22" s="16" t="s">
        <v>191</v>
      </c>
      <c r="B22" s="26" t="s">
        <v>193</v>
      </c>
      <c r="C22" s="23" t="s">
        <v>22</v>
      </c>
      <c r="D22" s="17" t="s">
        <v>23</v>
      </c>
      <c r="E22" s="17" t="s">
        <v>23</v>
      </c>
      <c r="F22" s="17" t="s">
        <v>193</v>
      </c>
      <c r="G22" s="17" t="s">
        <v>193</v>
      </c>
      <c r="H22" s="21" t="s">
        <v>244</v>
      </c>
      <c r="I22" s="18">
        <v>42465</v>
      </c>
      <c r="J22" s="18">
        <v>42648</v>
      </c>
      <c r="K22" s="17" t="s">
        <v>23</v>
      </c>
      <c r="L22" s="26" t="s">
        <v>23</v>
      </c>
      <c r="M22" s="23" t="s">
        <v>245</v>
      </c>
      <c r="N22" s="31">
        <v>42282</v>
      </c>
      <c r="O22" s="5" t="s">
        <v>73</v>
      </c>
      <c r="P22" s="5" t="s">
        <v>74</v>
      </c>
      <c r="Q22" s="41">
        <f t="shared" si="4"/>
        <v>6</v>
      </c>
      <c r="R22" s="87">
        <f t="shared" si="1"/>
        <v>0.5</v>
      </c>
      <c r="S22" s="57"/>
      <c r="T22" s="38"/>
      <c r="X22" s="50" t="s">
        <v>246</v>
      </c>
      <c r="Y22" s="51">
        <f>COUNTIF($R$2:$R$83,"&lt;1,2")</f>
        <v>74</v>
      </c>
      <c r="Z22" s="24">
        <f t="shared" si="3"/>
        <v>2</v>
      </c>
    </row>
    <row r="23" spans="1:26">
      <c r="A23" s="16" t="s">
        <v>191</v>
      </c>
      <c r="B23" s="26" t="s">
        <v>193</v>
      </c>
      <c r="C23" s="23" t="s">
        <v>22</v>
      </c>
      <c r="D23" s="17" t="s">
        <v>23</v>
      </c>
      <c r="E23" s="17" t="s">
        <v>23</v>
      </c>
      <c r="F23" s="17" t="s">
        <v>193</v>
      </c>
      <c r="G23" s="17" t="s">
        <v>193</v>
      </c>
      <c r="H23" s="21" t="s">
        <v>247</v>
      </c>
      <c r="I23" s="18">
        <v>42944</v>
      </c>
      <c r="J23" s="18">
        <v>43133</v>
      </c>
      <c r="K23" s="17" t="s">
        <v>22</v>
      </c>
      <c r="L23" s="26" t="s">
        <v>23</v>
      </c>
      <c r="M23" s="23" t="s">
        <v>248</v>
      </c>
      <c r="N23" s="31">
        <v>42396</v>
      </c>
      <c r="O23" s="5" t="s">
        <v>27</v>
      </c>
      <c r="P23" s="5" t="s">
        <v>28</v>
      </c>
      <c r="Q23" s="41">
        <f t="shared" si="4"/>
        <v>18</v>
      </c>
      <c r="R23" s="87">
        <f t="shared" si="1"/>
        <v>1.5</v>
      </c>
      <c r="S23" s="57"/>
      <c r="T23" s="38"/>
      <c r="X23" s="50" t="s">
        <v>249</v>
      </c>
      <c r="Y23" s="51">
        <f>COUNTIF($R$2:$R$83,"&lt;1,4")</f>
        <v>74</v>
      </c>
      <c r="Z23" s="24">
        <f t="shared" si="3"/>
        <v>0</v>
      </c>
    </row>
    <row r="24" spans="1:26">
      <c r="A24" s="16" t="s">
        <v>191</v>
      </c>
      <c r="B24" s="26" t="s">
        <v>193</v>
      </c>
      <c r="C24" s="23" t="s">
        <v>22</v>
      </c>
      <c r="D24" s="17" t="s">
        <v>23</v>
      </c>
      <c r="E24" s="17" t="s">
        <v>23</v>
      </c>
      <c r="F24" s="17" t="s">
        <v>193</v>
      </c>
      <c r="G24" s="17" t="s">
        <v>193</v>
      </c>
      <c r="H24" s="21" t="s">
        <v>250</v>
      </c>
      <c r="I24" s="18">
        <v>42454</v>
      </c>
      <c r="J24" s="18">
        <v>42643</v>
      </c>
      <c r="K24" s="17" t="s">
        <v>22</v>
      </c>
      <c r="L24" s="26" t="s">
        <v>23</v>
      </c>
      <c r="M24" s="23" t="s">
        <v>251</v>
      </c>
      <c r="N24" s="31">
        <v>42286</v>
      </c>
      <c r="O24" s="5" t="s">
        <v>73</v>
      </c>
      <c r="P24" s="5" t="s">
        <v>74</v>
      </c>
      <c r="Q24" s="41">
        <f t="shared" si="4"/>
        <v>5</v>
      </c>
      <c r="R24" s="87">
        <f t="shared" si="1"/>
        <v>0.41666666666666669</v>
      </c>
      <c r="S24" s="57"/>
      <c r="T24" s="38"/>
      <c r="X24" s="47" t="s">
        <v>252</v>
      </c>
      <c r="Y24" s="51">
        <f>COUNTIF($R$2:$R$83,"&gt;1,3")</f>
        <v>1</v>
      </c>
      <c r="Z24" s="24">
        <f>Y24</f>
        <v>1</v>
      </c>
    </row>
    <row r="25" spans="1:26">
      <c r="A25" s="16" t="s">
        <v>191</v>
      </c>
      <c r="B25" s="26" t="s">
        <v>193</v>
      </c>
      <c r="C25" s="23" t="s">
        <v>22</v>
      </c>
      <c r="D25" s="17" t="s">
        <v>23</v>
      </c>
      <c r="E25" s="17" t="s">
        <v>23</v>
      </c>
      <c r="F25" s="17" t="s">
        <v>193</v>
      </c>
      <c r="G25" s="17" t="s">
        <v>193</v>
      </c>
      <c r="H25" s="21" t="s">
        <v>253</v>
      </c>
      <c r="I25" s="18">
        <v>42461</v>
      </c>
      <c r="J25" s="18">
        <v>42650</v>
      </c>
      <c r="K25" s="17" t="s">
        <v>23</v>
      </c>
      <c r="L25" s="26" t="s">
        <v>23</v>
      </c>
      <c r="M25" s="23" t="s">
        <v>254</v>
      </c>
      <c r="N25" s="31">
        <v>42300</v>
      </c>
      <c r="O25" s="5" t="s">
        <v>27</v>
      </c>
      <c r="P25" s="5" t="s">
        <v>28</v>
      </c>
      <c r="Q25" s="41">
        <f t="shared" si="4"/>
        <v>5</v>
      </c>
      <c r="R25" s="87">
        <f t="shared" si="1"/>
        <v>0.41666666666666669</v>
      </c>
      <c r="S25" s="57"/>
      <c r="T25" s="38"/>
      <c r="X25" s="35" t="s">
        <v>80</v>
      </c>
      <c r="Y25" s="53"/>
      <c r="Z25" s="54">
        <f>SUM(Z17:Z24)</f>
        <v>75</v>
      </c>
    </row>
    <row r="26" spans="1:26">
      <c r="A26" s="16" t="s">
        <v>191</v>
      </c>
      <c r="B26" s="26" t="s">
        <v>193</v>
      </c>
      <c r="C26" s="23" t="s">
        <v>22</v>
      </c>
      <c r="D26" s="17" t="s">
        <v>23</v>
      </c>
      <c r="E26" s="17" t="s">
        <v>23</v>
      </c>
      <c r="F26" s="17" t="s">
        <v>193</v>
      </c>
      <c r="G26" s="17" t="s">
        <v>193</v>
      </c>
      <c r="H26" s="21" t="s">
        <v>255</v>
      </c>
      <c r="I26" s="18">
        <v>42489</v>
      </c>
      <c r="J26" s="18">
        <v>42671</v>
      </c>
      <c r="K26" s="17" t="s">
        <v>23</v>
      </c>
      <c r="L26" s="26" t="s">
        <v>23</v>
      </c>
      <c r="M26" s="23" t="s">
        <v>256</v>
      </c>
      <c r="N26" s="31">
        <v>42307</v>
      </c>
      <c r="O26" s="5" t="s">
        <v>73</v>
      </c>
      <c r="P26" s="5" t="s">
        <v>74</v>
      </c>
      <c r="Q26" s="41">
        <f t="shared" si="4"/>
        <v>5</v>
      </c>
      <c r="R26" s="87">
        <f t="shared" si="1"/>
        <v>0.41666666666666669</v>
      </c>
      <c r="S26" s="57"/>
      <c r="T26" s="38"/>
    </row>
    <row r="27" spans="1:26">
      <c r="A27" s="16" t="s">
        <v>257</v>
      </c>
      <c r="B27" s="26" t="s">
        <v>193</v>
      </c>
      <c r="C27" s="23" t="s">
        <v>22</v>
      </c>
      <c r="D27" s="17" t="s">
        <v>23</v>
      </c>
      <c r="E27" s="17" t="s">
        <v>23</v>
      </c>
      <c r="F27" s="17" t="s">
        <v>193</v>
      </c>
      <c r="G27" s="17" t="s">
        <v>193</v>
      </c>
      <c r="H27" s="21" t="s">
        <v>258</v>
      </c>
      <c r="I27" s="18">
        <v>42545</v>
      </c>
      <c r="J27" s="18">
        <v>42720</v>
      </c>
      <c r="K27" s="17" t="s">
        <v>22</v>
      </c>
      <c r="L27" s="26" t="s">
        <v>23</v>
      </c>
      <c r="M27" s="23" t="s">
        <v>259</v>
      </c>
      <c r="N27" s="31">
        <v>42359</v>
      </c>
      <c r="O27" s="5" t="s">
        <v>73</v>
      </c>
      <c r="P27" s="5" t="s">
        <v>74</v>
      </c>
      <c r="Q27" s="41">
        <f t="shared" si="4"/>
        <v>6</v>
      </c>
      <c r="R27" s="87">
        <f t="shared" si="1"/>
        <v>0.5</v>
      </c>
      <c r="S27" s="57"/>
      <c r="T27" s="38"/>
    </row>
    <row r="28" spans="1:26">
      <c r="A28" s="16" t="s">
        <v>191</v>
      </c>
      <c r="B28" s="26" t="s">
        <v>193</v>
      </c>
      <c r="C28" s="23" t="s">
        <v>22</v>
      </c>
      <c r="D28" s="17" t="s">
        <v>23</v>
      </c>
      <c r="E28" s="17" t="s">
        <v>23</v>
      </c>
      <c r="F28" s="17" t="s">
        <v>193</v>
      </c>
      <c r="G28" s="17" t="s">
        <v>193</v>
      </c>
      <c r="H28" s="21" t="s">
        <v>260</v>
      </c>
      <c r="I28" s="18">
        <v>42496</v>
      </c>
      <c r="J28" s="18">
        <v>42680</v>
      </c>
      <c r="K28" s="17" t="s">
        <v>22</v>
      </c>
      <c r="L28" s="26" t="s">
        <v>23</v>
      </c>
      <c r="M28" s="23" t="s">
        <v>261</v>
      </c>
      <c r="N28" s="31">
        <v>42344</v>
      </c>
      <c r="O28" s="5" t="s">
        <v>55</v>
      </c>
      <c r="P28" s="5" t="s">
        <v>103</v>
      </c>
      <c r="Q28" s="41">
        <f t="shared" si="4"/>
        <v>5</v>
      </c>
      <c r="R28" s="87">
        <f t="shared" si="1"/>
        <v>0.41666666666666669</v>
      </c>
      <c r="S28" s="57"/>
      <c r="T28" s="38"/>
    </row>
    <row r="29" spans="1:26">
      <c r="A29" s="16" t="s">
        <v>262</v>
      </c>
      <c r="B29" s="26" t="s">
        <v>193</v>
      </c>
      <c r="C29" s="23" t="s">
        <v>263</v>
      </c>
      <c r="D29" s="17" t="s">
        <v>23</v>
      </c>
      <c r="E29" s="17" t="s">
        <v>23</v>
      </c>
      <c r="F29" s="17" t="s">
        <v>193</v>
      </c>
      <c r="G29" s="17" t="s">
        <v>193</v>
      </c>
      <c r="H29" s="21" t="s">
        <v>264</v>
      </c>
      <c r="I29" s="18">
        <v>42551</v>
      </c>
      <c r="J29" s="18">
        <v>42643</v>
      </c>
      <c r="K29" s="19" t="s">
        <v>265</v>
      </c>
      <c r="L29" s="30" t="s">
        <v>23</v>
      </c>
      <c r="M29" s="23" t="s">
        <v>266</v>
      </c>
      <c r="N29" s="31">
        <v>42432</v>
      </c>
      <c r="O29" s="5" t="s">
        <v>75</v>
      </c>
      <c r="P29" s="5" t="s">
        <v>103</v>
      </c>
      <c r="Q29" s="41">
        <f t="shared" si="4"/>
        <v>3</v>
      </c>
      <c r="R29" s="87">
        <f t="shared" si="1"/>
        <v>0.25</v>
      </c>
      <c r="S29" s="57"/>
      <c r="T29" s="38"/>
    </row>
    <row r="30" spans="1:26">
      <c r="A30" s="16" t="s">
        <v>203</v>
      </c>
      <c r="B30" s="26" t="s">
        <v>193</v>
      </c>
      <c r="C30" s="23" t="s">
        <v>22</v>
      </c>
      <c r="D30" s="17" t="s">
        <v>23</v>
      </c>
      <c r="E30" s="17" t="s">
        <v>23</v>
      </c>
      <c r="F30" s="17" t="s">
        <v>193</v>
      </c>
      <c r="G30" s="17" t="s">
        <v>193</v>
      </c>
      <c r="H30" s="21" t="s">
        <v>267</v>
      </c>
      <c r="I30" s="17" t="s">
        <v>23</v>
      </c>
      <c r="J30" s="17" t="s">
        <v>23</v>
      </c>
      <c r="K30" s="20" t="s">
        <v>23</v>
      </c>
      <c r="L30" s="26" t="s">
        <v>23</v>
      </c>
      <c r="M30" s="23" t="s">
        <v>268</v>
      </c>
      <c r="N30" s="31">
        <v>42564</v>
      </c>
      <c r="O30" s="5" t="s">
        <v>75</v>
      </c>
      <c r="P30" s="5" t="s">
        <v>103</v>
      </c>
      <c r="Q30" s="41"/>
      <c r="R30" s="87"/>
      <c r="S30" s="57"/>
      <c r="T30" s="38"/>
    </row>
    <row r="31" spans="1:26">
      <c r="A31" s="16" t="s">
        <v>269</v>
      </c>
      <c r="B31" s="26" t="s">
        <v>193</v>
      </c>
      <c r="C31" s="23" t="s">
        <v>22</v>
      </c>
      <c r="D31" s="17" t="s">
        <v>23</v>
      </c>
      <c r="E31" s="17" t="s">
        <v>23</v>
      </c>
      <c r="F31" s="17" t="s">
        <v>193</v>
      </c>
      <c r="G31" s="17" t="s">
        <v>193</v>
      </c>
      <c r="H31" s="21" t="s">
        <v>270</v>
      </c>
      <c r="I31" s="17" t="s">
        <v>23</v>
      </c>
      <c r="J31" s="17" t="s">
        <v>23</v>
      </c>
      <c r="K31" s="17" t="s">
        <v>23</v>
      </c>
      <c r="L31" s="26" t="s">
        <v>23</v>
      </c>
      <c r="M31" s="23" t="s">
        <v>271</v>
      </c>
      <c r="N31" s="31">
        <v>40112</v>
      </c>
      <c r="O31" s="5" t="s">
        <v>73</v>
      </c>
      <c r="P31" s="5" t="s">
        <v>74</v>
      </c>
      <c r="Q31" s="41"/>
      <c r="R31" s="87"/>
      <c r="S31" s="57"/>
      <c r="T31" s="38"/>
    </row>
    <row r="32" spans="1:26">
      <c r="A32" s="16" t="s">
        <v>269</v>
      </c>
      <c r="B32" s="26" t="s">
        <v>193</v>
      </c>
      <c r="C32" s="23" t="s">
        <v>22</v>
      </c>
      <c r="D32" s="17" t="s">
        <v>23</v>
      </c>
      <c r="E32" s="17" t="s">
        <v>23</v>
      </c>
      <c r="F32" s="17" t="s">
        <v>193</v>
      </c>
      <c r="G32" s="17" t="s">
        <v>193</v>
      </c>
      <c r="H32" s="21" t="s">
        <v>272</v>
      </c>
      <c r="I32" s="18">
        <v>40268</v>
      </c>
      <c r="J32" s="18">
        <v>40329</v>
      </c>
      <c r="K32" s="17" t="s">
        <v>22</v>
      </c>
      <c r="L32" s="26" t="s">
        <v>23</v>
      </c>
      <c r="M32" s="23" t="s">
        <v>273</v>
      </c>
      <c r="N32" s="31">
        <v>40147</v>
      </c>
      <c r="O32" s="5" t="s">
        <v>73</v>
      </c>
      <c r="P32" s="5" t="s">
        <v>74</v>
      </c>
      <c r="Q32" s="41">
        <f t="shared" ref="Q32:Q47" si="5">DATEDIF(N32,I32, "m")</f>
        <v>4</v>
      </c>
      <c r="R32" s="87">
        <f t="shared" si="1"/>
        <v>0.33333333333333331</v>
      </c>
      <c r="S32" s="57"/>
      <c r="T32" s="38"/>
    </row>
    <row r="33" spans="1:20">
      <c r="A33" s="16" t="s">
        <v>269</v>
      </c>
      <c r="B33" s="26" t="s">
        <v>193</v>
      </c>
      <c r="C33" s="23" t="s">
        <v>22</v>
      </c>
      <c r="D33" s="17" t="s">
        <v>23</v>
      </c>
      <c r="E33" s="17" t="s">
        <v>23</v>
      </c>
      <c r="F33" s="17" t="s">
        <v>193</v>
      </c>
      <c r="G33" s="17" t="s">
        <v>193</v>
      </c>
      <c r="H33" s="21" t="s">
        <v>274</v>
      </c>
      <c r="I33" s="18">
        <v>40908</v>
      </c>
      <c r="J33" s="18">
        <v>40999</v>
      </c>
      <c r="K33" s="17" t="s">
        <v>23</v>
      </c>
      <c r="L33" s="26" t="s">
        <v>23</v>
      </c>
      <c r="M33" s="23" t="s">
        <v>275</v>
      </c>
      <c r="N33" s="31">
        <v>40765</v>
      </c>
      <c r="O33" s="5" t="s">
        <v>73</v>
      </c>
      <c r="P33" s="5" t="s">
        <v>74</v>
      </c>
      <c r="Q33" s="41">
        <f t="shared" si="5"/>
        <v>4</v>
      </c>
      <c r="R33" s="87">
        <f t="shared" si="1"/>
        <v>0.33333333333333331</v>
      </c>
      <c r="S33" s="57"/>
      <c r="T33" s="38"/>
    </row>
    <row r="34" spans="1:20">
      <c r="A34" s="16" t="s">
        <v>269</v>
      </c>
      <c r="B34" s="26" t="s">
        <v>193</v>
      </c>
      <c r="C34" s="23" t="s">
        <v>22</v>
      </c>
      <c r="D34" s="17" t="s">
        <v>23</v>
      </c>
      <c r="E34" s="17" t="s">
        <v>23</v>
      </c>
      <c r="F34" s="17" t="s">
        <v>193</v>
      </c>
      <c r="G34" s="17" t="s">
        <v>193</v>
      </c>
      <c r="H34" s="17" t="s">
        <v>276</v>
      </c>
      <c r="I34" s="18">
        <v>40877</v>
      </c>
      <c r="J34" s="18">
        <v>40877</v>
      </c>
      <c r="K34" s="17" t="s">
        <v>22</v>
      </c>
      <c r="L34" s="26" t="s">
        <v>23</v>
      </c>
      <c r="M34" s="23" t="s">
        <v>277</v>
      </c>
      <c r="N34" s="31">
        <v>40676</v>
      </c>
      <c r="O34" s="5" t="s">
        <v>55</v>
      </c>
      <c r="P34" s="5" t="s">
        <v>103</v>
      </c>
      <c r="Q34" s="41">
        <f t="shared" si="5"/>
        <v>6</v>
      </c>
      <c r="R34" s="87">
        <f t="shared" si="1"/>
        <v>0.5</v>
      </c>
      <c r="S34" s="57"/>
      <c r="T34" s="38"/>
    </row>
    <row r="35" spans="1:20">
      <c r="A35" s="16" t="s">
        <v>269</v>
      </c>
      <c r="B35" s="26" t="s">
        <v>193</v>
      </c>
      <c r="C35" s="23" t="s">
        <v>278</v>
      </c>
      <c r="D35" s="17" t="s">
        <v>23</v>
      </c>
      <c r="E35" s="17" t="s">
        <v>23</v>
      </c>
      <c r="F35" s="17" t="s">
        <v>193</v>
      </c>
      <c r="G35" s="17" t="s">
        <v>193</v>
      </c>
      <c r="H35" s="17" t="s">
        <v>279</v>
      </c>
      <c r="I35" s="18">
        <v>40877</v>
      </c>
      <c r="J35" s="18">
        <v>40877</v>
      </c>
      <c r="K35" s="17" t="s">
        <v>23</v>
      </c>
      <c r="L35" s="26" t="s">
        <v>23</v>
      </c>
      <c r="M35" s="23" t="s">
        <v>280</v>
      </c>
      <c r="N35" s="31">
        <v>40676</v>
      </c>
      <c r="O35" s="5" t="s">
        <v>27</v>
      </c>
      <c r="P35" s="5" t="s">
        <v>28</v>
      </c>
      <c r="Q35" s="41">
        <f t="shared" si="5"/>
        <v>6</v>
      </c>
      <c r="R35" s="87">
        <f t="shared" si="1"/>
        <v>0.5</v>
      </c>
      <c r="S35" s="57"/>
      <c r="T35" s="38"/>
    </row>
    <row r="36" spans="1:20">
      <c r="A36" s="16" t="s">
        <v>269</v>
      </c>
      <c r="B36" s="26" t="s">
        <v>193</v>
      </c>
      <c r="C36" s="23" t="s">
        <v>22</v>
      </c>
      <c r="D36" s="17" t="s">
        <v>23</v>
      </c>
      <c r="E36" s="17" t="s">
        <v>23</v>
      </c>
      <c r="F36" s="17" t="s">
        <v>193</v>
      </c>
      <c r="G36" s="17" t="s">
        <v>193</v>
      </c>
      <c r="H36" s="17" t="s">
        <v>281</v>
      </c>
      <c r="I36" s="18">
        <v>41182</v>
      </c>
      <c r="J36" s="18">
        <v>41243</v>
      </c>
      <c r="K36" s="17" t="s">
        <v>22</v>
      </c>
      <c r="L36" s="26" t="s">
        <v>23</v>
      </c>
      <c r="M36" s="23" t="s">
        <v>282</v>
      </c>
      <c r="N36" s="31">
        <v>41130</v>
      </c>
      <c r="O36" s="5" t="s">
        <v>55</v>
      </c>
      <c r="P36" s="5" t="s">
        <v>103</v>
      </c>
      <c r="Q36" s="41">
        <f t="shared" si="5"/>
        <v>1</v>
      </c>
      <c r="R36" s="87">
        <f t="shared" si="1"/>
        <v>8.3333333333333329E-2</v>
      </c>
      <c r="S36" s="57"/>
      <c r="T36" s="38"/>
    </row>
    <row r="37" spans="1:20">
      <c r="A37" s="16" t="s">
        <v>269</v>
      </c>
      <c r="B37" s="26" t="s">
        <v>193</v>
      </c>
      <c r="C37" s="23" t="s">
        <v>22</v>
      </c>
      <c r="D37" s="17" t="s">
        <v>23</v>
      </c>
      <c r="E37" s="17" t="s">
        <v>23</v>
      </c>
      <c r="F37" s="17" t="s">
        <v>193</v>
      </c>
      <c r="G37" s="17" t="s">
        <v>193</v>
      </c>
      <c r="H37" s="17" t="s">
        <v>283</v>
      </c>
      <c r="I37" s="18">
        <v>41997</v>
      </c>
      <c r="J37" s="18">
        <v>42124</v>
      </c>
      <c r="K37" s="17" t="s">
        <v>23</v>
      </c>
      <c r="L37" s="26" t="s">
        <v>23</v>
      </c>
      <c r="M37" s="23" t="s">
        <v>284</v>
      </c>
      <c r="N37" s="31">
        <v>41883</v>
      </c>
      <c r="O37" s="5" t="s">
        <v>73</v>
      </c>
      <c r="P37" s="5" t="s">
        <v>74</v>
      </c>
      <c r="Q37" s="41">
        <f t="shared" si="5"/>
        <v>3</v>
      </c>
      <c r="R37" s="87">
        <f t="shared" si="1"/>
        <v>0.25</v>
      </c>
      <c r="S37" s="57"/>
      <c r="T37" s="38"/>
    </row>
    <row r="38" spans="1:20">
      <c r="A38" s="16" t="s">
        <v>285</v>
      </c>
      <c r="B38" s="26" t="s">
        <v>193</v>
      </c>
      <c r="C38" s="23" t="s">
        <v>22</v>
      </c>
      <c r="D38" s="17" t="s">
        <v>23</v>
      </c>
      <c r="E38" s="17" t="s">
        <v>23</v>
      </c>
      <c r="F38" s="17" t="s">
        <v>193</v>
      </c>
      <c r="G38" s="17" t="s">
        <v>193</v>
      </c>
      <c r="H38" s="17" t="s">
        <v>286</v>
      </c>
      <c r="I38" s="18">
        <v>42307</v>
      </c>
      <c r="J38" s="18">
        <v>42490</v>
      </c>
      <c r="K38" s="17" t="s">
        <v>23</v>
      </c>
      <c r="L38" s="26" t="s">
        <v>23</v>
      </c>
      <c r="M38" s="23" t="s">
        <v>287</v>
      </c>
      <c r="N38" s="31">
        <v>42093</v>
      </c>
      <c r="O38" s="5" t="s">
        <v>73</v>
      </c>
      <c r="P38" s="5" t="s">
        <v>74</v>
      </c>
      <c r="Q38" s="41">
        <f t="shared" si="5"/>
        <v>7</v>
      </c>
      <c r="R38" s="87">
        <f t="shared" si="1"/>
        <v>0.58333333333333337</v>
      </c>
      <c r="S38" s="57"/>
      <c r="T38" s="38"/>
    </row>
    <row r="39" spans="1:20">
      <c r="A39" s="16" t="s">
        <v>288</v>
      </c>
      <c r="B39" s="26" t="s">
        <v>193</v>
      </c>
      <c r="C39" s="23" t="s">
        <v>22</v>
      </c>
      <c r="D39" s="17" t="s">
        <v>23</v>
      </c>
      <c r="E39" s="17" t="s">
        <v>23</v>
      </c>
      <c r="F39" s="17" t="s">
        <v>193</v>
      </c>
      <c r="G39" s="17" t="s">
        <v>193</v>
      </c>
      <c r="H39" s="17" t="s">
        <v>289</v>
      </c>
      <c r="I39" s="18">
        <v>43908</v>
      </c>
      <c r="J39" s="18">
        <v>44092</v>
      </c>
      <c r="K39" s="17" t="s">
        <v>23</v>
      </c>
      <c r="L39" s="26" t="s">
        <v>23</v>
      </c>
      <c r="M39" s="23" t="s">
        <v>290</v>
      </c>
      <c r="N39" s="31">
        <v>43727</v>
      </c>
      <c r="O39" s="5" t="s">
        <v>73</v>
      </c>
      <c r="P39" s="5" t="s">
        <v>74</v>
      </c>
      <c r="Q39" s="41">
        <f t="shared" si="5"/>
        <v>5</v>
      </c>
      <c r="R39" s="87">
        <f t="shared" si="1"/>
        <v>0.41666666666666669</v>
      </c>
      <c r="S39" s="57"/>
      <c r="T39" s="38"/>
    </row>
    <row r="40" spans="1:20">
      <c r="A40" s="16" t="s">
        <v>196</v>
      </c>
      <c r="B40" s="26" t="s">
        <v>193</v>
      </c>
      <c r="C40" s="23" t="s">
        <v>22</v>
      </c>
      <c r="D40" s="17" t="s">
        <v>23</v>
      </c>
      <c r="E40" s="17" t="s">
        <v>23</v>
      </c>
      <c r="F40" s="17" t="s">
        <v>193</v>
      </c>
      <c r="G40" s="17" t="s">
        <v>193</v>
      </c>
      <c r="H40" s="17" t="s">
        <v>291</v>
      </c>
      <c r="I40" s="18">
        <v>43454</v>
      </c>
      <c r="J40" s="18">
        <v>43636</v>
      </c>
      <c r="K40" s="17" t="s">
        <v>22</v>
      </c>
      <c r="L40" s="26" t="s">
        <v>23</v>
      </c>
      <c r="M40" s="23" t="s">
        <v>292</v>
      </c>
      <c r="N40" s="31">
        <v>43266</v>
      </c>
      <c r="O40" s="5" t="s">
        <v>73</v>
      </c>
      <c r="P40" s="5" t="s">
        <v>74</v>
      </c>
      <c r="Q40" s="41">
        <f t="shared" si="5"/>
        <v>6</v>
      </c>
      <c r="R40" s="87">
        <f t="shared" si="1"/>
        <v>0.5</v>
      </c>
      <c r="S40" s="57"/>
      <c r="T40" s="38"/>
    </row>
    <row r="41" spans="1:20">
      <c r="A41" s="16" t="s">
        <v>196</v>
      </c>
      <c r="B41" s="26" t="s">
        <v>193</v>
      </c>
      <c r="C41" s="23" t="s">
        <v>22</v>
      </c>
      <c r="D41" s="17" t="s">
        <v>23</v>
      </c>
      <c r="E41" s="17" t="s">
        <v>23</v>
      </c>
      <c r="F41" s="17" t="s">
        <v>193</v>
      </c>
      <c r="G41" s="17" t="s">
        <v>193</v>
      </c>
      <c r="H41" s="17" t="s">
        <v>293</v>
      </c>
      <c r="I41" s="18">
        <v>43861</v>
      </c>
      <c r="J41" s="18">
        <v>43951</v>
      </c>
      <c r="K41" s="17" t="s">
        <v>22</v>
      </c>
      <c r="L41" s="26" t="s">
        <v>23</v>
      </c>
      <c r="M41" s="23" t="s">
        <v>210</v>
      </c>
      <c r="N41" s="31">
        <v>43678</v>
      </c>
      <c r="O41" s="5" t="s">
        <v>73</v>
      </c>
      <c r="P41" s="5" t="s">
        <v>74</v>
      </c>
      <c r="Q41" s="41">
        <f t="shared" si="5"/>
        <v>5</v>
      </c>
      <c r="R41" s="87">
        <f t="shared" si="1"/>
        <v>0.41666666666666669</v>
      </c>
      <c r="S41" s="57"/>
      <c r="T41" s="38"/>
    </row>
    <row r="42" spans="1:20">
      <c r="A42" s="16" t="s">
        <v>196</v>
      </c>
      <c r="B42" s="26" t="s">
        <v>193</v>
      </c>
      <c r="C42" s="23" t="s">
        <v>22</v>
      </c>
      <c r="D42" s="17" t="s">
        <v>23</v>
      </c>
      <c r="E42" s="17" t="s">
        <v>23</v>
      </c>
      <c r="F42" s="17" t="s">
        <v>193</v>
      </c>
      <c r="G42" s="17" t="s">
        <v>193</v>
      </c>
      <c r="H42" s="17" t="s">
        <v>294</v>
      </c>
      <c r="I42" s="18">
        <v>43861</v>
      </c>
      <c r="J42" s="18">
        <v>43951</v>
      </c>
      <c r="K42" s="17" t="s">
        <v>23</v>
      </c>
      <c r="L42" s="26" t="s">
        <v>23</v>
      </c>
      <c r="M42" s="23" t="s">
        <v>210</v>
      </c>
      <c r="N42" s="31">
        <v>43678</v>
      </c>
      <c r="O42" s="5" t="s">
        <v>73</v>
      </c>
      <c r="P42" s="5" t="s">
        <v>74</v>
      </c>
      <c r="Q42" s="41">
        <f t="shared" si="5"/>
        <v>5</v>
      </c>
      <c r="R42" s="87">
        <f t="shared" si="1"/>
        <v>0.41666666666666669</v>
      </c>
      <c r="S42" s="57"/>
      <c r="T42" s="38"/>
    </row>
    <row r="43" spans="1:20">
      <c r="A43" s="16" t="s">
        <v>288</v>
      </c>
      <c r="B43" s="26" t="s">
        <v>193</v>
      </c>
      <c r="C43" s="23" t="s">
        <v>22</v>
      </c>
      <c r="D43" s="17" t="s">
        <v>23</v>
      </c>
      <c r="E43" s="17" t="s">
        <v>23</v>
      </c>
      <c r="F43" s="17" t="s">
        <v>193</v>
      </c>
      <c r="G43" s="17" t="s">
        <v>193</v>
      </c>
      <c r="H43" s="17" t="s">
        <v>295</v>
      </c>
      <c r="I43" s="18">
        <v>43886</v>
      </c>
      <c r="J43" s="18">
        <v>44068</v>
      </c>
      <c r="K43" s="17" t="s">
        <v>23</v>
      </c>
      <c r="L43" s="26" t="s">
        <v>23</v>
      </c>
      <c r="M43" s="23" t="s">
        <v>210</v>
      </c>
      <c r="N43" s="31">
        <v>43703</v>
      </c>
      <c r="O43" s="5" t="s">
        <v>73</v>
      </c>
      <c r="P43" s="5" t="s">
        <v>74</v>
      </c>
      <c r="Q43" s="41">
        <f t="shared" si="5"/>
        <v>5</v>
      </c>
      <c r="R43" s="87">
        <f t="shared" si="1"/>
        <v>0.41666666666666669</v>
      </c>
      <c r="S43" s="57"/>
      <c r="T43" s="38"/>
    </row>
    <row r="44" spans="1:20">
      <c r="A44" s="16" t="s">
        <v>288</v>
      </c>
      <c r="B44" s="26" t="s">
        <v>193</v>
      </c>
      <c r="C44" s="23" t="s">
        <v>22</v>
      </c>
      <c r="D44" s="17" t="s">
        <v>23</v>
      </c>
      <c r="E44" s="17" t="s">
        <v>23</v>
      </c>
      <c r="F44" s="17" t="s">
        <v>193</v>
      </c>
      <c r="G44" s="17" t="s">
        <v>193</v>
      </c>
      <c r="H44" s="17" t="s">
        <v>296</v>
      </c>
      <c r="I44" s="18">
        <v>43908</v>
      </c>
      <c r="J44" s="18">
        <v>44092</v>
      </c>
      <c r="K44" s="17" t="s">
        <v>23</v>
      </c>
      <c r="L44" s="26" t="s">
        <v>23</v>
      </c>
      <c r="M44" s="23" t="s">
        <v>210</v>
      </c>
      <c r="N44" s="31">
        <v>43727</v>
      </c>
      <c r="O44" s="5" t="s">
        <v>73</v>
      </c>
      <c r="P44" s="5" t="s">
        <v>74</v>
      </c>
      <c r="Q44" s="41">
        <f t="shared" si="5"/>
        <v>5</v>
      </c>
      <c r="R44" s="87">
        <f t="shared" si="1"/>
        <v>0.41666666666666669</v>
      </c>
      <c r="S44" s="57"/>
      <c r="T44" s="38"/>
    </row>
    <row r="45" spans="1:20">
      <c r="A45" s="16" t="s">
        <v>297</v>
      </c>
      <c r="B45" s="26" t="s">
        <v>193</v>
      </c>
      <c r="C45" s="23" t="s">
        <v>22</v>
      </c>
      <c r="D45" s="17" t="s">
        <v>23</v>
      </c>
      <c r="E45" s="17" t="s">
        <v>23</v>
      </c>
      <c r="F45" s="17" t="s">
        <v>193</v>
      </c>
      <c r="G45" s="17" t="s">
        <v>193</v>
      </c>
      <c r="H45" s="17" t="s">
        <v>298</v>
      </c>
      <c r="I45" s="18">
        <v>43830</v>
      </c>
      <c r="J45" s="18">
        <v>44012</v>
      </c>
      <c r="K45" s="17" t="s">
        <v>23</v>
      </c>
      <c r="L45" s="26" t="s">
        <v>23</v>
      </c>
      <c r="M45" s="23" t="s">
        <v>299</v>
      </c>
      <c r="N45" s="31">
        <v>43412</v>
      </c>
      <c r="O45" s="5" t="s">
        <v>75</v>
      </c>
      <c r="P45" s="5" t="s">
        <v>103</v>
      </c>
      <c r="Q45" s="41">
        <f t="shared" si="5"/>
        <v>13</v>
      </c>
      <c r="R45" s="87">
        <f t="shared" si="1"/>
        <v>1.0833333333333333</v>
      </c>
      <c r="S45" s="57"/>
      <c r="T45" s="38"/>
    </row>
    <row r="46" spans="1:20">
      <c r="A46" s="16" t="s">
        <v>191</v>
      </c>
      <c r="B46" s="26" t="s">
        <v>193</v>
      </c>
      <c r="C46" s="23" t="s">
        <v>22</v>
      </c>
      <c r="D46" s="17" t="s">
        <v>23</v>
      </c>
      <c r="E46" s="17" t="s">
        <v>23</v>
      </c>
      <c r="F46" s="17" t="s">
        <v>193</v>
      </c>
      <c r="G46" s="17" t="s">
        <v>193</v>
      </c>
      <c r="H46" s="17" t="s">
        <v>300</v>
      </c>
      <c r="I46" s="18">
        <v>43184</v>
      </c>
      <c r="J46" s="17" t="s">
        <v>23</v>
      </c>
      <c r="K46" s="17" t="s">
        <v>23</v>
      </c>
      <c r="L46" s="26" t="s">
        <v>23</v>
      </c>
      <c r="M46" s="23" t="s">
        <v>301</v>
      </c>
      <c r="N46" s="31">
        <v>43125</v>
      </c>
      <c r="O46" s="5" t="s">
        <v>73</v>
      </c>
      <c r="P46" s="5" t="s">
        <v>74</v>
      </c>
      <c r="Q46" s="41">
        <f t="shared" si="5"/>
        <v>2</v>
      </c>
      <c r="R46" s="87">
        <f t="shared" si="1"/>
        <v>0.16666666666666666</v>
      </c>
      <c r="S46" s="57"/>
      <c r="T46" s="38"/>
    </row>
    <row r="47" spans="1:20">
      <c r="A47" s="16" t="s">
        <v>191</v>
      </c>
      <c r="B47" s="26" t="s">
        <v>193</v>
      </c>
      <c r="C47" s="23" t="s">
        <v>22</v>
      </c>
      <c r="D47" s="17" t="s">
        <v>23</v>
      </c>
      <c r="E47" s="17" t="s">
        <v>23</v>
      </c>
      <c r="F47" s="17" t="s">
        <v>193</v>
      </c>
      <c r="G47" s="17" t="s">
        <v>193</v>
      </c>
      <c r="H47" s="17" t="s">
        <v>302</v>
      </c>
      <c r="I47" s="18">
        <v>44034</v>
      </c>
      <c r="J47" s="18">
        <v>44218</v>
      </c>
      <c r="K47" s="17" t="s">
        <v>23</v>
      </c>
      <c r="L47" s="26" t="s">
        <v>23</v>
      </c>
      <c r="M47" s="23" t="s">
        <v>303</v>
      </c>
      <c r="N47" s="31">
        <v>43851</v>
      </c>
      <c r="O47" s="5" t="s">
        <v>73</v>
      </c>
      <c r="P47" s="5" t="s">
        <v>74</v>
      </c>
      <c r="Q47" s="41">
        <f t="shared" si="5"/>
        <v>6</v>
      </c>
      <c r="R47" s="87">
        <f t="shared" si="1"/>
        <v>0.5</v>
      </c>
      <c r="S47" s="57"/>
      <c r="T47" s="38"/>
    </row>
    <row r="48" spans="1:20">
      <c r="A48" s="16" t="s">
        <v>191</v>
      </c>
      <c r="B48" s="26" t="s">
        <v>193</v>
      </c>
      <c r="C48" s="23" t="s">
        <v>22</v>
      </c>
      <c r="D48" s="17" t="s">
        <v>23</v>
      </c>
      <c r="E48" s="17" t="s">
        <v>23</v>
      </c>
      <c r="F48" s="17" t="s">
        <v>193</v>
      </c>
      <c r="G48" s="17" t="s">
        <v>193</v>
      </c>
      <c r="H48" s="17" t="s">
        <v>304</v>
      </c>
      <c r="I48" s="17" t="s">
        <v>23</v>
      </c>
      <c r="J48" s="17" t="s">
        <v>23</v>
      </c>
      <c r="K48" s="17" t="s">
        <v>23</v>
      </c>
      <c r="L48" s="26" t="s">
        <v>23</v>
      </c>
      <c r="M48" s="23" t="s">
        <v>305</v>
      </c>
      <c r="N48" s="31">
        <v>43525</v>
      </c>
      <c r="O48" s="5" t="s">
        <v>73</v>
      </c>
      <c r="P48" s="5" t="s">
        <v>74</v>
      </c>
      <c r="Q48" s="41"/>
      <c r="R48" s="87"/>
      <c r="S48" s="57"/>
      <c r="T48" s="38"/>
    </row>
    <row r="49" spans="1:20">
      <c r="A49" s="16" t="s">
        <v>191</v>
      </c>
      <c r="B49" s="26" t="s">
        <v>193</v>
      </c>
      <c r="C49" s="23" t="s">
        <v>306</v>
      </c>
      <c r="D49" s="17" t="s">
        <v>23</v>
      </c>
      <c r="E49" s="17" t="s">
        <v>23</v>
      </c>
      <c r="F49" s="17" t="s">
        <v>193</v>
      </c>
      <c r="G49" s="17" t="s">
        <v>193</v>
      </c>
      <c r="H49" s="17" t="s">
        <v>307</v>
      </c>
      <c r="I49" s="18">
        <v>44428</v>
      </c>
      <c r="J49" s="18">
        <v>44610</v>
      </c>
      <c r="K49" s="17" t="s">
        <v>23</v>
      </c>
      <c r="L49" s="26" t="s">
        <v>23</v>
      </c>
      <c r="M49" s="23" t="s">
        <v>308</v>
      </c>
      <c r="N49" s="31">
        <v>44243</v>
      </c>
      <c r="O49" s="5" t="s">
        <v>55</v>
      </c>
      <c r="P49" s="5" t="s">
        <v>103</v>
      </c>
      <c r="Q49" s="41">
        <f>DATEDIF(N49,I49, "m")</f>
        <v>6</v>
      </c>
      <c r="R49" s="87">
        <f t="shared" si="1"/>
        <v>0.5</v>
      </c>
      <c r="S49" s="57"/>
      <c r="T49" s="38"/>
    </row>
    <row r="50" spans="1:20" ht="86.4">
      <c r="A50" s="16" t="s">
        <v>309</v>
      </c>
      <c r="B50" s="26" t="s">
        <v>193</v>
      </c>
      <c r="C50" s="23" t="s">
        <v>22</v>
      </c>
      <c r="D50" s="17" t="s">
        <v>23</v>
      </c>
      <c r="E50" s="17" t="s">
        <v>23</v>
      </c>
      <c r="F50" s="17" t="s">
        <v>193</v>
      </c>
      <c r="G50" s="17" t="s">
        <v>193</v>
      </c>
      <c r="H50" s="17" t="s">
        <v>310</v>
      </c>
      <c r="I50" s="18">
        <v>43041</v>
      </c>
      <c r="J50" s="17" t="s">
        <v>23</v>
      </c>
      <c r="K50" s="17" t="s">
        <v>23</v>
      </c>
      <c r="L50" s="26" t="s">
        <v>23</v>
      </c>
      <c r="M50" s="29" t="s">
        <v>311</v>
      </c>
      <c r="N50" s="31">
        <v>42857</v>
      </c>
      <c r="O50" s="5" t="s">
        <v>55</v>
      </c>
      <c r="P50" s="5" t="s">
        <v>103</v>
      </c>
      <c r="Q50" s="41">
        <f>DATEDIF(N50,I50, "m")</f>
        <v>6</v>
      </c>
      <c r="R50" s="87">
        <f t="shared" si="1"/>
        <v>0.5</v>
      </c>
      <c r="S50" s="57"/>
      <c r="T50" s="38"/>
    </row>
    <row r="51" spans="1:20" ht="15.75" customHeight="1">
      <c r="A51" s="16" t="s">
        <v>191</v>
      </c>
      <c r="B51" s="26" t="s">
        <v>193</v>
      </c>
      <c r="C51" s="23" t="s">
        <v>22</v>
      </c>
      <c r="D51" s="17" t="s">
        <v>23</v>
      </c>
      <c r="E51" s="17" t="s">
        <v>23</v>
      </c>
      <c r="F51" s="17" t="s">
        <v>193</v>
      </c>
      <c r="G51" s="17" t="s">
        <v>193</v>
      </c>
      <c r="H51" s="17" t="s">
        <v>312</v>
      </c>
      <c r="I51" s="18">
        <v>44064</v>
      </c>
      <c r="J51" s="18">
        <v>44248</v>
      </c>
      <c r="K51" s="17" t="s">
        <v>23</v>
      </c>
      <c r="L51" s="26" t="s">
        <v>23</v>
      </c>
      <c r="M51" s="23" t="s">
        <v>313</v>
      </c>
      <c r="N51" s="31">
        <v>43882</v>
      </c>
      <c r="O51" s="5" t="s">
        <v>73</v>
      </c>
      <c r="P51" s="5" t="s">
        <v>74</v>
      </c>
      <c r="Q51" s="41">
        <f>DATEDIF(N51,I51, "m")</f>
        <v>6</v>
      </c>
      <c r="R51" s="87">
        <f t="shared" si="1"/>
        <v>0.5</v>
      </c>
      <c r="S51" s="57"/>
      <c r="T51" s="38"/>
    </row>
    <row r="52" spans="1:20" ht="28.8">
      <c r="A52" s="16" t="s">
        <v>257</v>
      </c>
      <c r="B52" s="26" t="s">
        <v>193</v>
      </c>
      <c r="C52" s="23" t="s">
        <v>314</v>
      </c>
      <c r="D52" s="17" t="s">
        <v>315</v>
      </c>
      <c r="E52" s="17" t="s">
        <v>23</v>
      </c>
      <c r="F52" s="17" t="s">
        <v>193</v>
      </c>
      <c r="G52" s="18">
        <v>43682</v>
      </c>
      <c r="H52" s="17" t="s">
        <v>316</v>
      </c>
      <c r="I52" s="17" t="s">
        <v>23</v>
      </c>
      <c r="J52" s="17" t="s">
        <v>23</v>
      </c>
      <c r="K52" s="17" t="s">
        <v>317</v>
      </c>
      <c r="L52" s="26" t="s">
        <v>318</v>
      </c>
      <c r="M52" s="23" t="s">
        <v>319</v>
      </c>
      <c r="N52" s="31">
        <v>43683</v>
      </c>
      <c r="O52" s="5" t="s">
        <v>540</v>
      </c>
      <c r="P52" s="5" t="s">
        <v>0</v>
      </c>
      <c r="Q52" s="41"/>
      <c r="R52" s="87"/>
      <c r="S52" s="57"/>
      <c r="T52" s="38"/>
    </row>
    <row r="53" spans="1:20">
      <c r="A53" s="16" t="s">
        <v>191</v>
      </c>
      <c r="B53" s="26" t="s">
        <v>193</v>
      </c>
      <c r="C53" s="23" t="s">
        <v>22</v>
      </c>
      <c r="D53" s="17" t="s">
        <v>23</v>
      </c>
      <c r="E53" s="17" t="s">
        <v>23</v>
      </c>
      <c r="F53" s="17" t="s">
        <v>193</v>
      </c>
      <c r="G53" s="17" t="s">
        <v>193</v>
      </c>
      <c r="H53" s="17" t="s">
        <v>320</v>
      </c>
      <c r="I53" s="18">
        <v>44147</v>
      </c>
      <c r="J53" s="18">
        <v>44359</v>
      </c>
      <c r="K53" s="17" t="s">
        <v>23</v>
      </c>
      <c r="L53" s="26" t="s">
        <v>23</v>
      </c>
      <c r="M53" s="23" t="s">
        <v>321</v>
      </c>
      <c r="N53" s="31">
        <v>43963</v>
      </c>
      <c r="O53" s="5" t="s">
        <v>36</v>
      </c>
      <c r="P53" s="5" t="s">
        <v>28</v>
      </c>
      <c r="Q53" s="41">
        <f>DATEDIF(N53,I53, "m")</f>
        <v>6</v>
      </c>
      <c r="R53" s="87">
        <f t="shared" si="1"/>
        <v>0.5</v>
      </c>
      <c r="S53" s="57"/>
      <c r="T53" s="38"/>
    </row>
    <row r="54" spans="1:20">
      <c r="A54" s="16" t="s">
        <v>191</v>
      </c>
      <c r="B54" s="26" t="s">
        <v>193</v>
      </c>
      <c r="C54" s="23" t="s">
        <v>22</v>
      </c>
      <c r="D54" s="17" t="s">
        <v>23</v>
      </c>
      <c r="E54" s="17" t="s">
        <v>23</v>
      </c>
      <c r="F54" s="17" t="s">
        <v>193</v>
      </c>
      <c r="G54" s="17" t="s">
        <v>193</v>
      </c>
      <c r="H54" s="17" t="s">
        <v>322</v>
      </c>
      <c r="I54" s="18">
        <v>43465</v>
      </c>
      <c r="J54" s="18">
        <v>43641</v>
      </c>
      <c r="K54" s="17" t="s">
        <v>22</v>
      </c>
      <c r="L54" s="26" t="s">
        <v>23</v>
      </c>
      <c r="M54" s="23" t="s">
        <v>323</v>
      </c>
      <c r="N54" s="31">
        <v>43276</v>
      </c>
      <c r="O54" s="5" t="s">
        <v>73</v>
      </c>
      <c r="P54" s="5" t="s">
        <v>74</v>
      </c>
      <c r="Q54" s="41">
        <f>DATEDIF(N54,I54, "m")</f>
        <v>6</v>
      </c>
      <c r="R54" s="87">
        <f t="shared" si="1"/>
        <v>0.5</v>
      </c>
      <c r="S54" s="57"/>
      <c r="T54" s="38"/>
    </row>
    <row r="55" spans="1:20">
      <c r="A55" s="16" t="s">
        <v>191</v>
      </c>
      <c r="B55" s="26" t="s">
        <v>193</v>
      </c>
      <c r="C55" s="23" t="s">
        <v>22</v>
      </c>
      <c r="D55" s="17" t="s">
        <v>23</v>
      </c>
      <c r="E55" s="17" t="s">
        <v>23</v>
      </c>
      <c r="F55" s="17" t="s">
        <v>193</v>
      </c>
      <c r="G55" s="17" t="s">
        <v>193</v>
      </c>
      <c r="H55" s="17" t="s">
        <v>324</v>
      </c>
      <c r="I55" s="18">
        <v>44004</v>
      </c>
      <c r="J55" s="18">
        <v>44190</v>
      </c>
      <c r="K55" s="17" t="s">
        <v>23</v>
      </c>
      <c r="L55" s="26" t="s">
        <v>23</v>
      </c>
      <c r="M55" s="23" t="s">
        <v>325</v>
      </c>
      <c r="N55" s="31">
        <v>43986</v>
      </c>
      <c r="O55" s="5" t="s">
        <v>75</v>
      </c>
      <c r="P55" s="5" t="s">
        <v>103</v>
      </c>
      <c r="Q55" s="41">
        <f>DATEDIF(N55,I55, "m")</f>
        <v>0</v>
      </c>
      <c r="R55" s="87">
        <f t="shared" si="1"/>
        <v>0</v>
      </c>
      <c r="S55" s="57"/>
      <c r="T55" s="38"/>
    </row>
    <row r="56" spans="1:20">
      <c r="A56" s="16" t="s">
        <v>191</v>
      </c>
      <c r="B56" s="26" t="s">
        <v>193</v>
      </c>
      <c r="C56" s="23" t="s">
        <v>22</v>
      </c>
      <c r="D56" s="17" t="s">
        <v>326</v>
      </c>
      <c r="E56" s="17" t="s">
        <v>23</v>
      </c>
      <c r="F56" s="17" t="s">
        <v>193</v>
      </c>
      <c r="G56" s="17" t="s">
        <v>193</v>
      </c>
      <c r="H56" s="17" t="s">
        <v>327</v>
      </c>
      <c r="I56" s="17" t="s">
        <v>23</v>
      </c>
      <c r="J56" s="17" t="s">
        <v>23</v>
      </c>
      <c r="K56" s="17" t="s">
        <v>23</v>
      </c>
      <c r="L56" s="26" t="s">
        <v>23</v>
      </c>
      <c r="M56" s="23" t="s">
        <v>328</v>
      </c>
      <c r="N56" s="31">
        <v>43355</v>
      </c>
      <c r="O56" s="5" t="s">
        <v>73</v>
      </c>
      <c r="P56" s="5" t="s">
        <v>74</v>
      </c>
      <c r="Q56" s="41"/>
      <c r="R56" s="87"/>
      <c r="S56" s="57"/>
      <c r="T56" s="38"/>
    </row>
    <row r="57" spans="1:20">
      <c r="A57" s="16" t="s">
        <v>191</v>
      </c>
      <c r="B57" s="26" t="s">
        <v>193</v>
      </c>
      <c r="C57" s="23" t="s">
        <v>22</v>
      </c>
      <c r="D57" s="17" t="s">
        <v>329</v>
      </c>
      <c r="E57" s="17" t="s">
        <v>23</v>
      </c>
      <c r="F57" s="17" t="s">
        <v>193</v>
      </c>
      <c r="G57" s="17" t="s">
        <v>193</v>
      </c>
      <c r="H57" s="17" t="s">
        <v>330</v>
      </c>
      <c r="I57" s="18">
        <v>43465</v>
      </c>
      <c r="J57" s="18">
        <v>43641</v>
      </c>
      <c r="K57" s="17" t="s">
        <v>22</v>
      </c>
      <c r="L57" s="26" t="s">
        <v>22</v>
      </c>
      <c r="M57" s="23" t="s">
        <v>331</v>
      </c>
      <c r="N57" s="31">
        <v>43301</v>
      </c>
      <c r="O57" s="5" t="s">
        <v>73</v>
      </c>
      <c r="P57" s="5" t="s">
        <v>74</v>
      </c>
      <c r="Q57" s="41">
        <f t="shared" ref="Q57:Q80" si="6">DATEDIF(N57,I57, "m")</f>
        <v>5</v>
      </c>
      <c r="R57" s="87">
        <f t="shared" si="1"/>
        <v>0.41666666666666669</v>
      </c>
      <c r="S57" s="57"/>
      <c r="T57" s="38"/>
    </row>
    <row r="58" spans="1:20">
      <c r="A58" s="16" t="s">
        <v>257</v>
      </c>
      <c r="B58" s="26" t="s">
        <v>193</v>
      </c>
      <c r="C58" s="23" t="s">
        <v>22</v>
      </c>
      <c r="D58" s="17" t="s">
        <v>332</v>
      </c>
      <c r="E58" s="17" t="s">
        <v>23</v>
      </c>
      <c r="F58" s="17" t="s">
        <v>193</v>
      </c>
      <c r="G58" s="17" t="s">
        <v>193</v>
      </c>
      <c r="H58" s="17" t="s">
        <v>333</v>
      </c>
      <c r="I58" s="18">
        <v>44220</v>
      </c>
      <c r="J58" s="18">
        <v>44401</v>
      </c>
      <c r="K58" s="17" t="s">
        <v>22</v>
      </c>
      <c r="L58" s="26" t="s">
        <v>334</v>
      </c>
      <c r="M58" s="23" t="s">
        <v>335</v>
      </c>
      <c r="N58" s="31">
        <v>44036</v>
      </c>
      <c r="O58" s="5" t="s">
        <v>73</v>
      </c>
      <c r="P58" s="5" t="s">
        <v>74</v>
      </c>
      <c r="Q58" s="41">
        <f t="shared" si="6"/>
        <v>6</v>
      </c>
      <c r="R58" s="87">
        <f t="shared" si="1"/>
        <v>0.5</v>
      </c>
      <c r="S58" s="57"/>
      <c r="T58" s="38"/>
    </row>
    <row r="59" spans="1:20">
      <c r="A59" s="16" t="s">
        <v>191</v>
      </c>
      <c r="B59" s="26" t="s">
        <v>193</v>
      </c>
      <c r="C59" s="23" t="s">
        <v>22</v>
      </c>
      <c r="D59" s="17" t="s">
        <v>23</v>
      </c>
      <c r="E59" s="17" t="s">
        <v>23</v>
      </c>
      <c r="F59" s="17" t="s">
        <v>193</v>
      </c>
      <c r="G59" s="17" t="s">
        <v>193</v>
      </c>
      <c r="H59" s="17" t="s">
        <v>336</v>
      </c>
      <c r="I59" s="18">
        <v>43736</v>
      </c>
      <c r="J59" s="18">
        <v>43918</v>
      </c>
      <c r="K59" s="17" t="s">
        <v>23</v>
      </c>
      <c r="L59" s="26" t="s">
        <v>23</v>
      </c>
      <c r="M59" s="23" t="s">
        <v>337</v>
      </c>
      <c r="N59" s="31">
        <v>43371</v>
      </c>
      <c r="O59" s="5" t="s">
        <v>73</v>
      </c>
      <c r="P59" s="5" t="s">
        <v>74</v>
      </c>
      <c r="Q59" s="41">
        <f t="shared" si="6"/>
        <v>12</v>
      </c>
      <c r="R59" s="87">
        <f t="shared" si="1"/>
        <v>1</v>
      </c>
      <c r="S59" s="57"/>
      <c r="T59" s="38"/>
    </row>
    <row r="60" spans="1:20">
      <c r="A60" s="16" t="s">
        <v>338</v>
      </c>
      <c r="B60" s="26" t="s">
        <v>193</v>
      </c>
      <c r="C60" s="23" t="s">
        <v>22</v>
      </c>
      <c r="D60" s="17" t="s">
        <v>23</v>
      </c>
      <c r="E60" s="17" t="s">
        <v>23</v>
      </c>
      <c r="F60" s="17" t="s">
        <v>193</v>
      </c>
      <c r="G60" s="17" t="s">
        <v>193</v>
      </c>
      <c r="H60" s="17" t="s">
        <v>339</v>
      </c>
      <c r="I60" s="18">
        <v>44240</v>
      </c>
      <c r="J60" s="18">
        <v>44421</v>
      </c>
      <c r="K60" s="17" t="s">
        <v>23</v>
      </c>
      <c r="L60" s="26" t="s">
        <v>23</v>
      </c>
      <c r="M60" s="23" t="s">
        <v>340</v>
      </c>
      <c r="N60" s="31">
        <v>44056</v>
      </c>
      <c r="O60" s="5" t="s">
        <v>73</v>
      </c>
      <c r="P60" s="5" t="s">
        <v>74</v>
      </c>
      <c r="Q60" s="41">
        <f t="shared" si="6"/>
        <v>6</v>
      </c>
      <c r="R60" s="87">
        <f t="shared" si="1"/>
        <v>0.5</v>
      </c>
      <c r="S60" s="57"/>
      <c r="T60" s="38"/>
    </row>
    <row r="61" spans="1:20">
      <c r="A61" s="16" t="s">
        <v>191</v>
      </c>
      <c r="B61" s="26" t="s">
        <v>193</v>
      </c>
      <c r="C61" s="23" t="s">
        <v>22</v>
      </c>
      <c r="D61" s="17" t="s">
        <v>23</v>
      </c>
      <c r="E61" s="17" t="s">
        <v>23</v>
      </c>
      <c r="F61" s="17" t="s">
        <v>193</v>
      </c>
      <c r="G61" s="17" t="s">
        <v>193</v>
      </c>
      <c r="H61" s="17" t="s">
        <v>341</v>
      </c>
      <c r="I61" s="18">
        <v>44235</v>
      </c>
      <c r="J61" s="18">
        <v>44446</v>
      </c>
      <c r="K61" s="17" t="s">
        <v>23</v>
      </c>
      <c r="L61" s="26" t="s">
        <v>23</v>
      </c>
      <c r="M61" s="23" t="s">
        <v>342</v>
      </c>
      <c r="N61" s="31">
        <v>44077</v>
      </c>
      <c r="O61" s="5" t="s">
        <v>75</v>
      </c>
      <c r="P61" s="5" t="s">
        <v>103</v>
      </c>
      <c r="Q61" s="41">
        <f t="shared" si="6"/>
        <v>5</v>
      </c>
      <c r="R61" s="87">
        <f t="shared" si="1"/>
        <v>0.41666666666666669</v>
      </c>
      <c r="S61" s="57"/>
      <c r="T61" s="38"/>
    </row>
    <row r="62" spans="1:20">
      <c r="A62" s="16" t="s">
        <v>191</v>
      </c>
      <c r="B62" s="26" t="s">
        <v>193</v>
      </c>
      <c r="C62" s="23" t="s">
        <v>22</v>
      </c>
      <c r="D62" s="17" t="s">
        <v>23</v>
      </c>
      <c r="E62" s="17" t="s">
        <v>23</v>
      </c>
      <c r="F62" s="17" t="s">
        <v>193</v>
      </c>
      <c r="G62" s="17" t="s">
        <v>193</v>
      </c>
      <c r="H62" s="17" t="s">
        <v>343</v>
      </c>
      <c r="I62" s="18">
        <v>44338</v>
      </c>
      <c r="J62" s="18">
        <v>44522</v>
      </c>
      <c r="K62" s="17" t="s">
        <v>23</v>
      </c>
      <c r="L62" s="26" t="s">
        <v>23</v>
      </c>
      <c r="M62" s="23" t="s">
        <v>344</v>
      </c>
      <c r="N62" s="31">
        <v>44158</v>
      </c>
      <c r="O62" s="5" t="s">
        <v>73</v>
      </c>
      <c r="P62" s="5" t="s">
        <v>74</v>
      </c>
      <c r="Q62" s="41">
        <f t="shared" si="6"/>
        <v>5</v>
      </c>
      <c r="R62" s="87">
        <f t="shared" si="1"/>
        <v>0.41666666666666669</v>
      </c>
      <c r="S62" s="57"/>
      <c r="T62" s="38"/>
    </row>
    <row r="63" spans="1:20">
      <c r="A63" s="16" t="s">
        <v>191</v>
      </c>
      <c r="B63" s="26" t="s">
        <v>193</v>
      </c>
      <c r="C63" s="23" t="s">
        <v>22</v>
      </c>
      <c r="D63" s="17" t="s">
        <v>22</v>
      </c>
      <c r="E63" s="17" t="s">
        <v>23</v>
      </c>
      <c r="F63" s="17" t="s">
        <v>193</v>
      </c>
      <c r="G63" s="17" t="s">
        <v>193</v>
      </c>
      <c r="H63" s="17" t="s">
        <v>345</v>
      </c>
      <c r="I63" s="18">
        <v>44338</v>
      </c>
      <c r="J63" s="18">
        <v>44522</v>
      </c>
      <c r="K63" s="17" t="s">
        <v>23</v>
      </c>
      <c r="L63" s="26" t="s">
        <v>23</v>
      </c>
      <c r="M63" s="23" t="s">
        <v>346</v>
      </c>
      <c r="N63" s="31">
        <v>44153</v>
      </c>
      <c r="O63" s="5" t="s">
        <v>73</v>
      </c>
      <c r="P63" s="5" t="s">
        <v>74</v>
      </c>
      <c r="Q63" s="41">
        <f t="shared" si="6"/>
        <v>6</v>
      </c>
      <c r="R63" s="87">
        <f t="shared" si="1"/>
        <v>0.5</v>
      </c>
      <c r="S63" s="57"/>
      <c r="T63" s="38"/>
    </row>
    <row r="64" spans="1:20">
      <c r="A64" s="16" t="s">
        <v>191</v>
      </c>
      <c r="B64" s="26" t="s">
        <v>193</v>
      </c>
      <c r="C64" s="23" t="s">
        <v>22</v>
      </c>
      <c r="D64" s="17" t="s">
        <v>23</v>
      </c>
      <c r="E64" s="17" t="s">
        <v>23</v>
      </c>
      <c r="F64" s="17" t="s">
        <v>193</v>
      </c>
      <c r="G64" s="17" t="s">
        <v>193</v>
      </c>
      <c r="H64" s="17" t="s">
        <v>347</v>
      </c>
      <c r="I64" s="18">
        <v>44338</v>
      </c>
      <c r="J64" s="18">
        <v>44522</v>
      </c>
      <c r="K64" s="17" t="s">
        <v>23</v>
      </c>
      <c r="L64" s="26" t="s">
        <v>23</v>
      </c>
      <c r="M64" s="23" t="s">
        <v>348</v>
      </c>
      <c r="N64" s="31">
        <v>44153</v>
      </c>
      <c r="O64" s="5" t="s">
        <v>73</v>
      </c>
      <c r="P64" s="5" t="s">
        <v>74</v>
      </c>
      <c r="Q64" s="41">
        <f t="shared" si="6"/>
        <v>6</v>
      </c>
      <c r="R64" s="87">
        <f t="shared" si="1"/>
        <v>0.5</v>
      </c>
      <c r="S64" s="57"/>
      <c r="T64" s="38"/>
    </row>
    <row r="65" spans="1:20">
      <c r="A65" s="16" t="s">
        <v>191</v>
      </c>
      <c r="B65" s="26" t="s">
        <v>193</v>
      </c>
      <c r="C65" s="23" t="s">
        <v>22</v>
      </c>
      <c r="D65" s="17" t="s">
        <v>23</v>
      </c>
      <c r="E65" s="17" t="s">
        <v>23</v>
      </c>
      <c r="F65" s="17" t="s">
        <v>193</v>
      </c>
      <c r="G65" s="17" t="s">
        <v>193</v>
      </c>
      <c r="H65" s="17" t="s">
        <v>349</v>
      </c>
      <c r="I65" s="18">
        <v>44407</v>
      </c>
      <c r="J65" s="18">
        <v>44592</v>
      </c>
      <c r="K65" s="17" t="s">
        <v>23</v>
      </c>
      <c r="L65" s="26" t="s">
        <v>23</v>
      </c>
      <c r="M65" s="23" t="s">
        <v>350</v>
      </c>
      <c r="N65" s="31">
        <v>44172</v>
      </c>
      <c r="O65" s="5" t="s">
        <v>36</v>
      </c>
      <c r="P65" s="5" t="s">
        <v>28</v>
      </c>
      <c r="Q65" s="41">
        <f t="shared" si="6"/>
        <v>7</v>
      </c>
      <c r="R65" s="87">
        <f t="shared" si="1"/>
        <v>0.58333333333333337</v>
      </c>
      <c r="S65" s="57"/>
      <c r="T65" s="38"/>
    </row>
    <row r="66" spans="1:20">
      <c r="A66" s="16" t="s">
        <v>191</v>
      </c>
      <c r="B66" s="26" t="s">
        <v>193</v>
      </c>
      <c r="C66" s="23" t="s">
        <v>22</v>
      </c>
      <c r="D66" s="17" t="s">
        <v>22</v>
      </c>
      <c r="E66" s="17" t="s">
        <v>23</v>
      </c>
      <c r="F66" s="17" t="s">
        <v>193</v>
      </c>
      <c r="G66" s="17" t="s">
        <v>193</v>
      </c>
      <c r="H66" s="17" t="s">
        <v>351</v>
      </c>
      <c r="I66" s="18">
        <v>44340</v>
      </c>
      <c r="J66" s="18">
        <v>44524</v>
      </c>
      <c r="K66" s="17" t="s">
        <v>23</v>
      </c>
      <c r="L66" s="26" t="s">
        <v>23</v>
      </c>
      <c r="M66" s="23" t="s">
        <v>352</v>
      </c>
      <c r="N66" s="31">
        <v>44154</v>
      </c>
      <c r="O66" s="5" t="s">
        <v>73</v>
      </c>
      <c r="P66" s="5" t="s">
        <v>74</v>
      </c>
      <c r="Q66" s="41">
        <f t="shared" si="6"/>
        <v>6</v>
      </c>
      <c r="R66" s="87">
        <f t="shared" si="1"/>
        <v>0.5</v>
      </c>
      <c r="S66" s="57"/>
      <c r="T66" s="38"/>
    </row>
    <row r="67" spans="1:20">
      <c r="A67" s="16" t="s">
        <v>191</v>
      </c>
      <c r="B67" s="26" t="s">
        <v>193</v>
      </c>
      <c r="C67" s="23" t="s">
        <v>22</v>
      </c>
      <c r="D67" s="17" t="s">
        <v>22</v>
      </c>
      <c r="E67" s="17" t="s">
        <v>23</v>
      </c>
      <c r="F67" s="17" t="s">
        <v>193</v>
      </c>
      <c r="G67" s="17" t="s">
        <v>193</v>
      </c>
      <c r="H67" s="17" t="s">
        <v>353</v>
      </c>
      <c r="I67" s="18">
        <v>44357</v>
      </c>
      <c r="J67" s="18">
        <v>44561</v>
      </c>
      <c r="K67" s="17" t="s">
        <v>23</v>
      </c>
      <c r="L67" s="26" t="s">
        <v>23</v>
      </c>
      <c r="M67" s="23" t="s">
        <v>354</v>
      </c>
      <c r="N67" s="31">
        <v>44175</v>
      </c>
      <c r="O67" s="5" t="s">
        <v>73</v>
      </c>
      <c r="P67" s="5" t="s">
        <v>74</v>
      </c>
      <c r="Q67" s="41">
        <f t="shared" si="6"/>
        <v>6</v>
      </c>
      <c r="R67" s="87">
        <f t="shared" ref="R67:R83" si="7">Q67/12</f>
        <v>0.5</v>
      </c>
      <c r="S67" s="57"/>
      <c r="T67" s="38"/>
    </row>
    <row r="68" spans="1:20">
      <c r="A68" s="16" t="s">
        <v>191</v>
      </c>
      <c r="B68" s="26" t="s">
        <v>193</v>
      </c>
      <c r="C68" s="23" t="s">
        <v>22</v>
      </c>
      <c r="D68" s="17" t="s">
        <v>23</v>
      </c>
      <c r="E68" s="17" t="s">
        <v>23</v>
      </c>
      <c r="F68" s="17" t="s">
        <v>193</v>
      </c>
      <c r="G68" s="17" t="s">
        <v>193</v>
      </c>
      <c r="H68" s="21" t="s">
        <v>355</v>
      </c>
      <c r="I68" s="18">
        <v>43770</v>
      </c>
      <c r="J68" s="18">
        <v>43830</v>
      </c>
      <c r="K68" s="17" t="s">
        <v>23</v>
      </c>
      <c r="L68" s="26" t="s">
        <v>23</v>
      </c>
      <c r="M68" s="23" t="s">
        <v>356</v>
      </c>
      <c r="N68" s="31">
        <v>43732</v>
      </c>
      <c r="O68" s="5" t="s">
        <v>73</v>
      </c>
      <c r="P68" s="5" t="s">
        <v>74</v>
      </c>
      <c r="Q68" s="41">
        <f t="shared" si="6"/>
        <v>1</v>
      </c>
      <c r="R68" s="87">
        <f t="shared" si="7"/>
        <v>8.3333333333333329E-2</v>
      </c>
      <c r="S68" s="57"/>
      <c r="T68" s="38"/>
    </row>
    <row r="69" spans="1:20">
      <c r="A69" s="16" t="s">
        <v>191</v>
      </c>
      <c r="B69" s="26" t="s">
        <v>193</v>
      </c>
      <c r="C69" s="23" t="s">
        <v>22</v>
      </c>
      <c r="D69" s="17" t="s">
        <v>23</v>
      </c>
      <c r="E69" s="17" t="s">
        <v>23</v>
      </c>
      <c r="F69" s="17" t="s">
        <v>193</v>
      </c>
      <c r="G69" s="17" t="s">
        <v>193</v>
      </c>
      <c r="H69" s="17" t="s">
        <v>357</v>
      </c>
      <c r="I69" s="18">
        <v>43770</v>
      </c>
      <c r="J69" s="18">
        <v>43830</v>
      </c>
      <c r="K69" s="17" t="s">
        <v>23</v>
      </c>
      <c r="L69" s="26" t="s">
        <v>23</v>
      </c>
      <c r="M69" s="23" t="s">
        <v>356</v>
      </c>
      <c r="N69" s="31">
        <v>43732</v>
      </c>
      <c r="O69" s="5" t="s">
        <v>73</v>
      </c>
      <c r="P69" s="5" t="s">
        <v>74</v>
      </c>
      <c r="Q69" s="41">
        <f t="shared" si="6"/>
        <v>1</v>
      </c>
      <c r="R69" s="87">
        <f t="shared" si="7"/>
        <v>8.3333333333333329E-2</v>
      </c>
      <c r="S69" s="57"/>
      <c r="T69" s="38"/>
    </row>
    <row r="70" spans="1:20">
      <c r="A70" s="16" t="s">
        <v>191</v>
      </c>
      <c r="B70" s="26" t="s">
        <v>193</v>
      </c>
      <c r="C70" s="23" t="s">
        <v>22</v>
      </c>
      <c r="D70" s="17" t="s">
        <v>23</v>
      </c>
      <c r="E70" s="17" t="s">
        <v>23</v>
      </c>
      <c r="F70" s="17" t="s">
        <v>193</v>
      </c>
      <c r="G70" s="17" t="s">
        <v>193</v>
      </c>
      <c r="H70" s="17" t="s">
        <v>358</v>
      </c>
      <c r="I70" s="18">
        <v>43770</v>
      </c>
      <c r="J70" s="18">
        <v>43830</v>
      </c>
      <c r="K70" s="17" t="s">
        <v>23</v>
      </c>
      <c r="L70" s="26" t="s">
        <v>23</v>
      </c>
      <c r="M70" s="23" t="s">
        <v>356</v>
      </c>
      <c r="N70" s="31">
        <v>43740</v>
      </c>
      <c r="O70" s="5" t="s">
        <v>73</v>
      </c>
      <c r="P70" s="5" t="s">
        <v>74</v>
      </c>
      <c r="Q70" s="41">
        <f t="shared" si="6"/>
        <v>0</v>
      </c>
      <c r="R70" s="87">
        <f t="shared" si="7"/>
        <v>0</v>
      </c>
      <c r="S70" s="57"/>
      <c r="T70" s="38"/>
    </row>
    <row r="71" spans="1:20">
      <c r="A71" s="16" t="s">
        <v>203</v>
      </c>
      <c r="B71" s="26" t="s">
        <v>193</v>
      </c>
      <c r="C71" s="23" t="s">
        <v>22</v>
      </c>
      <c r="D71" s="17" t="s">
        <v>23</v>
      </c>
      <c r="E71" s="17" t="s">
        <v>23</v>
      </c>
      <c r="F71" s="17" t="s">
        <v>193</v>
      </c>
      <c r="G71" s="17" t="s">
        <v>193</v>
      </c>
      <c r="H71" s="17" t="s">
        <v>359</v>
      </c>
      <c r="I71" s="18">
        <v>43465</v>
      </c>
      <c r="J71" s="18">
        <v>43646</v>
      </c>
      <c r="K71" s="17" t="s">
        <v>23</v>
      </c>
      <c r="L71" s="26" t="s">
        <v>23</v>
      </c>
      <c r="M71" s="23" t="s">
        <v>292</v>
      </c>
      <c r="N71" s="31">
        <v>43271</v>
      </c>
      <c r="O71" s="5" t="s">
        <v>73</v>
      </c>
      <c r="P71" s="5" t="s">
        <v>74</v>
      </c>
      <c r="Q71" s="41">
        <f t="shared" si="6"/>
        <v>6</v>
      </c>
      <c r="R71" s="87">
        <f t="shared" si="7"/>
        <v>0.5</v>
      </c>
      <c r="S71" s="57"/>
      <c r="T71" s="38"/>
    </row>
    <row r="72" spans="1:20">
      <c r="A72" s="16" t="s">
        <v>191</v>
      </c>
      <c r="B72" s="26" t="s">
        <v>193</v>
      </c>
      <c r="C72" s="23" t="s">
        <v>22</v>
      </c>
      <c r="D72" s="17" t="s">
        <v>23</v>
      </c>
      <c r="E72" s="17" t="s">
        <v>23</v>
      </c>
      <c r="F72" s="17" t="s">
        <v>193</v>
      </c>
      <c r="G72" s="17" t="s">
        <v>193</v>
      </c>
      <c r="H72" s="17" t="s">
        <v>360</v>
      </c>
      <c r="I72" s="18">
        <v>44347</v>
      </c>
      <c r="J72" s="18">
        <v>44500</v>
      </c>
      <c r="K72" s="17" t="s">
        <v>23</v>
      </c>
      <c r="L72" s="26" t="s">
        <v>23</v>
      </c>
      <c r="M72" s="23" t="s">
        <v>361</v>
      </c>
      <c r="N72" s="31">
        <v>44134</v>
      </c>
      <c r="O72" s="5" t="s">
        <v>73</v>
      </c>
      <c r="P72" s="5" t="s">
        <v>74</v>
      </c>
      <c r="Q72" s="41">
        <f t="shared" si="6"/>
        <v>7</v>
      </c>
      <c r="R72" s="87">
        <f t="shared" si="7"/>
        <v>0.58333333333333337</v>
      </c>
      <c r="S72" s="57"/>
      <c r="T72" s="38"/>
    </row>
    <row r="73" spans="1:20">
      <c r="A73" s="16" t="s">
        <v>191</v>
      </c>
      <c r="B73" s="26" t="s">
        <v>193</v>
      </c>
      <c r="C73" s="23" t="s">
        <v>22</v>
      </c>
      <c r="D73" s="17" t="s">
        <v>23</v>
      </c>
      <c r="E73" s="17" t="s">
        <v>23</v>
      </c>
      <c r="F73" s="17" t="s">
        <v>193</v>
      </c>
      <c r="G73" s="17" t="s">
        <v>193</v>
      </c>
      <c r="H73" s="17" t="s">
        <v>362</v>
      </c>
      <c r="I73" s="18">
        <v>44347</v>
      </c>
      <c r="J73" s="18">
        <v>44500</v>
      </c>
      <c r="K73" s="17" t="s">
        <v>23</v>
      </c>
      <c r="L73" s="26" t="s">
        <v>23</v>
      </c>
      <c r="M73" s="23" t="s">
        <v>361</v>
      </c>
      <c r="N73" s="31">
        <v>44134</v>
      </c>
      <c r="O73" s="5" t="s">
        <v>73</v>
      </c>
      <c r="P73" s="5" t="s">
        <v>74</v>
      </c>
      <c r="Q73" s="41">
        <f t="shared" si="6"/>
        <v>7</v>
      </c>
      <c r="R73" s="87">
        <f t="shared" si="7"/>
        <v>0.58333333333333337</v>
      </c>
      <c r="S73" s="57"/>
      <c r="T73" s="38"/>
    </row>
    <row r="74" spans="1:20">
      <c r="A74" s="64" t="s">
        <v>191</v>
      </c>
      <c r="B74" s="19" t="s">
        <v>193</v>
      </c>
      <c r="C74" s="65" t="s">
        <v>22</v>
      </c>
      <c r="D74" s="66" t="s">
        <v>23</v>
      </c>
      <c r="E74" s="66" t="s">
        <v>23</v>
      </c>
      <c r="F74" s="66" t="s">
        <v>193</v>
      </c>
      <c r="G74" s="66" t="s">
        <v>193</v>
      </c>
      <c r="H74" s="66" t="s">
        <v>362</v>
      </c>
      <c r="I74" s="67">
        <v>44347</v>
      </c>
      <c r="J74" s="67">
        <v>44500</v>
      </c>
      <c r="K74" s="66" t="s">
        <v>23</v>
      </c>
      <c r="L74" s="19" t="s">
        <v>23</v>
      </c>
      <c r="M74" s="65" t="s">
        <v>361</v>
      </c>
      <c r="N74" s="68">
        <v>44134</v>
      </c>
      <c r="O74" s="5" t="s">
        <v>73</v>
      </c>
      <c r="P74" s="5" t="s">
        <v>74</v>
      </c>
      <c r="Q74" s="41">
        <f t="shared" si="6"/>
        <v>7</v>
      </c>
      <c r="R74" s="87">
        <f t="shared" si="7"/>
        <v>0.58333333333333337</v>
      </c>
      <c r="S74" s="57"/>
      <c r="T74" s="38"/>
    </row>
    <row r="75" spans="1:20">
      <c r="A75" s="70" t="s">
        <v>191</v>
      </c>
      <c r="B75" s="70" t="s">
        <v>193</v>
      </c>
      <c r="C75" s="70" t="s">
        <v>22</v>
      </c>
      <c r="D75" s="70" t="s">
        <v>23</v>
      </c>
      <c r="E75" s="70" t="s">
        <v>23</v>
      </c>
      <c r="F75" s="70" t="s">
        <v>193</v>
      </c>
      <c r="G75" s="70" t="s">
        <v>193</v>
      </c>
      <c r="H75" s="70" t="s">
        <v>363</v>
      </c>
      <c r="I75" s="71">
        <v>43616</v>
      </c>
      <c r="J75" s="71">
        <v>43677</v>
      </c>
      <c r="K75" s="70" t="s">
        <v>23</v>
      </c>
      <c r="L75" s="70" t="s">
        <v>23</v>
      </c>
      <c r="M75" s="70" t="s">
        <v>292</v>
      </c>
      <c r="N75" s="71">
        <v>43418</v>
      </c>
      <c r="O75" s="45" t="s">
        <v>73</v>
      </c>
      <c r="P75" s="45" t="s">
        <v>74</v>
      </c>
      <c r="Q75" s="41">
        <f t="shared" si="6"/>
        <v>6</v>
      </c>
      <c r="R75" s="87">
        <f t="shared" si="7"/>
        <v>0.5</v>
      </c>
      <c r="S75" s="57"/>
      <c r="T75" s="38"/>
    </row>
    <row r="76" spans="1:20">
      <c r="A76" s="70" t="s">
        <v>191</v>
      </c>
      <c r="B76" s="70" t="s">
        <v>193</v>
      </c>
      <c r="C76" s="70" t="s">
        <v>364</v>
      </c>
      <c r="D76" s="70" t="s">
        <v>23</v>
      </c>
      <c r="E76" s="70" t="s">
        <v>23</v>
      </c>
      <c r="F76" s="70" t="s">
        <v>193</v>
      </c>
      <c r="G76" s="70" t="s">
        <v>193</v>
      </c>
      <c r="H76" s="70" t="s">
        <v>365</v>
      </c>
      <c r="I76" s="71">
        <v>44286</v>
      </c>
      <c r="J76" s="71">
        <v>44348</v>
      </c>
      <c r="K76" s="70" t="s">
        <v>22</v>
      </c>
      <c r="L76" s="70" t="s">
        <v>23</v>
      </c>
      <c r="M76" s="70" t="s">
        <v>366</v>
      </c>
      <c r="N76" s="71">
        <v>44180</v>
      </c>
      <c r="O76" s="45" t="s">
        <v>55</v>
      </c>
      <c r="P76" s="45" t="s">
        <v>103</v>
      </c>
      <c r="Q76" s="41">
        <f t="shared" si="6"/>
        <v>3</v>
      </c>
      <c r="R76" s="87">
        <f t="shared" si="7"/>
        <v>0.25</v>
      </c>
      <c r="S76" s="57"/>
      <c r="T76" s="38"/>
    </row>
    <row r="77" spans="1:20">
      <c r="A77" s="70" t="s">
        <v>191</v>
      </c>
      <c r="B77" s="70" t="s">
        <v>193</v>
      </c>
      <c r="C77" s="70" t="s">
        <v>22</v>
      </c>
      <c r="D77" s="70" t="s">
        <v>23</v>
      </c>
      <c r="E77" s="70" t="s">
        <v>23</v>
      </c>
      <c r="F77" s="70" t="s">
        <v>193</v>
      </c>
      <c r="G77" s="70" t="s">
        <v>193</v>
      </c>
      <c r="H77" s="70" t="s">
        <v>367</v>
      </c>
      <c r="I77" s="71">
        <v>43462</v>
      </c>
      <c r="J77" s="71">
        <v>43615</v>
      </c>
      <c r="K77" s="70" t="s">
        <v>23</v>
      </c>
      <c r="L77" s="70" t="s">
        <v>23</v>
      </c>
      <c r="M77" s="70" t="s">
        <v>368</v>
      </c>
      <c r="N77" s="71">
        <v>43409</v>
      </c>
      <c r="O77" s="45" t="s">
        <v>73</v>
      </c>
      <c r="P77" s="45" t="s">
        <v>74</v>
      </c>
      <c r="Q77" s="41">
        <f t="shared" si="6"/>
        <v>1</v>
      </c>
      <c r="R77" s="87">
        <f t="shared" si="7"/>
        <v>8.3333333333333329E-2</v>
      </c>
      <c r="S77" s="57"/>
      <c r="T77" s="38"/>
    </row>
    <row r="78" spans="1:20">
      <c r="A78" s="70" t="s">
        <v>191</v>
      </c>
      <c r="B78" s="70" t="s">
        <v>193</v>
      </c>
      <c r="C78" s="70" t="s">
        <v>22</v>
      </c>
      <c r="D78" s="70" t="s">
        <v>23</v>
      </c>
      <c r="E78" s="70" t="s">
        <v>23</v>
      </c>
      <c r="F78" s="70" t="s">
        <v>193</v>
      </c>
      <c r="G78" s="70" t="s">
        <v>193</v>
      </c>
      <c r="H78" s="70" t="s">
        <v>369</v>
      </c>
      <c r="I78" s="71">
        <v>43539</v>
      </c>
      <c r="J78" s="71">
        <v>43830</v>
      </c>
      <c r="K78" s="70" t="s">
        <v>23</v>
      </c>
      <c r="L78" s="70" t="s">
        <v>23</v>
      </c>
      <c r="M78" s="70" t="s">
        <v>370</v>
      </c>
      <c r="N78" s="71">
        <v>43415</v>
      </c>
      <c r="O78" s="45" t="s">
        <v>73</v>
      </c>
      <c r="P78" s="45" t="s">
        <v>74</v>
      </c>
      <c r="Q78" s="41">
        <f t="shared" si="6"/>
        <v>4</v>
      </c>
      <c r="R78" s="87">
        <f t="shared" si="7"/>
        <v>0.33333333333333331</v>
      </c>
      <c r="S78" s="57"/>
      <c r="T78" s="38"/>
    </row>
    <row r="79" spans="1:20">
      <c r="A79" s="70" t="s">
        <v>191</v>
      </c>
      <c r="B79" s="70" t="s">
        <v>193</v>
      </c>
      <c r="C79" s="70" t="s">
        <v>22</v>
      </c>
      <c r="D79" s="70" t="s">
        <v>22</v>
      </c>
      <c r="E79" s="70" t="s">
        <v>23</v>
      </c>
      <c r="F79" s="70" t="s">
        <v>193</v>
      </c>
      <c r="G79" s="70" t="s">
        <v>193</v>
      </c>
      <c r="H79" s="70" t="s">
        <v>371</v>
      </c>
      <c r="I79" s="71">
        <v>43983</v>
      </c>
      <c r="J79" s="71">
        <v>44561</v>
      </c>
      <c r="K79" s="70" t="s">
        <v>22</v>
      </c>
      <c r="L79" s="70" t="s">
        <v>22</v>
      </c>
      <c r="M79" s="70" t="s">
        <v>273</v>
      </c>
      <c r="N79" s="71">
        <v>43812</v>
      </c>
      <c r="O79" s="45" t="s">
        <v>73</v>
      </c>
      <c r="P79" s="45" t="s">
        <v>74</v>
      </c>
      <c r="Q79" s="41">
        <f t="shared" si="6"/>
        <v>5</v>
      </c>
      <c r="R79" s="87">
        <f t="shared" si="7"/>
        <v>0.41666666666666669</v>
      </c>
      <c r="S79" s="57"/>
      <c r="T79" s="38"/>
    </row>
    <row r="80" spans="1:20">
      <c r="A80" s="70" t="s">
        <v>191</v>
      </c>
      <c r="B80" s="70" t="s">
        <v>193</v>
      </c>
      <c r="C80" s="70" t="s">
        <v>22</v>
      </c>
      <c r="D80" s="70" t="s">
        <v>23</v>
      </c>
      <c r="E80" s="70" t="s">
        <v>23</v>
      </c>
      <c r="F80" s="70" t="s">
        <v>193</v>
      </c>
      <c r="G80" s="70" t="s">
        <v>193</v>
      </c>
      <c r="H80" s="70" t="s">
        <v>372</v>
      </c>
      <c r="I80" s="71">
        <v>44094</v>
      </c>
      <c r="J80" s="71">
        <v>44275</v>
      </c>
      <c r="K80" s="70" t="s">
        <v>23</v>
      </c>
      <c r="L80" s="70" t="s">
        <v>23</v>
      </c>
      <c r="M80" s="70" t="s">
        <v>373</v>
      </c>
      <c r="N80" s="71">
        <v>43910</v>
      </c>
      <c r="O80" s="45" t="s">
        <v>73</v>
      </c>
      <c r="P80" s="45" t="s">
        <v>74</v>
      </c>
      <c r="Q80" s="41">
        <f t="shared" si="6"/>
        <v>6</v>
      </c>
      <c r="R80" s="87">
        <f t="shared" si="7"/>
        <v>0.5</v>
      </c>
      <c r="S80" s="57"/>
      <c r="T80" s="38"/>
    </row>
    <row r="81" spans="1:20">
      <c r="A81" s="70" t="s">
        <v>191</v>
      </c>
      <c r="B81" s="70" t="s">
        <v>193</v>
      </c>
      <c r="C81" s="70" t="s">
        <v>22</v>
      </c>
      <c r="D81" s="70" t="s">
        <v>23</v>
      </c>
      <c r="E81" s="70" t="s">
        <v>23</v>
      </c>
      <c r="F81" s="70" t="s">
        <v>193</v>
      </c>
      <c r="G81" s="70" t="s">
        <v>193</v>
      </c>
      <c r="H81" s="70" t="s">
        <v>374</v>
      </c>
      <c r="I81" s="70" t="s">
        <v>23</v>
      </c>
      <c r="J81" s="70" t="s">
        <v>23</v>
      </c>
      <c r="K81" s="70" t="s">
        <v>23</v>
      </c>
      <c r="L81" s="70" t="s">
        <v>23</v>
      </c>
      <c r="M81" s="70" t="s">
        <v>375</v>
      </c>
      <c r="N81" s="71">
        <v>43965</v>
      </c>
      <c r="O81" s="45" t="s">
        <v>73</v>
      </c>
      <c r="P81" s="45" t="s">
        <v>74</v>
      </c>
      <c r="Q81" s="41"/>
      <c r="R81" s="87"/>
      <c r="S81" s="57"/>
      <c r="T81" s="38"/>
    </row>
    <row r="82" spans="1:20">
      <c r="A82" s="70" t="s">
        <v>191</v>
      </c>
      <c r="B82" s="70" t="s">
        <v>193</v>
      </c>
      <c r="C82" s="70" t="s">
        <v>22</v>
      </c>
      <c r="D82" s="70" t="s">
        <v>23</v>
      </c>
      <c r="E82" s="70" t="s">
        <v>23</v>
      </c>
      <c r="F82" s="70" t="s">
        <v>193</v>
      </c>
      <c r="G82" s="70" t="s">
        <v>193</v>
      </c>
      <c r="H82" s="70" t="s">
        <v>376</v>
      </c>
      <c r="I82" s="71">
        <v>44561</v>
      </c>
      <c r="J82" s="71">
        <v>44742</v>
      </c>
      <c r="K82" s="70" t="s">
        <v>23</v>
      </c>
      <c r="L82" s="70" t="s">
        <v>23</v>
      </c>
      <c r="M82" s="70" t="s">
        <v>377</v>
      </c>
      <c r="N82" s="71">
        <v>44372</v>
      </c>
      <c r="O82" s="78" t="s">
        <v>73</v>
      </c>
      <c r="P82" s="78" t="s">
        <v>74</v>
      </c>
      <c r="Q82" s="50">
        <f>DATEDIF(N82,I82, "m")</f>
        <v>6</v>
      </c>
      <c r="R82" s="87">
        <f t="shared" si="7"/>
        <v>0.5</v>
      </c>
      <c r="S82" s="69"/>
      <c r="T82" s="38"/>
    </row>
    <row r="83" spans="1:20">
      <c r="A83" s="70" t="s">
        <v>191</v>
      </c>
      <c r="B83" s="70" t="s">
        <v>193</v>
      </c>
      <c r="C83" s="70" t="s">
        <v>22</v>
      </c>
      <c r="D83" s="70" t="s">
        <v>23</v>
      </c>
      <c r="E83" s="70" t="s">
        <v>23</v>
      </c>
      <c r="F83" s="70" t="s">
        <v>193</v>
      </c>
      <c r="G83" s="70" t="s">
        <v>193</v>
      </c>
      <c r="H83" s="70" t="s">
        <v>378</v>
      </c>
      <c r="I83" s="71">
        <v>43162</v>
      </c>
      <c r="J83" s="71">
        <v>43340</v>
      </c>
      <c r="K83" s="70" t="s">
        <v>23</v>
      </c>
      <c r="L83" s="70" t="s">
        <v>23</v>
      </c>
      <c r="M83" s="70" t="s">
        <v>379</v>
      </c>
      <c r="N83" s="79">
        <v>42975</v>
      </c>
      <c r="O83" s="5" t="s">
        <v>55</v>
      </c>
      <c r="P83" s="5" t="s">
        <v>103</v>
      </c>
      <c r="Q83" s="27">
        <f>DATEDIF(N83,I83, "m")</f>
        <v>6</v>
      </c>
      <c r="R83" s="87">
        <f t="shared" si="7"/>
        <v>0.5</v>
      </c>
      <c r="S83" s="57"/>
      <c r="T83" s="38"/>
    </row>
    <row r="84" spans="1:20">
      <c r="P84" s="36" t="s">
        <v>187</v>
      </c>
      <c r="Q84" s="90">
        <f>AVERAGE(Q2:Q83)</f>
        <v>4.9733333333333336</v>
      </c>
      <c r="R84" s="90">
        <f>AVERAGE(R2:R83)</f>
        <v>0.41444444444444434</v>
      </c>
      <c r="S84" s="91">
        <f>AVERAGE(S2:S83)</f>
        <v>51</v>
      </c>
    </row>
    <row r="85" spans="1:20">
      <c r="P85" s="36" t="s">
        <v>188</v>
      </c>
      <c r="Q85" s="92">
        <f>MEDIAN(Q2:Q83)</f>
        <v>5</v>
      </c>
      <c r="R85" s="92">
        <f>MEDIAN(R2:R83)</f>
        <v>0.41666666666666669</v>
      </c>
      <c r="S85" s="93">
        <f>MEDIAN(S2:S83)</f>
        <v>51</v>
      </c>
    </row>
    <row r="86" spans="1:20">
      <c r="P86" s="80" t="s">
        <v>189</v>
      </c>
      <c r="Q86" s="93">
        <f>MAX(Q2:Q83)-MIN(Q2:Q83)</f>
        <v>18</v>
      </c>
      <c r="R86" s="93">
        <f>MAX(R2:R83)-MIN(R2:R83)</f>
        <v>1.5</v>
      </c>
      <c r="S86" s="93">
        <f>MAX(S2:S83)-MIN(S2:S83)</f>
        <v>0</v>
      </c>
    </row>
    <row r="87" spans="1:20">
      <c r="P87" s="36" t="s">
        <v>190</v>
      </c>
      <c r="Q87" s="93">
        <f>_xlfn.STDEV.P(Q2:Q83)</f>
        <v>2.8141231118927417</v>
      </c>
      <c r="R87" s="93">
        <f>_xlfn.STDEV.P(R2:R83)</f>
        <v>0.23451025932439531</v>
      </c>
      <c r="S87" s="93">
        <f>_xlfn.STDEV.P(S2:S83)</f>
        <v>0</v>
      </c>
    </row>
  </sheetData>
  <hyperlinks>
    <hyperlink ref="H11" r:id="rId1"/>
    <hyperlink ref="H12" r:id="rId2"/>
    <hyperlink ref="H13" r:id="rId3"/>
    <hyperlink ref="H14" r:id="rId4"/>
    <hyperlink ref="H23" r:id="rId5"/>
    <hyperlink ref="H68" r:id="rId6"/>
    <hyperlink ref="H2" r:id="rId7"/>
    <hyperlink ref="D2" r:id="rId8" display="https://www.vishay.com/docs/31013/ccf07.pdf"/>
    <hyperlink ref="H3" r:id="rId9"/>
    <hyperlink ref="D3" r:id="rId10"/>
    <hyperlink ref="H4" r:id="rId11"/>
    <hyperlink ref="H5" r:id="rId12"/>
    <hyperlink ref="H6" r:id="rId13"/>
    <hyperlink ref="H7" r:id="rId14"/>
    <hyperlink ref="H8" r:id="rId15"/>
    <hyperlink ref="H9" r:id="rId16"/>
    <hyperlink ref="H10" r:id="rId17"/>
    <hyperlink ref="H15" r:id="rId18"/>
    <hyperlink ref="H16" r:id="rId19"/>
    <hyperlink ref="H17" r:id="rId20"/>
    <hyperlink ref="H18" r:id="rId21"/>
    <hyperlink ref="H19" r:id="rId22"/>
    <hyperlink ref="H20" r:id="rId23"/>
    <hyperlink ref="H21" r:id="rId24"/>
    <hyperlink ref="H22" r:id="rId25"/>
    <hyperlink ref="H24" r:id="rId26"/>
    <hyperlink ref="H25" r:id="rId27"/>
    <hyperlink ref="H26" r:id="rId28"/>
    <hyperlink ref="H27" r:id="rId29"/>
    <hyperlink ref="H28" r:id="rId30"/>
    <hyperlink ref="H29" r:id="rId31"/>
    <hyperlink ref="H30" r:id="rId32"/>
    <hyperlink ref="H31" r:id="rId33"/>
    <hyperlink ref="H32" r:id="rId34"/>
    <hyperlink ref="H33" r:id="rId35"/>
  </hyperlinks>
  <pageMargins left="0.7" right="0.7" top="0.75" bottom="0.75" header="0.3" footer="0.3"/>
  <drawing r:id="rId3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9"/>
  </sheetPr>
  <dimension ref="A1:AH68"/>
  <sheetViews>
    <sheetView topLeftCell="U15" zoomScale="85" zoomScaleNormal="85" workbookViewId="0">
      <selection activeCell="AH19" sqref="AH19:AH24"/>
    </sheetView>
  </sheetViews>
  <sheetFormatPr baseColWidth="10" defaultColWidth="11.41796875" defaultRowHeight="14.4"/>
  <cols>
    <col min="1" max="1" width="10.578125"/>
    <col min="2" max="3" width="17.41796875" bestFit="1" customWidth="1"/>
    <col min="4" max="4" width="17.41796875" customWidth="1"/>
    <col min="5" max="5" width="35.578125" bestFit="1" customWidth="1"/>
    <col min="6" max="6" width="12.41796875" bestFit="1" customWidth="1"/>
    <col min="7" max="7" width="13.578125" bestFit="1" customWidth="1"/>
    <col min="8" max="8" width="19" bestFit="1" customWidth="1"/>
    <col min="9" max="9" width="16.578125" bestFit="1" customWidth="1"/>
    <col min="10" max="10" width="23.41796875" bestFit="1" customWidth="1"/>
    <col min="11" max="11" width="20.41796875" bestFit="1" customWidth="1"/>
    <col min="12" max="12" width="21.578125" bestFit="1" customWidth="1"/>
    <col min="13" max="13" width="75.578125" bestFit="1" customWidth="1"/>
    <col min="15" max="16" width="31.578125" bestFit="1" customWidth="1"/>
    <col min="17" max="18" width="68.578125" style="38" bestFit="1" customWidth="1"/>
    <col min="19" max="20" width="97.578125" bestFit="1" customWidth="1"/>
    <col min="21" max="21" width="21.41796875" customWidth="1"/>
    <col min="22" max="22" width="31.578125" bestFit="1" customWidth="1"/>
    <col min="25" max="25" width="31.578125" bestFit="1" customWidth="1"/>
  </cols>
  <sheetData>
    <row r="1" spans="1:34">
      <c r="A1" s="2" t="s">
        <v>0</v>
      </c>
      <c r="B1" s="2" t="s">
        <v>1</v>
      </c>
      <c r="C1" s="2" t="s">
        <v>2</v>
      </c>
      <c r="D1" s="2" t="s">
        <v>3</v>
      </c>
      <c r="E1" s="2" t="s">
        <v>4</v>
      </c>
      <c r="F1" s="2" t="s">
        <v>5</v>
      </c>
      <c r="G1" s="2" t="s">
        <v>6</v>
      </c>
      <c r="H1" s="2" t="s">
        <v>7</v>
      </c>
      <c r="I1" s="6" t="s">
        <v>8</v>
      </c>
      <c r="J1" s="2" t="s">
        <v>9</v>
      </c>
      <c r="K1" s="2" t="s">
        <v>10</v>
      </c>
      <c r="L1" s="2" t="s">
        <v>11</v>
      </c>
      <c r="M1" s="11" t="s">
        <v>12</v>
      </c>
      <c r="N1" s="2" t="s">
        <v>13</v>
      </c>
      <c r="O1" s="22" t="s">
        <v>14</v>
      </c>
      <c r="P1" s="22" t="s">
        <v>15</v>
      </c>
      <c r="Q1" s="43" t="s">
        <v>16</v>
      </c>
      <c r="R1" s="43" t="s">
        <v>16</v>
      </c>
      <c r="S1" s="56" t="s">
        <v>18</v>
      </c>
      <c r="T1" s="56" t="s">
        <v>18</v>
      </c>
      <c r="U1" s="38"/>
    </row>
    <row r="2" spans="1:34">
      <c r="A2" s="1" t="s">
        <v>20</v>
      </c>
      <c r="B2" s="1" t="s">
        <v>380</v>
      </c>
      <c r="C2" s="1" t="s">
        <v>381</v>
      </c>
      <c r="D2" s="9" t="s">
        <v>382</v>
      </c>
      <c r="E2" s="1"/>
      <c r="F2" s="1"/>
      <c r="G2" s="4">
        <v>39951</v>
      </c>
      <c r="H2" s="9" t="s">
        <v>383</v>
      </c>
      <c r="I2" s="4">
        <v>40718</v>
      </c>
      <c r="J2" s="4">
        <v>40932</v>
      </c>
      <c r="K2" s="1" t="s">
        <v>381</v>
      </c>
      <c r="L2" s="1" t="s">
        <v>23</v>
      </c>
      <c r="M2" s="12" t="s">
        <v>384</v>
      </c>
      <c r="N2" s="4">
        <v>40567</v>
      </c>
      <c r="O2" s="24" t="s">
        <v>55</v>
      </c>
      <c r="P2" s="41" t="s">
        <v>103</v>
      </c>
      <c r="Q2" s="44">
        <f>DATEDIF(N2,I2, "m")</f>
        <v>5</v>
      </c>
      <c r="R2" s="87">
        <f>Q2/12</f>
        <v>0.41666666666666669</v>
      </c>
      <c r="S2" s="57">
        <f>DATEDIF(G2,J2,"m")</f>
        <v>32</v>
      </c>
      <c r="T2" s="86">
        <f>S2/12</f>
        <v>2.6666666666666665</v>
      </c>
      <c r="U2" s="38"/>
    </row>
    <row r="3" spans="1:34">
      <c r="A3" s="1" t="s">
        <v>20</v>
      </c>
      <c r="B3" s="1" t="s">
        <v>380</v>
      </c>
      <c r="C3" s="1" t="s">
        <v>381</v>
      </c>
      <c r="D3" s="9" t="s">
        <v>385</v>
      </c>
      <c r="E3" s="1"/>
      <c r="F3" s="1"/>
      <c r="G3" s="4">
        <v>39377</v>
      </c>
      <c r="H3" s="3" t="s">
        <v>386</v>
      </c>
      <c r="I3" s="4">
        <v>40379</v>
      </c>
      <c r="J3" s="4">
        <v>40471</v>
      </c>
      <c r="K3" s="1" t="s">
        <v>23</v>
      </c>
      <c r="L3" s="1" t="s">
        <v>23</v>
      </c>
      <c r="M3" s="12" t="s">
        <v>387</v>
      </c>
      <c r="N3" s="4">
        <v>40198</v>
      </c>
      <c r="O3" s="24" t="s">
        <v>36</v>
      </c>
      <c r="P3" s="41" t="s">
        <v>28</v>
      </c>
      <c r="Q3" s="44">
        <f>DATEDIF(N3,I3, "m")</f>
        <v>6</v>
      </c>
      <c r="R3" s="87">
        <f t="shared" ref="R3:R64" si="0">Q3/12</f>
        <v>0.5</v>
      </c>
      <c r="S3" s="57">
        <f>DATEDIF(G3,J3,"m")</f>
        <v>35</v>
      </c>
      <c r="T3" s="86">
        <f t="shared" ref="T3:T64" si="1">S3/12</f>
        <v>2.9166666666666665</v>
      </c>
      <c r="U3" s="38"/>
    </row>
    <row r="4" spans="1:34">
      <c r="A4" s="1" t="s">
        <v>20</v>
      </c>
      <c r="B4" s="1" t="s">
        <v>380</v>
      </c>
      <c r="C4" s="1" t="s">
        <v>388</v>
      </c>
      <c r="D4" s="1" t="s">
        <v>23</v>
      </c>
      <c r="E4" s="1"/>
      <c r="F4" s="1"/>
      <c r="G4" s="1" t="s">
        <v>23</v>
      </c>
      <c r="H4" s="9" t="s">
        <v>389</v>
      </c>
      <c r="I4" s="4">
        <v>42260</v>
      </c>
      <c r="J4" s="4">
        <v>42442</v>
      </c>
      <c r="K4" s="1" t="s">
        <v>381</v>
      </c>
      <c r="L4" s="1" t="s">
        <v>23</v>
      </c>
      <c r="M4" s="12" t="s">
        <v>390</v>
      </c>
      <c r="N4" s="4">
        <v>42076</v>
      </c>
      <c r="O4" s="24" t="s">
        <v>60</v>
      </c>
      <c r="P4" s="41" t="s">
        <v>28</v>
      </c>
      <c r="Q4" s="44">
        <f>DATEDIF(N4,I4, "m")</f>
        <v>6</v>
      </c>
      <c r="R4" s="87">
        <f t="shared" si="0"/>
        <v>0.5</v>
      </c>
      <c r="S4" s="57"/>
      <c r="T4" s="86"/>
      <c r="U4" s="38"/>
    </row>
    <row r="5" spans="1:34">
      <c r="A5" s="1" t="s">
        <v>20</v>
      </c>
      <c r="B5" s="1" t="s">
        <v>380</v>
      </c>
      <c r="C5" s="1" t="s">
        <v>391</v>
      </c>
      <c r="D5" s="1" t="s">
        <v>23</v>
      </c>
      <c r="E5" s="1"/>
      <c r="F5" s="1"/>
      <c r="G5" s="1" t="s">
        <v>23</v>
      </c>
      <c r="H5" s="3" t="s">
        <v>392</v>
      </c>
      <c r="I5" s="4">
        <v>39722</v>
      </c>
      <c r="J5" s="4">
        <v>39834</v>
      </c>
      <c r="K5" s="1" t="s">
        <v>393</v>
      </c>
      <c r="L5" s="1" t="s">
        <v>23</v>
      </c>
      <c r="M5" s="13" t="s">
        <v>394</v>
      </c>
      <c r="N5" s="4">
        <v>40199</v>
      </c>
      <c r="O5" s="24" t="s">
        <v>55</v>
      </c>
      <c r="P5" s="41" t="s">
        <v>103</v>
      </c>
      <c r="Q5" s="44"/>
      <c r="R5" s="87"/>
      <c r="S5" s="57"/>
      <c r="T5" s="86"/>
      <c r="U5" s="38"/>
    </row>
    <row r="6" spans="1:34">
      <c r="A6" s="1" t="s">
        <v>20</v>
      </c>
      <c r="B6" s="1" t="s">
        <v>380</v>
      </c>
      <c r="C6" s="1" t="s">
        <v>381</v>
      </c>
      <c r="D6" s="3" t="s">
        <v>395</v>
      </c>
      <c r="E6" s="1"/>
      <c r="F6" s="1"/>
      <c r="G6" s="4">
        <v>42499</v>
      </c>
      <c r="H6" s="9" t="s">
        <v>383</v>
      </c>
      <c r="I6" s="4">
        <v>42672</v>
      </c>
      <c r="J6" s="4">
        <v>42854</v>
      </c>
      <c r="K6" s="1" t="s">
        <v>381</v>
      </c>
      <c r="L6" s="1" t="s">
        <v>23</v>
      </c>
      <c r="M6" s="12" t="s">
        <v>396</v>
      </c>
      <c r="N6" s="4">
        <v>42489</v>
      </c>
      <c r="O6" s="24" t="s">
        <v>55</v>
      </c>
      <c r="P6" s="24" t="s">
        <v>103</v>
      </c>
      <c r="Q6" s="44">
        <f>DATEDIF(N6,I6, "m")</f>
        <v>6</v>
      </c>
      <c r="R6" s="87">
        <f t="shared" si="0"/>
        <v>0.5</v>
      </c>
      <c r="S6" s="57">
        <f>DATEDIF(G6,J6,"m")</f>
        <v>11</v>
      </c>
      <c r="T6" s="86">
        <f t="shared" si="1"/>
        <v>0.91666666666666663</v>
      </c>
      <c r="U6" s="38"/>
    </row>
    <row r="7" spans="1:34">
      <c r="A7" s="1" t="s">
        <v>20</v>
      </c>
      <c r="B7" s="1" t="s">
        <v>380</v>
      </c>
      <c r="C7" s="1" t="s">
        <v>381</v>
      </c>
      <c r="D7" s="9" t="s">
        <v>397</v>
      </c>
      <c r="E7" s="1"/>
      <c r="F7" s="1"/>
      <c r="G7" s="4">
        <v>39531</v>
      </c>
      <c r="H7" s="9" t="s">
        <v>383</v>
      </c>
      <c r="I7" s="4">
        <v>40402</v>
      </c>
      <c r="J7" s="1" t="s">
        <v>23</v>
      </c>
      <c r="K7" s="1" t="s">
        <v>23</v>
      </c>
      <c r="L7" s="1" t="s">
        <v>23</v>
      </c>
      <c r="M7" s="12" t="s">
        <v>398</v>
      </c>
      <c r="N7" s="4">
        <v>40221</v>
      </c>
      <c r="O7" s="24" t="s">
        <v>36</v>
      </c>
      <c r="P7" s="24" t="s">
        <v>28</v>
      </c>
      <c r="Q7" s="44">
        <f>DATEDIF(N7,I7, "m")</f>
        <v>6</v>
      </c>
      <c r="R7" s="87">
        <f t="shared" si="0"/>
        <v>0.5</v>
      </c>
      <c r="S7" s="57"/>
      <c r="T7" s="86"/>
      <c r="U7" s="38"/>
      <c r="V7" s="36" t="s">
        <v>14</v>
      </c>
      <c r="W7" s="34"/>
      <c r="Y7" s="46" t="s">
        <v>43</v>
      </c>
      <c r="Z7" s="55" t="s">
        <v>44</v>
      </c>
      <c r="AA7" s="46" t="s">
        <v>45</v>
      </c>
      <c r="AF7" s="46" t="s">
        <v>18</v>
      </c>
      <c r="AG7" s="55" t="s">
        <v>44</v>
      </c>
      <c r="AH7" s="46" t="s">
        <v>45</v>
      </c>
    </row>
    <row r="8" spans="1:34" ht="28.8">
      <c r="A8" s="1" t="s">
        <v>20</v>
      </c>
      <c r="B8" s="1" t="s">
        <v>380</v>
      </c>
      <c r="C8" s="1" t="s">
        <v>381</v>
      </c>
      <c r="D8" s="9" t="s">
        <v>399</v>
      </c>
      <c r="E8" s="1"/>
      <c r="F8" s="1"/>
      <c r="G8" s="4">
        <v>40826</v>
      </c>
      <c r="H8" s="9" t="s">
        <v>383</v>
      </c>
      <c r="I8" s="4">
        <v>41201</v>
      </c>
      <c r="J8" s="1" t="s">
        <v>23</v>
      </c>
      <c r="K8" s="1" t="s">
        <v>381</v>
      </c>
      <c r="L8" s="1" t="s">
        <v>23</v>
      </c>
      <c r="M8" s="12" t="s">
        <v>384</v>
      </c>
      <c r="N8" s="4">
        <v>41018</v>
      </c>
      <c r="O8" s="24" t="s">
        <v>55</v>
      </c>
      <c r="P8" s="24" t="s">
        <v>103</v>
      </c>
      <c r="Q8" s="44">
        <f>DATEDIF(N8,I8, "m")</f>
        <v>6</v>
      </c>
      <c r="R8" s="87">
        <f t="shared" si="0"/>
        <v>0.5</v>
      </c>
      <c r="S8" s="57"/>
      <c r="T8" s="86"/>
      <c r="U8" s="38"/>
      <c r="V8" s="5" t="s">
        <v>540</v>
      </c>
      <c r="W8" s="1">
        <f t="shared" ref="W8:W14" si="2">COUNTIF($O$2:$O$64,V8)</f>
        <v>0</v>
      </c>
      <c r="Y8" s="49" t="s">
        <v>50</v>
      </c>
      <c r="Z8" s="51">
        <f>COUNTIF($Q$2:$Q$64,"&lt;4")</f>
        <v>5</v>
      </c>
      <c r="AA8" s="24">
        <f>Z8</f>
        <v>5</v>
      </c>
      <c r="AF8" s="49" t="s">
        <v>51</v>
      </c>
      <c r="AG8" s="51">
        <f>COUNTIF($S$2:$S$64,"&lt;21")</f>
        <v>3</v>
      </c>
      <c r="AH8" s="24">
        <f>AG8</f>
        <v>3</v>
      </c>
    </row>
    <row r="9" spans="1:34">
      <c r="A9" s="1" t="s">
        <v>20</v>
      </c>
      <c r="B9" s="1" t="s">
        <v>380</v>
      </c>
      <c r="C9" s="1" t="s">
        <v>381</v>
      </c>
      <c r="D9" s="9" t="s">
        <v>400</v>
      </c>
      <c r="E9" s="1"/>
      <c r="F9" s="1"/>
      <c r="G9" s="4">
        <v>39510</v>
      </c>
      <c r="H9" s="9" t="s">
        <v>383</v>
      </c>
      <c r="I9" s="4">
        <v>42600</v>
      </c>
      <c r="J9" s="4">
        <v>42418</v>
      </c>
      <c r="K9" s="1" t="s">
        <v>381</v>
      </c>
      <c r="L9" s="1" t="s">
        <v>23</v>
      </c>
      <c r="M9" s="12" t="s">
        <v>396</v>
      </c>
      <c r="N9" s="4">
        <v>42053</v>
      </c>
      <c r="O9" s="24" t="s">
        <v>55</v>
      </c>
      <c r="P9" s="24" t="s">
        <v>103</v>
      </c>
      <c r="Q9" s="44">
        <f>DATEDIF(N9,I9, "m")</f>
        <v>18</v>
      </c>
      <c r="R9" s="87">
        <f t="shared" si="0"/>
        <v>1.5</v>
      </c>
      <c r="S9" s="57">
        <f>DATEDIF(G9,J9,"m")</f>
        <v>95</v>
      </c>
      <c r="T9" s="86">
        <f t="shared" si="1"/>
        <v>7.916666666666667</v>
      </c>
      <c r="U9" s="38"/>
      <c r="V9" s="5" t="s">
        <v>55</v>
      </c>
      <c r="W9" s="1">
        <f t="shared" si="2"/>
        <v>20</v>
      </c>
      <c r="Y9" s="41" t="s">
        <v>56</v>
      </c>
      <c r="Z9" s="51">
        <f>COUNTIF($Q$2:$Q$64,"&lt;7")</f>
        <v>42</v>
      </c>
      <c r="AA9" s="24">
        <f>Z9-Z8</f>
        <v>37</v>
      </c>
      <c r="AF9" s="41" t="s">
        <v>57</v>
      </c>
      <c r="AG9" s="51">
        <f>COUNTIF($S$2:$S$64,"&lt;41")</f>
        <v>14</v>
      </c>
      <c r="AH9" s="24">
        <f>AG9-AG8</f>
        <v>11</v>
      </c>
    </row>
    <row r="10" spans="1:34">
      <c r="A10" s="1" t="s">
        <v>20</v>
      </c>
      <c r="B10" s="1" t="s">
        <v>380</v>
      </c>
      <c r="C10" s="1" t="s">
        <v>401</v>
      </c>
      <c r="D10" s="9" t="s">
        <v>402</v>
      </c>
      <c r="E10" s="1"/>
      <c r="F10" s="1"/>
      <c r="G10" s="4">
        <v>40245</v>
      </c>
      <c r="H10" s="9" t="s">
        <v>383</v>
      </c>
      <c r="I10" s="1" t="s">
        <v>23</v>
      </c>
      <c r="J10" s="1" t="s">
        <v>23</v>
      </c>
      <c r="K10" s="1" t="s">
        <v>403</v>
      </c>
      <c r="L10" s="1" t="s">
        <v>23</v>
      </c>
      <c r="M10" s="12" t="s">
        <v>404</v>
      </c>
      <c r="N10" s="4">
        <v>40235</v>
      </c>
      <c r="O10" s="24" t="s">
        <v>55</v>
      </c>
      <c r="P10" s="24" t="s">
        <v>103</v>
      </c>
      <c r="Q10" s="44"/>
      <c r="R10" s="87"/>
      <c r="S10" s="57"/>
      <c r="T10" s="86"/>
      <c r="U10" s="38"/>
      <c r="V10" s="5" t="s">
        <v>60</v>
      </c>
      <c r="W10" s="1">
        <f t="shared" si="2"/>
        <v>24</v>
      </c>
      <c r="Y10" s="41" t="s">
        <v>61</v>
      </c>
      <c r="Z10" s="51">
        <f>COUNTIF($Q$2:$Q$64,"&lt;10")</f>
        <v>54</v>
      </c>
      <c r="AA10" s="24">
        <f>Z10-Z9</f>
        <v>12</v>
      </c>
      <c r="AF10" s="41" t="s">
        <v>62</v>
      </c>
      <c r="AG10" s="51">
        <f>COUNTIF($S$2:$S$64,"&lt;61")</f>
        <v>20</v>
      </c>
      <c r="AH10" s="24">
        <f>AG10-AG9</f>
        <v>6</v>
      </c>
    </row>
    <row r="11" spans="1:34">
      <c r="A11" s="1" t="s">
        <v>20</v>
      </c>
      <c r="B11" s="1" t="s">
        <v>380</v>
      </c>
      <c r="C11" s="1" t="s">
        <v>405</v>
      </c>
      <c r="D11" s="3" t="s">
        <v>406</v>
      </c>
      <c r="E11" s="1"/>
      <c r="F11" s="1"/>
      <c r="G11" s="4">
        <v>40833</v>
      </c>
      <c r="H11" s="3" t="s">
        <v>407</v>
      </c>
      <c r="I11" s="4">
        <v>42004</v>
      </c>
      <c r="J11" s="4">
        <v>42185</v>
      </c>
      <c r="K11" s="1" t="s">
        <v>408</v>
      </c>
      <c r="L11" s="1" t="s">
        <v>23</v>
      </c>
      <c r="M11" s="12" t="s">
        <v>390</v>
      </c>
      <c r="N11" s="4">
        <v>41715</v>
      </c>
      <c r="O11" s="24" t="s">
        <v>60</v>
      </c>
      <c r="P11" s="24" t="s">
        <v>28</v>
      </c>
      <c r="Q11" s="44">
        <f t="shared" ref="Q11:Q30" si="3">DATEDIF(N11,I11, "m")</f>
        <v>9</v>
      </c>
      <c r="R11" s="87">
        <f t="shared" si="0"/>
        <v>0.75</v>
      </c>
      <c r="S11" s="57">
        <f>DATEDIF(G11,J11,"m")</f>
        <v>44</v>
      </c>
      <c r="T11" s="86">
        <f t="shared" si="1"/>
        <v>3.6666666666666665</v>
      </c>
      <c r="U11" s="38"/>
      <c r="V11" s="5" t="s">
        <v>36</v>
      </c>
      <c r="W11" s="1">
        <f t="shared" si="2"/>
        <v>7</v>
      </c>
      <c r="Y11" s="41" t="s">
        <v>67</v>
      </c>
      <c r="Z11" s="41">
        <f>COUNTIF($Q$2:$Q$64,"&lt;13")</f>
        <v>58</v>
      </c>
      <c r="AA11" s="24">
        <f>Z11-Z10</f>
        <v>4</v>
      </c>
      <c r="AF11" s="50" t="s">
        <v>68</v>
      </c>
      <c r="AG11" s="50">
        <f>COUNTIF($S$2:$S$64,"&lt;81")</f>
        <v>22</v>
      </c>
      <c r="AH11" s="47">
        <f>AG11-AG10</f>
        <v>2</v>
      </c>
    </row>
    <row r="12" spans="1:34">
      <c r="A12" s="1" t="s">
        <v>20</v>
      </c>
      <c r="B12" s="1" t="s">
        <v>380</v>
      </c>
      <c r="C12" s="10" t="s">
        <v>409</v>
      </c>
      <c r="D12" s="1" t="s">
        <v>23</v>
      </c>
      <c r="E12" s="1"/>
      <c r="F12" s="1"/>
      <c r="G12" s="1" t="s">
        <v>23</v>
      </c>
      <c r="H12" s="3" t="s">
        <v>410</v>
      </c>
      <c r="I12" s="4">
        <v>42035</v>
      </c>
      <c r="J12" s="4">
        <v>42216</v>
      </c>
      <c r="K12" s="1" t="s">
        <v>411</v>
      </c>
      <c r="L12" s="1" t="s">
        <v>23</v>
      </c>
      <c r="M12" s="12" t="s">
        <v>390</v>
      </c>
      <c r="N12" s="4">
        <v>41713</v>
      </c>
      <c r="O12" s="24" t="s">
        <v>60</v>
      </c>
      <c r="P12" s="24" t="s">
        <v>28</v>
      </c>
      <c r="Q12" s="44">
        <f t="shared" si="3"/>
        <v>10</v>
      </c>
      <c r="R12" s="87">
        <f t="shared" si="0"/>
        <v>0.83333333333333337</v>
      </c>
      <c r="S12" s="57"/>
      <c r="T12" s="86"/>
      <c r="U12" s="38"/>
      <c r="V12" s="5" t="s">
        <v>75</v>
      </c>
      <c r="W12" s="1">
        <f t="shared" si="2"/>
        <v>6</v>
      </c>
      <c r="Y12" s="47" t="s">
        <v>76</v>
      </c>
      <c r="Z12" s="52">
        <f>COUNTIF($Q$2:$Q$64,"&gt;12")</f>
        <v>1</v>
      </c>
      <c r="AA12" s="24">
        <f>Z12</f>
        <v>1</v>
      </c>
      <c r="AF12" s="24" t="s">
        <v>77</v>
      </c>
      <c r="AG12" s="47">
        <f>COUNTIF($S$2:$S$64,"&lt;101")</f>
        <v>28</v>
      </c>
      <c r="AH12" s="24">
        <f>AG12-AG11</f>
        <v>6</v>
      </c>
    </row>
    <row r="13" spans="1:34">
      <c r="A13" s="1" t="s">
        <v>20</v>
      </c>
      <c r="B13" s="1" t="s">
        <v>380</v>
      </c>
      <c r="C13" s="10" t="s">
        <v>409</v>
      </c>
      <c r="D13" s="1" t="s">
        <v>23</v>
      </c>
      <c r="E13" s="1"/>
      <c r="F13" s="1"/>
      <c r="G13" s="1" t="s">
        <v>23</v>
      </c>
      <c r="H13" s="9" t="s">
        <v>383</v>
      </c>
      <c r="I13" s="4">
        <v>42094</v>
      </c>
      <c r="J13" s="4">
        <v>42277</v>
      </c>
      <c r="K13" s="1" t="s">
        <v>411</v>
      </c>
      <c r="L13" s="1" t="s">
        <v>23</v>
      </c>
      <c r="M13" s="12" t="s">
        <v>390</v>
      </c>
      <c r="N13" s="4">
        <v>41713</v>
      </c>
      <c r="O13" s="24" t="s">
        <v>60</v>
      </c>
      <c r="P13" s="24" t="s">
        <v>28</v>
      </c>
      <c r="Q13" s="44">
        <f t="shared" si="3"/>
        <v>12</v>
      </c>
      <c r="R13" s="87">
        <f t="shared" si="0"/>
        <v>1</v>
      </c>
      <c r="S13" s="57"/>
      <c r="T13" s="86"/>
      <c r="U13" s="38"/>
      <c r="V13" s="5" t="s">
        <v>27</v>
      </c>
      <c r="W13" s="1">
        <f t="shared" si="2"/>
        <v>6</v>
      </c>
      <c r="Y13" s="35" t="s">
        <v>80</v>
      </c>
      <c r="Z13" s="53"/>
      <c r="AA13" s="54">
        <f>SUM(AA8:AA12)</f>
        <v>59</v>
      </c>
      <c r="AF13" s="41" t="s">
        <v>81</v>
      </c>
      <c r="AG13" s="48">
        <f>COUNTIF($S$2:$S$64,"&lt;121")</f>
        <v>31</v>
      </c>
      <c r="AH13" s="81">
        <f>AG13-AG12</f>
        <v>3</v>
      </c>
    </row>
    <row r="14" spans="1:34">
      <c r="A14" s="1" t="s">
        <v>20</v>
      </c>
      <c r="B14" s="1" t="s">
        <v>380</v>
      </c>
      <c r="C14" s="1" t="s">
        <v>412</v>
      </c>
      <c r="D14" s="3" t="s">
        <v>413</v>
      </c>
      <c r="E14" s="1"/>
      <c r="F14" s="1"/>
      <c r="G14" s="4">
        <v>41456</v>
      </c>
      <c r="H14" s="3" t="s">
        <v>414</v>
      </c>
      <c r="I14" s="4">
        <v>42185</v>
      </c>
      <c r="J14" s="4">
        <v>42369</v>
      </c>
      <c r="K14" s="1" t="s">
        <v>415</v>
      </c>
      <c r="L14" s="1" t="s">
        <v>23</v>
      </c>
      <c r="M14" s="12" t="s">
        <v>390</v>
      </c>
      <c r="N14" s="4">
        <v>41876</v>
      </c>
      <c r="O14" s="24" t="s">
        <v>60</v>
      </c>
      <c r="P14" s="24" t="s">
        <v>28</v>
      </c>
      <c r="Q14" s="44">
        <f t="shared" si="3"/>
        <v>10</v>
      </c>
      <c r="R14" s="87">
        <f t="shared" si="0"/>
        <v>0.83333333333333337</v>
      </c>
      <c r="S14" s="57">
        <f>DATEDIF(G14,J14,"m")</f>
        <v>29</v>
      </c>
      <c r="T14" s="86">
        <f t="shared" si="1"/>
        <v>2.4166666666666665</v>
      </c>
      <c r="U14" s="38"/>
      <c r="V14" s="5" t="s">
        <v>73</v>
      </c>
      <c r="W14" s="1">
        <f t="shared" si="2"/>
        <v>0</v>
      </c>
      <c r="AF14" s="41" t="s">
        <v>84</v>
      </c>
      <c r="AG14" s="48">
        <f>COUNTIF($Q$2:$Q$64,"&gt;120")</f>
        <v>0</v>
      </c>
      <c r="AH14" s="81">
        <f>AG14</f>
        <v>0</v>
      </c>
    </row>
    <row r="15" spans="1:34">
      <c r="A15" s="1" t="s">
        <v>20</v>
      </c>
      <c r="B15" s="1" t="s">
        <v>380</v>
      </c>
      <c r="C15" s="1" t="s">
        <v>381</v>
      </c>
      <c r="D15" s="9" t="s">
        <v>416</v>
      </c>
      <c r="E15" s="1"/>
      <c r="F15" s="1"/>
      <c r="G15" s="4">
        <v>42121</v>
      </c>
      <c r="H15" s="3" t="s">
        <v>417</v>
      </c>
      <c r="I15" s="4">
        <v>42323</v>
      </c>
      <c r="J15" s="4">
        <v>42505</v>
      </c>
      <c r="K15" s="1" t="s">
        <v>381</v>
      </c>
      <c r="L15" s="1" t="s">
        <v>23</v>
      </c>
      <c r="M15" s="12" t="s">
        <v>396</v>
      </c>
      <c r="N15" s="4">
        <v>42139</v>
      </c>
      <c r="O15" s="24" t="s">
        <v>55</v>
      </c>
      <c r="P15" s="24" t="s">
        <v>103</v>
      </c>
      <c r="Q15" s="44">
        <f t="shared" si="3"/>
        <v>6</v>
      </c>
      <c r="R15" s="87">
        <f t="shared" si="0"/>
        <v>0.5</v>
      </c>
      <c r="S15" s="57">
        <f>DATEDIF(G15,J15,"m")</f>
        <v>12</v>
      </c>
      <c r="T15" s="86">
        <f t="shared" si="1"/>
        <v>1</v>
      </c>
      <c r="U15" s="38"/>
      <c r="V15" s="36" t="s">
        <v>80</v>
      </c>
      <c r="W15" s="39">
        <f>SUM(W8:W14)</f>
        <v>63</v>
      </c>
      <c r="AF15" s="83" t="s">
        <v>80</v>
      </c>
      <c r="AG15" s="84"/>
      <c r="AH15" s="85">
        <f>SUM(AH8:AH14)</f>
        <v>31</v>
      </c>
    </row>
    <row r="16" spans="1:34">
      <c r="A16" s="1" t="s">
        <v>20</v>
      </c>
      <c r="B16" s="1" t="s">
        <v>380</v>
      </c>
      <c r="C16" s="1" t="s">
        <v>381</v>
      </c>
      <c r="D16" s="1" t="s">
        <v>23</v>
      </c>
      <c r="E16" s="1"/>
      <c r="F16" s="1"/>
      <c r="G16" s="1" t="s">
        <v>23</v>
      </c>
      <c r="H16" s="3" t="s">
        <v>418</v>
      </c>
      <c r="I16" s="4">
        <v>42328</v>
      </c>
      <c r="J16" s="4">
        <v>42510</v>
      </c>
      <c r="K16" s="1" t="s">
        <v>381</v>
      </c>
      <c r="L16" s="1" t="s">
        <v>23</v>
      </c>
      <c r="M16" s="12" t="s">
        <v>419</v>
      </c>
      <c r="N16" s="4">
        <v>42144</v>
      </c>
      <c r="O16" s="24" t="s">
        <v>75</v>
      </c>
      <c r="P16" s="24" t="s">
        <v>103</v>
      </c>
      <c r="Q16" s="44">
        <f t="shared" si="3"/>
        <v>6</v>
      </c>
      <c r="R16" s="87">
        <f t="shared" si="0"/>
        <v>0.5</v>
      </c>
      <c r="S16" s="57"/>
      <c r="T16" s="86"/>
      <c r="U16" s="38"/>
      <c r="Y16" s="46" t="s">
        <v>90</v>
      </c>
      <c r="Z16" s="55" t="s">
        <v>44</v>
      </c>
      <c r="AA16" s="46" t="s">
        <v>45</v>
      </c>
    </row>
    <row r="17" spans="1:34">
      <c r="A17" s="1" t="s">
        <v>20</v>
      </c>
      <c r="B17" s="1" t="s">
        <v>380</v>
      </c>
      <c r="C17" t="s">
        <v>420</v>
      </c>
      <c r="D17" s="1" t="s">
        <v>23</v>
      </c>
      <c r="E17" s="1"/>
      <c r="F17" s="1"/>
      <c r="G17" s="1" t="s">
        <v>23</v>
      </c>
      <c r="H17" s="9" t="s">
        <v>383</v>
      </c>
      <c r="I17" s="4">
        <v>42004</v>
      </c>
      <c r="J17" s="4">
        <v>42185</v>
      </c>
      <c r="K17" s="1" t="s">
        <v>421</v>
      </c>
      <c r="L17" s="1" t="s">
        <v>23</v>
      </c>
      <c r="M17" s="12" t="s">
        <v>390</v>
      </c>
      <c r="N17" s="4">
        <v>41729</v>
      </c>
      <c r="O17" s="24" t="s">
        <v>60</v>
      </c>
      <c r="P17" s="24" t="s">
        <v>28</v>
      </c>
      <c r="Q17" s="44">
        <f t="shared" si="3"/>
        <v>9</v>
      </c>
      <c r="R17" s="87">
        <f t="shared" si="0"/>
        <v>0.75</v>
      </c>
      <c r="S17" s="57"/>
      <c r="T17" s="86"/>
      <c r="U17" s="38"/>
      <c r="V17" s="36" t="s">
        <v>14</v>
      </c>
      <c r="W17" s="34"/>
      <c r="Y17" s="49" t="s">
        <v>94</v>
      </c>
      <c r="Z17" s="88">
        <f>COUNTIF($R$2:$R$64,"&lt;0,2")</f>
        <v>3</v>
      </c>
      <c r="AA17" s="24">
        <f>Z17</f>
        <v>3</v>
      </c>
    </row>
    <row r="18" spans="1:34">
      <c r="A18" s="1" t="s">
        <v>20</v>
      </c>
      <c r="B18" s="1" t="s">
        <v>380</v>
      </c>
      <c r="C18" s="1" t="s">
        <v>381</v>
      </c>
      <c r="D18" s="1" t="s">
        <v>23</v>
      </c>
      <c r="E18" s="1"/>
      <c r="F18" s="1"/>
      <c r="G18" s="1" t="s">
        <v>23</v>
      </c>
      <c r="H18" s="9" t="s">
        <v>422</v>
      </c>
      <c r="I18" s="4">
        <v>42741</v>
      </c>
      <c r="J18" s="4">
        <v>42923</v>
      </c>
      <c r="K18" s="1" t="s">
        <v>23</v>
      </c>
      <c r="L18" s="1" t="s">
        <v>23</v>
      </c>
      <c r="M18" s="12" t="s">
        <v>423</v>
      </c>
      <c r="N18" s="4">
        <v>42557</v>
      </c>
      <c r="O18" s="24" t="s">
        <v>60</v>
      </c>
      <c r="P18" s="24" t="s">
        <v>28</v>
      </c>
      <c r="Q18" s="44">
        <f t="shared" si="3"/>
        <v>6</v>
      </c>
      <c r="R18" s="87">
        <f t="shared" si="0"/>
        <v>0.5</v>
      </c>
      <c r="S18" s="57"/>
      <c r="T18" s="86"/>
      <c r="U18" s="38"/>
      <c r="V18" s="5" t="s">
        <v>28</v>
      </c>
      <c r="W18" s="1">
        <f>COUNTIF($P$2:$P$64,V18)</f>
        <v>36</v>
      </c>
      <c r="Y18" s="41" t="s">
        <v>97</v>
      </c>
      <c r="Z18" s="88">
        <f>COUNTIF($R$2:$R$64,"&lt;0,4")</f>
        <v>7</v>
      </c>
      <c r="AA18" s="24">
        <f t="shared" ref="AA18:AA23" si="4">Z18-Z17</f>
        <v>4</v>
      </c>
      <c r="AF18" s="46" t="s">
        <v>19</v>
      </c>
      <c r="AG18" s="55" t="s">
        <v>44</v>
      </c>
      <c r="AH18" s="46" t="s">
        <v>45</v>
      </c>
    </row>
    <row r="19" spans="1:34">
      <c r="A19" s="1" t="s">
        <v>20</v>
      </c>
      <c r="B19" s="1" t="s">
        <v>380</v>
      </c>
      <c r="C19" s="1" t="s">
        <v>381</v>
      </c>
      <c r="D19" s="1" t="s">
        <v>23</v>
      </c>
      <c r="E19" s="1"/>
      <c r="F19" s="1"/>
      <c r="G19" s="1" t="s">
        <v>23</v>
      </c>
      <c r="H19" s="9" t="s">
        <v>422</v>
      </c>
      <c r="I19" s="4">
        <v>42741</v>
      </c>
      <c r="J19" s="4">
        <v>42923</v>
      </c>
      <c r="K19" s="1" t="s">
        <v>23</v>
      </c>
      <c r="L19" s="1" t="s">
        <v>23</v>
      </c>
      <c r="M19" s="12" t="s">
        <v>423</v>
      </c>
      <c r="N19" s="4">
        <v>42557</v>
      </c>
      <c r="O19" s="24" t="s">
        <v>60</v>
      </c>
      <c r="P19" s="24" t="s">
        <v>28</v>
      </c>
      <c r="Q19" s="44">
        <f t="shared" si="3"/>
        <v>6</v>
      </c>
      <c r="R19" s="87">
        <f t="shared" si="0"/>
        <v>0.5</v>
      </c>
      <c r="S19" s="57"/>
      <c r="T19" s="86"/>
      <c r="U19" s="38"/>
      <c r="V19" s="5" t="s">
        <v>74</v>
      </c>
      <c r="W19" s="1">
        <f>COUNTIF($P$2:$P$64,V19)</f>
        <v>0</v>
      </c>
      <c r="Y19" s="41" t="s">
        <v>100</v>
      </c>
      <c r="Z19" s="88">
        <f>COUNTIF($R$2:$R$64,"&lt;0,6")</f>
        <v>46</v>
      </c>
      <c r="AA19" s="24">
        <f t="shared" si="4"/>
        <v>39</v>
      </c>
      <c r="AF19" s="49" t="s">
        <v>101</v>
      </c>
      <c r="AG19" s="88">
        <f>COUNTIF($T$2:$T$64,"&lt;2")</f>
        <v>5</v>
      </c>
      <c r="AH19" s="24">
        <f>AG19</f>
        <v>5</v>
      </c>
    </row>
    <row r="20" spans="1:34">
      <c r="A20" s="1" t="s">
        <v>20</v>
      </c>
      <c r="B20" s="1" t="s">
        <v>380</v>
      </c>
      <c r="C20" t="s">
        <v>424</v>
      </c>
      <c r="D20" s="1" t="s">
        <v>23</v>
      </c>
      <c r="E20" s="1"/>
      <c r="F20" s="1"/>
      <c r="G20" s="1" t="s">
        <v>23</v>
      </c>
      <c r="H20" s="3" t="s">
        <v>425</v>
      </c>
      <c r="I20" s="4">
        <v>42004</v>
      </c>
      <c r="J20" s="4">
        <v>42185</v>
      </c>
      <c r="K20" s="1" t="s">
        <v>426</v>
      </c>
      <c r="L20" s="1" t="s">
        <v>23</v>
      </c>
      <c r="M20" s="12" t="s">
        <v>390</v>
      </c>
      <c r="N20" s="4">
        <v>41729</v>
      </c>
      <c r="O20" s="24" t="s">
        <v>60</v>
      </c>
      <c r="P20" s="24" t="s">
        <v>28</v>
      </c>
      <c r="Q20" s="44">
        <f t="shared" si="3"/>
        <v>9</v>
      </c>
      <c r="R20" s="87">
        <f t="shared" si="0"/>
        <v>0.75</v>
      </c>
      <c r="S20" s="57"/>
      <c r="T20" s="86"/>
      <c r="U20" s="38"/>
      <c r="V20" s="5" t="s">
        <v>103</v>
      </c>
      <c r="W20" s="1">
        <f>COUNTIF($P$2:$P$64,V20)</f>
        <v>27</v>
      </c>
      <c r="Y20" s="41" t="s">
        <v>104</v>
      </c>
      <c r="Z20" s="88">
        <f>COUNTIF($R$2:$R$64,"&lt;0,8")</f>
        <v>54</v>
      </c>
      <c r="AA20" s="24">
        <f t="shared" si="4"/>
        <v>8</v>
      </c>
      <c r="AF20" s="41" t="s">
        <v>105</v>
      </c>
      <c r="AG20" s="88">
        <f>COUNTIF($T$2:$T$64,"&lt;4")</f>
        <v>20</v>
      </c>
      <c r="AH20" s="24">
        <f>AG20-AG19</f>
        <v>15</v>
      </c>
    </row>
    <row r="21" spans="1:34">
      <c r="A21" s="1" t="s">
        <v>20</v>
      </c>
      <c r="B21" s="1" t="s">
        <v>380</v>
      </c>
      <c r="C21" s="1" t="s">
        <v>381</v>
      </c>
      <c r="D21" s="9" t="s">
        <v>427</v>
      </c>
      <c r="E21" s="1"/>
      <c r="F21" s="1"/>
      <c r="G21" s="4">
        <v>39006</v>
      </c>
      <c r="H21" s="9" t="s">
        <v>383</v>
      </c>
      <c r="I21" s="4">
        <v>40444</v>
      </c>
      <c r="J21" s="1" t="s">
        <v>23</v>
      </c>
      <c r="K21" s="1" t="s">
        <v>23</v>
      </c>
      <c r="L21" s="1" t="s">
        <v>23</v>
      </c>
      <c r="M21" s="12" t="s">
        <v>428</v>
      </c>
      <c r="N21" s="4">
        <v>40260</v>
      </c>
      <c r="O21" s="24" t="s">
        <v>36</v>
      </c>
      <c r="P21" s="24" t="s">
        <v>103</v>
      </c>
      <c r="Q21" s="44">
        <f t="shared" si="3"/>
        <v>6</v>
      </c>
      <c r="R21" s="87">
        <f t="shared" si="0"/>
        <v>0.5</v>
      </c>
      <c r="S21" s="57"/>
      <c r="T21" s="86"/>
      <c r="U21" s="38"/>
      <c r="V21" s="5" t="s">
        <v>0</v>
      </c>
      <c r="W21" s="1">
        <f>COUNTIF($P$2:$P$64,V21)</f>
        <v>0</v>
      </c>
      <c r="Y21" s="50" t="s">
        <v>243</v>
      </c>
      <c r="Z21" s="88">
        <f>COUNTIF($R$2:$R$64,"&lt;1,0")</f>
        <v>56</v>
      </c>
      <c r="AA21" s="24">
        <f t="shared" si="4"/>
        <v>2</v>
      </c>
      <c r="AF21" s="41" t="s">
        <v>56</v>
      </c>
      <c r="AG21" s="88">
        <f>COUNTIF($T$2:$T$64,"&lt;6")</f>
        <v>20</v>
      </c>
      <c r="AH21" s="24">
        <f>AG21-AG20</f>
        <v>0</v>
      </c>
    </row>
    <row r="22" spans="1:34">
      <c r="A22" s="1" t="s">
        <v>20</v>
      </c>
      <c r="B22" s="1" t="s">
        <v>380</v>
      </c>
      <c r="C22" t="s">
        <v>429</v>
      </c>
      <c r="D22" s="1" t="s">
        <v>23</v>
      </c>
      <c r="E22" s="1"/>
      <c r="F22" s="1"/>
      <c r="G22" s="1" t="s">
        <v>23</v>
      </c>
      <c r="H22" s="9" t="s">
        <v>383</v>
      </c>
      <c r="I22" s="4">
        <v>42004</v>
      </c>
      <c r="J22" s="4">
        <v>42185</v>
      </c>
      <c r="K22" t="s">
        <v>430</v>
      </c>
      <c r="L22" s="1" t="s">
        <v>23</v>
      </c>
      <c r="M22" s="12" t="s">
        <v>390</v>
      </c>
      <c r="N22" s="4">
        <v>41782</v>
      </c>
      <c r="O22" s="24" t="s">
        <v>60</v>
      </c>
      <c r="P22" s="24" t="s">
        <v>28</v>
      </c>
      <c r="Q22" s="44">
        <f t="shared" si="3"/>
        <v>7</v>
      </c>
      <c r="R22" s="87">
        <f t="shared" si="0"/>
        <v>0.58333333333333337</v>
      </c>
      <c r="S22" s="57"/>
      <c r="T22" s="86"/>
      <c r="U22" s="38"/>
      <c r="V22" s="36" t="s">
        <v>80</v>
      </c>
      <c r="W22" s="39">
        <f>SUM(W18:W21)</f>
        <v>63</v>
      </c>
      <c r="Y22" s="50" t="s">
        <v>246</v>
      </c>
      <c r="Z22" s="88">
        <f>COUNTIF($R$2:$R$64,"&lt;1,2")</f>
        <v>58</v>
      </c>
      <c r="AA22" s="24">
        <f t="shared" si="4"/>
        <v>2</v>
      </c>
      <c r="AF22" s="50" t="s">
        <v>112</v>
      </c>
      <c r="AG22" s="94">
        <f>COUNTIF($T$2:$T$64,"&lt;8")</f>
        <v>28</v>
      </c>
      <c r="AH22" s="47">
        <f>AG22-AG21</f>
        <v>8</v>
      </c>
    </row>
    <row r="23" spans="1:34">
      <c r="A23" s="1" t="s">
        <v>20</v>
      </c>
      <c r="B23" s="1" t="s">
        <v>380</v>
      </c>
      <c r="C23" t="s">
        <v>431</v>
      </c>
      <c r="D23" s="1" t="s">
        <v>23</v>
      </c>
      <c r="E23" s="1"/>
      <c r="F23" s="1"/>
      <c r="G23" s="1" t="s">
        <v>23</v>
      </c>
      <c r="H23" s="9" t="s">
        <v>383</v>
      </c>
      <c r="I23" s="4">
        <v>42004</v>
      </c>
      <c r="J23" s="4">
        <v>42185</v>
      </c>
      <c r="K23" s="1" t="s">
        <v>432</v>
      </c>
      <c r="L23" s="1" t="s">
        <v>23</v>
      </c>
      <c r="M23" s="12" t="s">
        <v>390</v>
      </c>
      <c r="N23" s="4">
        <v>41729</v>
      </c>
      <c r="O23" s="24" t="s">
        <v>60</v>
      </c>
      <c r="P23" s="24" t="s">
        <v>28</v>
      </c>
      <c r="Q23" s="44">
        <f t="shared" si="3"/>
        <v>9</v>
      </c>
      <c r="R23" s="87">
        <f t="shared" si="0"/>
        <v>0.75</v>
      </c>
      <c r="S23" s="57"/>
      <c r="T23" s="86"/>
      <c r="U23" s="38"/>
      <c r="Y23" s="50" t="s">
        <v>249</v>
      </c>
      <c r="Z23" s="88">
        <f>COUNTIF($R$2:$R$64,"&lt;1,4")</f>
        <v>58</v>
      </c>
      <c r="AA23" s="24">
        <f t="shared" si="4"/>
        <v>0</v>
      </c>
      <c r="AF23" s="24" t="s">
        <v>116</v>
      </c>
      <c r="AG23" s="94">
        <f>COUNTIF($T$2:$T$64,"&lt;10")</f>
        <v>31</v>
      </c>
      <c r="AH23" s="24">
        <f>AG23-AG22</f>
        <v>3</v>
      </c>
    </row>
    <row r="24" spans="1:34">
      <c r="A24" s="1" t="s">
        <v>20</v>
      </c>
      <c r="B24" s="1" t="s">
        <v>380</v>
      </c>
      <c r="C24" s="1" t="s">
        <v>433</v>
      </c>
      <c r="D24" s="1" t="s">
        <v>23</v>
      </c>
      <c r="E24" s="1"/>
      <c r="F24" s="1"/>
      <c r="G24" s="1" t="s">
        <v>23</v>
      </c>
      <c r="H24" s="9" t="s">
        <v>383</v>
      </c>
      <c r="I24" s="4">
        <v>42004</v>
      </c>
      <c r="J24" s="4">
        <v>42185</v>
      </c>
      <c r="K24" t="s">
        <v>434</v>
      </c>
      <c r="L24" s="1" t="s">
        <v>23</v>
      </c>
      <c r="M24" s="12" t="s">
        <v>390</v>
      </c>
      <c r="N24" s="4">
        <v>41729</v>
      </c>
      <c r="O24" s="24" t="s">
        <v>60</v>
      </c>
      <c r="P24" s="24" t="s">
        <v>28</v>
      </c>
      <c r="Q24" s="44">
        <f t="shared" si="3"/>
        <v>9</v>
      </c>
      <c r="R24" s="87">
        <f t="shared" si="0"/>
        <v>0.75</v>
      </c>
      <c r="S24" s="57"/>
      <c r="T24" s="86"/>
      <c r="U24" s="38"/>
      <c r="Y24" s="47" t="s">
        <v>252</v>
      </c>
      <c r="Z24" s="88">
        <f>COUNTIF($R$2:$R$64,"&gt;1,3")</f>
        <v>1</v>
      </c>
      <c r="AA24" s="47">
        <f>Z24</f>
        <v>1</v>
      </c>
      <c r="AF24" s="41" t="s">
        <v>435</v>
      </c>
      <c r="AG24" s="94">
        <f>COUNTIF($T$2:$T$64,"&gt;9")</f>
        <v>3</v>
      </c>
      <c r="AH24" s="81">
        <f>AG24</f>
        <v>3</v>
      </c>
    </row>
    <row r="25" spans="1:34">
      <c r="A25" s="1" t="s">
        <v>20</v>
      </c>
      <c r="B25" s="1" t="s">
        <v>380</v>
      </c>
      <c r="C25" s="1" t="s">
        <v>381</v>
      </c>
      <c r="D25" s="3" t="s">
        <v>436</v>
      </c>
      <c r="E25" s="1"/>
      <c r="F25" s="1"/>
      <c r="G25" s="4">
        <v>39881</v>
      </c>
      <c r="H25" s="9" t="s">
        <v>383</v>
      </c>
      <c r="I25" s="4">
        <v>42362</v>
      </c>
      <c r="J25" s="4">
        <v>42545</v>
      </c>
      <c r="K25" s="1" t="s">
        <v>381</v>
      </c>
      <c r="L25" s="1" t="s">
        <v>23</v>
      </c>
      <c r="M25" s="12" t="s">
        <v>396</v>
      </c>
      <c r="N25" s="4">
        <v>42179</v>
      </c>
      <c r="O25" s="24" t="s">
        <v>55</v>
      </c>
      <c r="P25" s="24" t="s">
        <v>103</v>
      </c>
      <c r="Q25" s="44">
        <f t="shared" si="3"/>
        <v>6</v>
      </c>
      <c r="R25" s="87">
        <f t="shared" si="0"/>
        <v>0.5</v>
      </c>
      <c r="S25" s="57">
        <f>DATEDIF(G25,J25,"m")</f>
        <v>87</v>
      </c>
      <c r="T25" s="86">
        <f t="shared" si="1"/>
        <v>7.25</v>
      </c>
      <c r="U25" s="38"/>
      <c r="Y25" s="35" t="s">
        <v>80</v>
      </c>
      <c r="Z25" s="53"/>
      <c r="AA25" s="54">
        <f>SUM(AA17:AA24)</f>
        <v>59</v>
      </c>
      <c r="AF25" s="83" t="s">
        <v>80</v>
      </c>
      <c r="AG25" s="84"/>
      <c r="AH25" s="85">
        <f>SUM(AH19:AH24)</f>
        <v>34</v>
      </c>
    </row>
    <row r="26" spans="1:34">
      <c r="A26" s="1" t="s">
        <v>20</v>
      </c>
      <c r="B26" s="1" t="s">
        <v>380</v>
      </c>
      <c r="C26" s="1" t="s">
        <v>381</v>
      </c>
      <c r="D26" s="9" t="s">
        <v>437</v>
      </c>
      <c r="E26" s="1"/>
      <c r="F26" s="1"/>
      <c r="G26" s="4">
        <v>40007</v>
      </c>
      <c r="H26" s="9" t="s">
        <v>383</v>
      </c>
      <c r="I26" s="4">
        <v>40486</v>
      </c>
      <c r="J26" s="4">
        <v>40667</v>
      </c>
      <c r="K26" s="1" t="s">
        <v>381</v>
      </c>
      <c r="L26" s="1" t="s">
        <v>23</v>
      </c>
      <c r="M26" s="12" t="s">
        <v>438</v>
      </c>
      <c r="N26" s="4">
        <v>40302</v>
      </c>
      <c r="O26" s="24" t="s">
        <v>55</v>
      </c>
      <c r="P26" s="24" t="s">
        <v>103</v>
      </c>
      <c r="Q26" s="44">
        <f t="shared" si="3"/>
        <v>6</v>
      </c>
      <c r="R26" s="87">
        <f t="shared" si="0"/>
        <v>0.5</v>
      </c>
      <c r="S26" s="57">
        <f>DATEDIF(G26,J26,"m")</f>
        <v>21</v>
      </c>
      <c r="T26" s="86">
        <f t="shared" si="1"/>
        <v>1.75</v>
      </c>
      <c r="U26" s="38"/>
    </row>
    <row r="27" spans="1:34">
      <c r="A27" s="1" t="s">
        <v>20</v>
      </c>
      <c r="B27" s="1" t="s">
        <v>380</v>
      </c>
      <c r="C27" s="1" t="s">
        <v>381</v>
      </c>
      <c r="D27" s="9" t="s">
        <v>439</v>
      </c>
      <c r="E27" s="1"/>
      <c r="F27" s="1"/>
      <c r="G27" s="4">
        <v>39744</v>
      </c>
      <c r="H27" s="9" t="s">
        <v>422</v>
      </c>
      <c r="I27" s="4">
        <v>40543</v>
      </c>
      <c r="J27" s="4">
        <v>40666</v>
      </c>
      <c r="K27" s="1" t="s">
        <v>23</v>
      </c>
      <c r="L27" s="1" t="s">
        <v>23</v>
      </c>
      <c r="M27" s="12" t="s">
        <v>440</v>
      </c>
      <c r="N27" s="4">
        <v>40301</v>
      </c>
      <c r="O27" s="24" t="s">
        <v>75</v>
      </c>
      <c r="P27" s="24" t="s">
        <v>103</v>
      </c>
      <c r="Q27" s="44">
        <f t="shared" si="3"/>
        <v>7</v>
      </c>
      <c r="R27" s="87">
        <f t="shared" si="0"/>
        <v>0.58333333333333337</v>
      </c>
      <c r="S27" s="57">
        <f>DATEDIF(G27,J27,"m")</f>
        <v>30</v>
      </c>
      <c r="T27" s="86">
        <f t="shared" si="1"/>
        <v>2.5</v>
      </c>
      <c r="U27" s="38"/>
    </row>
    <row r="28" spans="1:34">
      <c r="A28" s="1" t="s">
        <v>20</v>
      </c>
      <c r="B28" s="1" t="s">
        <v>380</v>
      </c>
      <c r="C28" t="s">
        <v>441</v>
      </c>
      <c r="D28" s="1" t="s">
        <v>23</v>
      </c>
      <c r="E28" s="1"/>
      <c r="F28" s="1"/>
      <c r="G28" s="1" t="s">
        <v>23</v>
      </c>
      <c r="H28" s="9" t="s">
        <v>383</v>
      </c>
      <c r="I28" s="4">
        <v>41730</v>
      </c>
      <c r="J28" s="4">
        <v>42277</v>
      </c>
      <c r="K28" t="s">
        <v>442</v>
      </c>
      <c r="L28" s="1" t="s">
        <v>23</v>
      </c>
      <c r="M28" s="12" t="s">
        <v>390</v>
      </c>
      <c r="N28" s="4">
        <v>41729</v>
      </c>
      <c r="O28" s="24" t="s">
        <v>60</v>
      </c>
      <c r="P28" s="24" t="s">
        <v>28</v>
      </c>
      <c r="Q28" s="44">
        <f t="shared" si="3"/>
        <v>0</v>
      </c>
      <c r="R28" s="87">
        <f t="shared" si="0"/>
        <v>0</v>
      </c>
      <c r="S28" s="57"/>
      <c r="T28" s="86"/>
      <c r="U28" s="38"/>
    </row>
    <row r="29" spans="1:34">
      <c r="A29" s="1" t="s">
        <v>20</v>
      </c>
      <c r="B29" s="1" t="s">
        <v>380</v>
      </c>
      <c r="C29" s="1" t="s">
        <v>381</v>
      </c>
      <c r="D29" s="9" t="s">
        <v>443</v>
      </c>
      <c r="E29" s="1"/>
      <c r="F29" s="1"/>
      <c r="G29" s="4">
        <v>42387</v>
      </c>
      <c r="H29" s="9" t="s">
        <v>383</v>
      </c>
      <c r="I29" s="4">
        <v>42374</v>
      </c>
      <c r="J29" s="4">
        <v>42553</v>
      </c>
      <c r="K29" s="1" t="s">
        <v>381</v>
      </c>
      <c r="L29" s="1" t="s">
        <v>23</v>
      </c>
      <c r="M29" s="12" t="s">
        <v>444</v>
      </c>
      <c r="N29" s="4">
        <v>42187</v>
      </c>
      <c r="O29" s="24" t="s">
        <v>75</v>
      </c>
      <c r="P29" s="24" t="s">
        <v>103</v>
      </c>
      <c r="Q29" s="44">
        <f t="shared" si="3"/>
        <v>6</v>
      </c>
      <c r="R29" s="87">
        <f t="shared" si="0"/>
        <v>0.5</v>
      </c>
      <c r="S29" s="57">
        <f>DATEDIF(G29,J29,"m")</f>
        <v>5</v>
      </c>
      <c r="T29" s="86">
        <f t="shared" si="1"/>
        <v>0.41666666666666669</v>
      </c>
      <c r="U29" s="38"/>
    </row>
    <row r="30" spans="1:34">
      <c r="A30" s="1" t="s">
        <v>20</v>
      </c>
      <c r="B30" s="1" t="s">
        <v>380</v>
      </c>
      <c r="C30" t="s">
        <v>445</v>
      </c>
      <c r="D30" s="9" t="s">
        <v>446</v>
      </c>
      <c r="E30" s="1"/>
      <c r="F30" s="1"/>
      <c r="G30" s="4">
        <v>41120</v>
      </c>
      <c r="H30" s="9" t="s">
        <v>383</v>
      </c>
      <c r="I30" s="4">
        <v>42004</v>
      </c>
      <c r="J30" s="4">
        <v>42185</v>
      </c>
      <c r="K30" t="s">
        <v>447</v>
      </c>
      <c r="L30" s="1" t="s">
        <v>23</v>
      </c>
      <c r="M30" s="12" t="s">
        <v>448</v>
      </c>
      <c r="N30" s="4">
        <v>41729</v>
      </c>
      <c r="O30" s="24" t="s">
        <v>60</v>
      </c>
      <c r="P30" s="24" t="s">
        <v>28</v>
      </c>
      <c r="Q30" s="44">
        <f t="shared" si="3"/>
        <v>9</v>
      </c>
      <c r="R30" s="87">
        <f t="shared" si="0"/>
        <v>0.75</v>
      </c>
      <c r="S30" s="57">
        <f>DATEDIF(G30,J30,"m")</f>
        <v>35</v>
      </c>
      <c r="T30" s="86">
        <f t="shared" si="1"/>
        <v>2.9166666666666665</v>
      </c>
      <c r="U30" s="38"/>
    </row>
    <row r="31" spans="1:34">
      <c r="A31" s="1" t="s">
        <v>20</v>
      </c>
      <c r="B31" s="1" t="s">
        <v>380</v>
      </c>
      <c r="C31" s="1" t="s">
        <v>381</v>
      </c>
      <c r="D31" s="9" t="s">
        <v>449</v>
      </c>
      <c r="E31" s="1"/>
      <c r="F31" s="1"/>
      <c r="G31" s="4">
        <v>41379</v>
      </c>
      <c r="H31" s="9" t="s">
        <v>383</v>
      </c>
      <c r="I31" s="1" t="s">
        <v>23</v>
      </c>
      <c r="J31" s="1" t="s">
        <v>23</v>
      </c>
      <c r="K31" s="1" t="s">
        <v>381</v>
      </c>
      <c r="L31" s="1" t="s">
        <v>23</v>
      </c>
      <c r="M31" s="12" t="s">
        <v>428</v>
      </c>
      <c r="N31" s="4">
        <v>40414</v>
      </c>
      <c r="O31" s="24" t="s">
        <v>36</v>
      </c>
      <c r="P31" s="24" t="s">
        <v>28</v>
      </c>
      <c r="Q31" s="44"/>
      <c r="R31" s="87"/>
      <c r="S31" s="57"/>
      <c r="T31" s="86"/>
      <c r="U31" s="38"/>
    </row>
    <row r="32" spans="1:34">
      <c r="A32" s="1" t="s">
        <v>20</v>
      </c>
      <c r="B32" s="1" t="s">
        <v>380</v>
      </c>
      <c r="C32" s="1" t="s">
        <v>381</v>
      </c>
      <c r="D32" s="1" t="s">
        <v>23</v>
      </c>
      <c r="E32" s="1"/>
      <c r="F32" s="1"/>
      <c r="G32" s="1" t="s">
        <v>23</v>
      </c>
      <c r="H32" s="9" t="s">
        <v>383</v>
      </c>
      <c r="I32" s="4">
        <v>42004</v>
      </c>
      <c r="J32" s="4">
        <v>42369</v>
      </c>
      <c r="K32" s="1" t="s">
        <v>23</v>
      </c>
      <c r="L32" s="1" t="s">
        <v>23</v>
      </c>
      <c r="M32" s="12" t="s">
        <v>390</v>
      </c>
      <c r="N32" s="4">
        <v>41820</v>
      </c>
      <c r="O32" s="24" t="s">
        <v>60</v>
      </c>
      <c r="P32" s="24" t="s">
        <v>28</v>
      </c>
      <c r="Q32" s="44">
        <f t="shared" ref="Q32:Q40" si="5">DATEDIF(N32,I32, "m")</f>
        <v>6</v>
      </c>
      <c r="R32" s="87">
        <f t="shared" si="0"/>
        <v>0.5</v>
      </c>
      <c r="S32" s="57"/>
      <c r="T32" s="86"/>
      <c r="U32" s="38"/>
    </row>
    <row r="33" spans="1:21">
      <c r="A33" s="1" t="s">
        <v>20</v>
      </c>
      <c r="B33" s="1" t="s">
        <v>380</v>
      </c>
      <c r="C33" s="1" t="s">
        <v>381</v>
      </c>
      <c r="D33" s="9" t="s">
        <v>450</v>
      </c>
      <c r="E33" s="1"/>
      <c r="F33" s="1"/>
      <c r="G33" s="4">
        <v>40259</v>
      </c>
      <c r="H33" s="9" t="s">
        <v>383</v>
      </c>
      <c r="I33" s="4">
        <v>40927</v>
      </c>
      <c r="J33" s="1" t="s">
        <v>23</v>
      </c>
      <c r="K33" s="1" t="s">
        <v>381</v>
      </c>
      <c r="L33" s="1" t="s">
        <v>23</v>
      </c>
      <c r="M33" s="12" t="s">
        <v>451</v>
      </c>
      <c r="N33" s="4">
        <v>40743</v>
      </c>
      <c r="O33" s="24" t="s">
        <v>55</v>
      </c>
      <c r="P33" s="24" t="s">
        <v>103</v>
      </c>
      <c r="Q33" s="44">
        <f t="shared" si="5"/>
        <v>6</v>
      </c>
      <c r="R33" s="87">
        <f t="shared" si="0"/>
        <v>0.5</v>
      </c>
      <c r="S33" s="57"/>
      <c r="T33" s="86"/>
      <c r="U33" s="38"/>
    </row>
    <row r="34" spans="1:21">
      <c r="A34" s="1" t="s">
        <v>20</v>
      </c>
      <c r="B34" s="1" t="s">
        <v>380</v>
      </c>
      <c r="C34" t="s">
        <v>452</v>
      </c>
      <c r="D34" s="1" t="s">
        <v>23</v>
      </c>
      <c r="E34" s="1"/>
      <c r="F34" s="1"/>
      <c r="G34" s="1" t="s">
        <v>23</v>
      </c>
      <c r="H34" s="9" t="s">
        <v>383</v>
      </c>
      <c r="I34" s="4">
        <v>41730</v>
      </c>
      <c r="J34" s="4">
        <v>42277</v>
      </c>
      <c r="K34" t="s">
        <v>453</v>
      </c>
      <c r="L34" s="1" t="s">
        <v>23</v>
      </c>
      <c r="M34" s="12" t="s">
        <v>390</v>
      </c>
      <c r="N34" s="4">
        <v>41729</v>
      </c>
      <c r="O34" s="24" t="s">
        <v>60</v>
      </c>
      <c r="P34" s="24" t="s">
        <v>28</v>
      </c>
      <c r="Q34" s="44">
        <f t="shared" si="5"/>
        <v>0</v>
      </c>
      <c r="R34" s="87">
        <f t="shared" si="0"/>
        <v>0</v>
      </c>
      <c r="S34" s="57"/>
      <c r="T34" s="86"/>
      <c r="U34" s="38"/>
    </row>
    <row r="35" spans="1:21">
      <c r="A35" s="1" t="s">
        <v>20</v>
      </c>
      <c r="B35" s="1" t="s">
        <v>380</v>
      </c>
      <c r="C35" s="1" t="s">
        <v>381</v>
      </c>
      <c r="D35" s="1" t="s">
        <v>23</v>
      </c>
      <c r="E35" s="1"/>
      <c r="F35" s="1"/>
      <c r="G35" s="1" t="s">
        <v>23</v>
      </c>
      <c r="H35" s="9" t="s">
        <v>383</v>
      </c>
      <c r="I35" s="4">
        <v>42004</v>
      </c>
      <c r="J35" s="4">
        <v>42185</v>
      </c>
      <c r="K35" s="1" t="s">
        <v>381</v>
      </c>
      <c r="L35" s="1" t="s">
        <v>23</v>
      </c>
      <c r="M35" s="12" t="s">
        <v>390</v>
      </c>
      <c r="N35" s="4">
        <v>41817</v>
      </c>
      <c r="O35" s="24" t="s">
        <v>60</v>
      </c>
      <c r="P35" s="24" t="s">
        <v>28</v>
      </c>
      <c r="Q35" s="44">
        <f t="shared" si="5"/>
        <v>6</v>
      </c>
      <c r="R35" s="87">
        <f t="shared" si="0"/>
        <v>0.5</v>
      </c>
      <c r="S35" s="57"/>
      <c r="T35" s="86"/>
      <c r="U35" s="38"/>
    </row>
    <row r="36" spans="1:21">
      <c r="A36" s="1" t="s">
        <v>20</v>
      </c>
      <c r="B36" s="1" t="s">
        <v>380</v>
      </c>
      <c r="C36" s="1" t="s">
        <v>381</v>
      </c>
      <c r="D36" s="9" t="s">
        <v>454</v>
      </c>
      <c r="E36" s="1"/>
      <c r="F36" s="1"/>
      <c r="G36" s="4">
        <v>39468</v>
      </c>
      <c r="H36" s="9" t="s">
        <v>383</v>
      </c>
      <c r="I36" s="4">
        <v>40565</v>
      </c>
      <c r="J36" s="1" t="s">
        <v>23</v>
      </c>
      <c r="K36" s="1" t="s">
        <v>23</v>
      </c>
      <c r="L36" s="1" t="s">
        <v>23</v>
      </c>
      <c r="M36" s="12" t="s">
        <v>428</v>
      </c>
      <c r="N36" s="4">
        <v>40381</v>
      </c>
      <c r="O36" s="24" t="s">
        <v>36</v>
      </c>
      <c r="P36" s="24" t="s">
        <v>28</v>
      </c>
      <c r="Q36" s="44">
        <f t="shared" si="5"/>
        <v>6</v>
      </c>
      <c r="R36" s="87">
        <f t="shared" si="0"/>
        <v>0.5</v>
      </c>
      <c r="S36" s="57"/>
      <c r="T36" s="86"/>
      <c r="U36" s="38"/>
    </row>
    <row r="37" spans="1:21">
      <c r="A37" s="1" t="s">
        <v>20</v>
      </c>
      <c r="B37" s="1" t="s">
        <v>380</v>
      </c>
      <c r="C37" s="1" t="s">
        <v>381</v>
      </c>
      <c r="D37" s="9" t="s">
        <v>455</v>
      </c>
      <c r="E37" s="1"/>
      <c r="F37" s="1"/>
      <c r="G37" s="4">
        <v>40119</v>
      </c>
      <c r="H37" s="9" t="s">
        <v>383</v>
      </c>
      <c r="I37" s="4">
        <v>42895</v>
      </c>
      <c r="J37" s="1" t="s">
        <v>456</v>
      </c>
      <c r="K37" s="1" t="s">
        <v>381</v>
      </c>
      <c r="L37" s="1" t="s">
        <v>23</v>
      </c>
      <c r="M37" s="12" t="s">
        <v>396</v>
      </c>
      <c r="N37" s="4">
        <v>42713</v>
      </c>
      <c r="O37" s="24" t="s">
        <v>55</v>
      </c>
      <c r="P37" s="24" t="s">
        <v>103</v>
      </c>
      <c r="Q37" s="44">
        <f t="shared" si="5"/>
        <v>6</v>
      </c>
      <c r="R37" s="87">
        <f t="shared" si="0"/>
        <v>0.5</v>
      </c>
      <c r="S37" s="57"/>
      <c r="T37" s="86"/>
      <c r="U37" s="38"/>
    </row>
    <row r="38" spans="1:21">
      <c r="A38" s="1" t="s">
        <v>20</v>
      </c>
      <c r="B38" s="1" t="s">
        <v>380</v>
      </c>
      <c r="C38" s="1" t="s">
        <v>381</v>
      </c>
      <c r="D38" s="9" t="s">
        <v>457</v>
      </c>
      <c r="E38" s="1"/>
      <c r="F38" s="1"/>
      <c r="G38" s="4">
        <v>40840</v>
      </c>
      <c r="H38" s="9" t="s">
        <v>458</v>
      </c>
      <c r="I38" s="4">
        <v>41913</v>
      </c>
      <c r="J38" s="4">
        <v>42185</v>
      </c>
      <c r="K38" s="1" t="s">
        <v>381</v>
      </c>
      <c r="L38" s="1" t="s">
        <v>23</v>
      </c>
      <c r="M38" s="12" t="s">
        <v>448</v>
      </c>
      <c r="N38" s="4">
        <v>41787</v>
      </c>
      <c r="O38" s="24" t="s">
        <v>60</v>
      </c>
      <c r="P38" s="24" t="s">
        <v>28</v>
      </c>
      <c r="Q38" s="44">
        <f t="shared" si="5"/>
        <v>4</v>
      </c>
      <c r="R38" s="87">
        <f t="shared" si="0"/>
        <v>0.33333333333333331</v>
      </c>
      <c r="S38" s="57">
        <f>DATEDIF(G38,J38,"m")</f>
        <v>44</v>
      </c>
      <c r="T38" s="86">
        <f t="shared" si="1"/>
        <v>3.6666666666666665</v>
      </c>
      <c r="U38" s="38"/>
    </row>
    <row r="39" spans="1:21">
      <c r="A39" s="1" t="s">
        <v>20</v>
      </c>
      <c r="B39" s="1" t="s">
        <v>380</v>
      </c>
      <c r="C39" s="1" t="s">
        <v>381</v>
      </c>
      <c r="D39" s="9" t="s">
        <v>459</v>
      </c>
      <c r="E39" s="1"/>
      <c r="F39" s="1"/>
      <c r="G39" s="4">
        <v>40847</v>
      </c>
      <c r="H39" s="9" t="s">
        <v>460</v>
      </c>
      <c r="I39" s="4">
        <v>42094</v>
      </c>
      <c r="J39" s="4">
        <v>42277</v>
      </c>
      <c r="K39" s="1" t="s">
        <v>381</v>
      </c>
      <c r="L39" s="1" t="s">
        <v>23</v>
      </c>
      <c r="M39" s="12" t="s">
        <v>390</v>
      </c>
      <c r="N39" s="4">
        <v>41795</v>
      </c>
      <c r="O39" s="24" t="s">
        <v>60</v>
      </c>
      <c r="P39" s="24" t="s">
        <v>28</v>
      </c>
      <c r="Q39" s="44">
        <f t="shared" si="5"/>
        <v>9</v>
      </c>
      <c r="R39" s="87">
        <f t="shared" si="0"/>
        <v>0.75</v>
      </c>
      <c r="S39" s="57">
        <f>DATEDIF(G39,J39,"m")</f>
        <v>46</v>
      </c>
      <c r="T39" s="86">
        <f t="shared" si="1"/>
        <v>3.8333333333333335</v>
      </c>
      <c r="U39" s="38"/>
    </row>
    <row r="40" spans="1:21">
      <c r="A40" s="1" t="s">
        <v>20</v>
      </c>
      <c r="B40" s="1" t="s">
        <v>380</v>
      </c>
      <c r="C40" s="1" t="s">
        <v>381</v>
      </c>
      <c r="D40" s="9" t="s">
        <v>461</v>
      </c>
      <c r="E40" s="1"/>
      <c r="F40" s="1"/>
      <c r="G40" s="4">
        <v>40854</v>
      </c>
      <c r="H40" s="9" t="s">
        <v>462</v>
      </c>
      <c r="I40" s="4">
        <v>41913</v>
      </c>
      <c r="J40" s="4">
        <v>42004</v>
      </c>
      <c r="K40" s="1" t="s">
        <v>381</v>
      </c>
      <c r="L40" s="1" t="s">
        <v>23</v>
      </c>
      <c r="M40" s="12" t="s">
        <v>448</v>
      </c>
      <c r="N40" s="4">
        <v>41779</v>
      </c>
      <c r="O40" s="24" t="s">
        <v>60</v>
      </c>
      <c r="P40" s="24" t="s">
        <v>28</v>
      </c>
      <c r="Q40" s="44">
        <f t="shared" si="5"/>
        <v>4</v>
      </c>
      <c r="R40" s="87">
        <f t="shared" si="0"/>
        <v>0.33333333333333331</v>
      </c>
      <c r="S40" s="57">
        <f>DATEDIF(G40,J40,"m")</f>
        <v>37</v>
      </c>
      <c r="T40" s="86">
        <f t="shared" si="1"/>
        <v>3.0833333333333335</v>
      </c>
      <c r="U40" s="38"/>
    </row>
    <row r="41" spans="1:21">
      <c r="A41" s="1" t="s">
        <v>20</v>
      </c>
      <c r="B41" s="1" t="s">
        <v>380</v>
      </c>
      <c r="C41" s="1" t="s">
        <v>381</v>
      </c>
      <c r="D41" s="1" t="s">
        <v>23</v>
      </c>
      <c r="E41" s="1"/>
      <c r="F41" s="1"/>
      <c r="G41" s="1" t="s">
        <v>23</v>
      </c>
      <c r="H41" s="9" t="s">
        <v>383</v>
      </c>
      <c r="I41" s="1" t="s">
        <v>23</v>
      </c>
      <c r="J41" s="1" t="s">
        <v>23</v>
      </c>
      <c r="K41" s="1" t="s">
        <v>381</v>
      </c>
      <c r="L41" s="1" t="s">
        <v>23</v>
      </c>
      <c r="M41" s="12" t="s">
        <v>419</v>
      </c>
      <c r="N41" s="4">
        <v>41213</v>
      </c>
      <c r="O41" s="24" t="s">
        <v>75</v>
      </c>
      <c r="P41" s="24" t="s">
        <v>103</v>
      </c>
      <c r="Q41" s="44"/>
      <c r="R41" s="87"/>
      <c r="S41" s="57"/>
      <c r="T41" s="86"/>
      <c r="U41" s="38"/>
    </row>
    <row r="42" spans="1:21">
      <c r="A42" s="1" t="s">
        <v>20</v>
      </c>
      <c r="B42" s="1" t="s">
        <v>380</v>
      </c>
      <c r="C42" s="1" t="s">
        <v>381</v>
      </c>
      <c r="D42" s="9" t="s">
        <v>463</v>
      </c>
      <c r="E42" s="1"/>
      <c r="F42" s="1"/>
      <c r="G42" s="4">
        <v>40847</v>
      </c>
      <c r="H42" s="9" t="s">
        <v>464</v>
      </c>
      <c r="I42" s="4">
        <v>41913</v>
      </c>
      <c r="J42" s="4">
        <v>42185</v>
      </c>
      <c r="K42" s="1" t="s">
        <v>381</v>
      </c>
      <c r="L42" s="1" t="s">
        <v>23</v>
      </c>
      <c r="M42" s="12" t="s">
        <v>448</v>
      </c>
      <c r="N42" s="4">
        <v>41817</v>
      </c>
      <c r="O42" s="24" t="s">
        <v>60</v>
      </c>
      <c r="P42" s="24" t="s">
        <v>28</v>
      </c>
      <c r="Q42" s="44">
        <f>DATEDIF(N42,I42, "m")</f>
        <v>3</v>
      </c>
      <c r="R42" s="87">
        <f t="shared" si="0"/>
        <v>0.25</v>
      </c>
      <c r="S42" s="57">
        <f>DATEDIF(G42,J42,"m")</f>
        <v>43</v>
      </c>
      <c r="T42" s="86">
        <f t="shared" si="1"/>
        <v>3.5833333333333335</v>
      </c>
      <c r="U42" s="38"/>
    </row>
    <row r="43" spans="1:21">
      <c r="A43" s="1" t="s">
        <v>20</v>
      </c>
      <c r="B43" s="1" t="s">
        <v>380</v>
      </c>
      <c r="C43" s="1" t="s">
        <v>381</v>
      </c>
      <c r="D43" s="9" t="s">
        <v>465</v>
      </c>
      <c r="E43" s="1"/>
      <c r="F43" s="1"/>
      <c r="G43" s="4">
        <v>40847</v>
      </c>
      <c r="H43" s="9" t="s">
        <v>466</v>
      </c>
      <c r="I43" s="4">
        <v>42094</v>
      </c>
      <c r="J43" s="4">
        <v>42277</v>
      </c>
      <c r="K43" s="1" t="s">
        <v>381</v>
      </c>
      <c r="L43" s="1" t="s">
        <v>23</v>
      </c>
      <c r="M43" s="12" t="s">
        <v>390</v>
      </c>
      <c r="N43" s="4">
        <v>41904</v>
      </c>
      <c r="O43" s="24" t="s">
        <v>60</v>
      </c>
      <c r="P43" s="24" t="s">
        <v>28</v>
      </c>
      <c r="Q43" s="44">
        <f>DATEDIF(N43,I43, "m")</f>
        <v>6</v>
      </c>
      <c r="R43" s="87">
        <f t="shared" si="0"/>
        <v>0.5</v>
      </c>
      <c r="S43" s="57">
        <f>DATEDIF(G43,J43,"m")</f>
        <v>46</v>
      </c>
      <c r="T43" s="86">
        <f t="shared" si="1"/>
        <v>3.8333333333333335</v>
      </c>
      <c r="U43" s="38"/>
    </row>
    <row r="44" spans="1:21">
      <c r="A44" s="1" t="s">
        <v>20</v>
      </c>
      <c r="B44" s="1" t="s">
        <v>380</v>
      </c>
      <c r="C44" s="1" t="s">
        <v>381</v>
      </c>
      <c r="D44" s="3" t="s">
        <v>467</v>
      </c>
      <c r="E44" s="1"/>
      <c r="F44" s="1"/>
      <c r="G44" s="4">
        <v>41176</v>
      </c>
      <c r="H44" s="9" t="s">
        <v>383</v>
      </c>
      <c r="I44" s="4">
        <v>42095</v>
      </c>
      <c r="J44" s="4">
        <v>42277</v>
      </c>
      <c r="K44" s="1" t="s">
        <v>381</v>
      </c>
      <c r="L44" s="1" t="s">
        <v>23</v>
      </c>
      <c r="M44" s="12" t="s">
        <v>390</v>
      </c>
      <c r="N44" s="4">
        <v>41845</v>
      </c>
      <c r="O44" s="24" t="s">
        <v>60</v>
      </c>
      <c r="P44" s="24" t="s">
        <v>28</v>
      </c>
      <c r="Q44" s="44">
        <f>DATEDIF(N44,I44, "m")</f>
        <v>8</v>
      </c>
      <c r="R44" s="87">
        <f t="shared" si="0"/>
        <v>0.66666666666666663</v>
      </c>
      <c r="S44" s="57">
        <f>DATEDIF(G44,J44,"m")</f>
        <v>36</v>
      </c>
      <c r="T44" s="86">
        <f t="shared" si="1"/>
        <v>3</v>
      </c>
      <c r="U44" s="38"/>
    </row>
    <row r="45" spans="1:21">
      <c r="A45" s="1" t="s">
        <v>20</v>
      </c>
      <c r="B45" s="1" t="s">
        <v>380</v>
      </c>
      <c r="C45" s="1" t="s">
        <v>381</v>
      </c>
      <c r="D45" s="9" t="s">
        <v>468</v>
      </c>
      <c r="E45" s="1"/>
      <c r="F45" s="1"/>
      <c r="G45" s="4">
        <v>41120</v>
      </c>
      <c r="H45" s="9" t="s">
        <v>383</v>
      </c>
      <c r="I45" s="4">
        <v>41820</v>
      </c>
      <c r="J45" s="4">
        <v>42004</v>
      </c>
      <c r="K45" s="1" t="s">
        <v>381</v>
      </c>
      <c r="L45" s="1" t="s">
        <v>23</v>
      </c>
      <c r="M45" s="12" t="s">
        <v>469</v>
      </c>
      <c r="N45" s="4">
        <v>41590</v>
      </c>
      <c r="O45" s="24" t="s">
        <v>55</v>
      </c>
      <c r="P45" s="24" t="s">
        <v>103</v>
      </c>
      <c r="Q45" s="44">
        <f>DATEDIF(N45,I45, "m")</f>
        <v>7</v>
      </c>
      <c r="R45" s="87">
        <f t="shared" si="0"/>
        <v>0.58333333333333337</v>
      </c>
      <c r="S45" s="57">
        <f>DATEDIF(G45,J45,"m")</f>
        <v>29</v>
      </c>
      <c r="T45" s="86">
        <f t="shared" si="1"/>
        <v>2.4166666666666665</v>
      </c>
      <c r="U45" s="38"/>
    </row>
    <row r="46" spans="1:21">
      <c r="A46" s="1" t="s">
        <v>20</v>
      </c>
      <c r="B46" s="1" t="s">
        <v>380</v>
      </c>
      <c r="C46" s="1" t="s">
        <v>381</v>
      </c>
      <c r="D46" s="9" t="s">
        <v>470</v>
      </c>
      <c r="E46" s="1"/>
      <c r="F46" s="1"/>
      <c r="G46" s="4">
        <v>41302</v>
      </c>
      <c r="H46" s="9" t="s">
        <v>383</v>
      </c>
      <c r="I46" s="4">
        <v>41795</v>
      </c>
      <c r="J46" s="4">
        <v>41978</v>
      </c>
      <c r="K46" s="1" t="s">
        <v>381</v>
      </c>
      <c r="L46" s="1" t="s">
        <v>23</v>
      </c>
      <c r="M46" s="12" t="s">
        <v>396</v>
      </c>
      <c r="N46" s="4">
        <v>41613</v>
      </c>
      <c r="O46" s="24" t="s">
        <v>55</v>
      </c>
      <c r="P46" s="24" t="s">
        <v>103</v>
      </c>
      <c r="Q46" s="44">
        <f t="shared" ref="Q46:Q63" si="6">DATEDIF(N46,I46, "m")</f>
        <v>6</v>
      </c>
      <c r="R46" s="87">
        <f t="shared" si="0"/>
        <v>0.5</v>
      </c>
      <c r="S46" s="57">
        <f>DATEDIF(G46,J46,"m")</f>
        <v>22</v>
      </c>
      <c r="T46" s="86">
        <f t="shared" si="1"/>
        <v>1.8333333333333333</v>
      </c>
      <c r="U46" s="38"/>
    </row>
    <row r="47" spans="1:21">
      <c r="A47" s="1" t="s">
        <v>20</v>
      </c>
      <c r="B47" s="1" t="s">
        <v>380</v>
      </c>
      <c r="C47" s="1" t="s">
        <v>381</v>
      </c>
      <c r="D47" s="9" t="s">
        <v>471</v>
      </c>
      <c r="E47" s="1"/>
      <c r="F47" s="1"/>
      <c r="G47" s="4">
        <v>39846</v>
      </c>
      <c r="H47" s="9" t="s">
        <v>383</v>
      </c>
      <c r="I47" s="4">
        <v>41983</v>
      </c>
      <c r="J47" s="1" t="s">
        <v>23</v>
      </c>
      <c r="K47" s="1" t="s">
        <v>381</v>
      </c>
      <c r="L47" s="1" t="s">
        <v>23</v>
      </c>
      <c r="M47" s="12" t="s">
        <v>396</v>
      </c>
      <c r="N47" s="4">
        <v>41800</v>
      </c>
      <c r="O47" s="24" t="s">
        <v>55</v>
      </c>
      <c r="P47" s="24" t="s">
        <v>103</v>
      </c>
      <c r="Q47" s="44">
        <f t="shared" si="6"/>
        <v>6</v>
      </c>
      <c r="R47" s="87">
        <f t="shared" si="0"/>
        <v>0.5</v>
      </c>
      <c r="S47" s="57"/>
      <c r="T47" s="86"/>
      <c r="U47" s="38"/>
    </row>
    <row r="48" spans="1:21">
      <c r="A48" s="1" t="s">
        <v>20</v>
      </c>
      <c r="B48" s="1" t="s">
        <v>380</v>
      </c>
      <c r="C48" s="1" t="s">
        <v>381</v>
      </c>
      <c r="D48" s="9" t="s">
        <v>472</v>
      </c>
      <c r="E48" s="1"/>
      <c r="F48" s="1"/>
      <c r="G48" s="4">
        <v>40833</v>
      </c>
      <c r="H48" s="9" t="s">
        <v>473</v>
      </c>
      <c r="I48" s="4">
        <v>42093</v>
      </c>
      <c r="J48" s="4">
        <v>42277</v>
      </c>
      <c r="K48" s="1" t="s">
        <v>381</v>
      </c>
      <c r="L48" s="1" t="s">
        <v>23</v>
      </c>
      <c r="M48" s="12" t="s">
        <v>396</v>
      </c>
      <c r="N48" s="4">
        <v>41904</v>
      </c>
      <c r="O48" s="24" t="s">
        <v>55</v>
      </c>
      <c r="P48" s="24" t="s">
        <v>103</v>
      </c>
      <c r="Q48" s="44">
        <f t="shared" si="6"/>
        <v>6</v>
      </c>
      <c r="R48" s="87">
        <f t="shared" si="0"/>
        <v>0.5</v>
      </c>
      <c r="S48" s="57">
        <f>DATEDIF(G48,J48,"m")</f>
        <v>47</v>
      </c>
      <c r="T48" s="86">
        <f t="shared" si="1"/>
        <v>3.9166666666666665</v>
      </c>
      <c r="U48" s="38"/>
    </row>
    <row r="49" spans="1:21">
      <c r="A49" s="1" t="s">
        <v>20</v>
      </c>
      <c r="B49" s="1" t="s">
        <v>380</v>
      </c>
      <c r="C49" t="s">
        <v>474</v>
      </c>
      <c r="D49" s="9" t="s">
        <v>475</v>
      </c>
      <c r="E49" s="1"/>
      <c r="F49" s="1"/>
      <c r="G49" s="4">
        <v>41176</v>
      </c>
      <c r="H49" s="9" t="s">
        <v>476</v>
      </c>
      <c r="I49" s="4">
        <v>42185</v>
      </c>
      <c r="J49" s="4">
        <v>42368</v>
      </c>
      <c r="K49" s="1" t="s">
        <v>381</v>
      </c>
      <c r="L49" s="1" t="s">
        <v>23</v>
      </c>
      <c r="M49" s="12" t="s">
        <v>390</v>
      </c>
      <c r="N49" s="4">
        <v>42066</v>
      </c>
      <c r="O49" s="24" t="s">
        <v>60</v>
      </c>
      <c r="P49" s="24" t="s">
        <v>28</v>
      </c>
      <c r="Q49" s="44">
        <f t="shared" si="6"/>
        <v>3</v>
      </c>
      <c r="R49" s="87">
        <f t="shared" si="0"/>
        <v>0.25</v>
      </c>
      <c r="S49" s="57">
        <f>DATEDIF(G49,J49,"m")</f>
        <v>39</v>
      </c>
      <c r="T49" s="86">
        <f t="shared" si="1"/>
        <v>3.25</v>
      </c>
      <c r="U49" s="38"/>
    </row>
    <row r="50" spans="1:21">
      <c r="A50" s="1" t="s">
        <v>20</v>
      </c>
      <c r="B50" s="1" t="s">
        <v>380</v>
      </c>
      <c r="C50" s="1" t="s">
        <v>477</v>
      </c>
      <c r="D50" s="1" t="s">
        <v>23</v>
      </c>
      <c r="E50" s="1"/>
      <c r="F50" s="1"/>
      <c r="G50" s="1" t="s">
        <v>23</v>
      </c>
      <c r="H50" s="9" t="s">
        <v>383</v>
      </c>
      <c r="I50" s="4">
        <v>42090</v>
      </c>
      <c r="J50" s="4">
        <v>42276</v>
      </c>
      <c r="K50" s="1" t="s">
        <v>478</v>
      </c>
      <c r="L50" s="1" t="s">
        <v>23</v>
      </c>
      <c r="M50" s="12" t="s">
        <v>396</v>
      </c>
      <c r="N50" s="4">
        <v>41911</v>
      </c>
      <c r="O50" s="24" t="s">
        <v>55</v>
      </c>
      <c r="P50" s="24" t="s">
        <v>103</v>
      </c>
      <c r="Q50" s="44">
        <f t="shared" si="6"/>
        <v>5</v>
      </c>
      <c r="R50" s="87">
        <f t="shared" si="0"/>
        <v>0.41666666666666669</v>
      </c>
      <c r="S50" s="57"/>
      <c r="T50" s="86"/>
      <c r="U50" s="38"/>
    </row>
    <row r="51" spans="1:21">
      <c r="A51" s="1" t="s">
        <v>20</v>
      </c>
      <c r="B51" s="1" t="s">
        <v>380</v>
      </c>
      <c r="C51" s="1" t="s">
        <v>381</v>
      </c>
      <c r="D51" s="9" t="s">
        <v>479</v>
      </c>
      <c r="E51" s="1"/>
      <c r="F51" s="1"/>
      <c r="G51" s="4">
        <v>41015</v>
      </c>
      <c r="H51" s="9" t="s">
        <v>383</v>
      </c>
      <c r="I51" s="4">
        <v>42172</v>
      </c>
      <c r="J51" s="1" t="s">
        <v>23</v>
      </c>
      <c r="K51" s="1" t="s">
        <v>381</v>
      </c>
      <c r="L51" s="1" t="s">
        <v>23</v>
      </c>
      <c r="M51" s="12" t="s">
        <v>396</v>
      </c>
      <c r="N51" s="4">
        <v>41990</v>
      </c>
      <c r="O51" s="24" t="s">
        <v>55</v>
      </c>
      <c r="P51" s="24" t="s">
        <v>103</v>
      </c>
      <c r="Q51" s="44">
        <f t="shared" si="6"/>
        <v>6</v>
      </c>
      <c r="R51" s="87">
        <f t="shared" si="0"/>
        <v>0.5</v>
      </c>
      <c r="S51" s="57"/>
      <c r="T51" s="86"/>
      <c r="U51" s="38"/>
    </row>
    <row r="52" spans="1:21">
      <c r="A52" s="1" t="s">
        <v>20</v>
      </c>
      <c r="B52" s="1" t="s">
        <v>380</v>
      </c>
      <c r="C52" s="1" t="s">
        <v>381</v>
      </c>
      <c r="D52" s="9" t="s">
        <v>480</v>
      </c>
      <c r="E52" s="1"/>
      <c r="F52" s="1"/>
      <c r="G52" s="4">
        <v>41225</v>
      </c>
      <c r="H52" s="9" t="s">
        <v>383</v>
      </c>
      <c r="I52" s="4">
        <v>43357</v>
      </c>
      <c r="J52" s="4">
        <v>43538</v>
      </c>
      <c r="K52" s="1" t="s">
        <v>381</v>
      </c>
      <c r="L52" s="1" t="s">
        <v>23</v>
      </c>
      <c r="M52" s="12" t="s">
        <v>396</v>
      </c>
      <c r="N52" s="4">
        <v>43173</v>
      </c>
      <c r="O52" s="24" t="s">
        <v>55</v>
      </c>
      <c r="P52" s="24" t="s">
        <v>103</v>
      </c>
      <c r="Q52" s="44">
        <f t="shared" si="6"/>
        <v>6</v>
      </c>
      <c r="R52" s="87">
        <f t="shared" si="0"/>
        <v>0.5</v>
      </c>
      <c r="S52" s="57">
        <f>DATEDIF(G52,J52,"m")</f>
        <v>76</v>
      </c>
      <c r="T52" s="86">
        <f t="shared" si="1"/>
        <v>6.333333333333333</v>
      </c>
      <c r="U52" s="38"/>
    </row>
    <row r="53" spans="1:21">
      <c r="A53" s="1" t="s">
        <v>20</v>
      </c>
      <c r="B53" s="1" t="s">
        <v>380</v>
      </c>
      <c r="C53" s="1" t="s">
        <v>381</v>
      </c>
      <c r="D53" s="9" t="s">
        <v>481</v>
      </c>
      <c r="E53" s="1"/>
      <c r="F53" s="1"/>
      <c r="G53" s="4">
        <v>41134</v>
      </c>
      <c r="H53" s="9" t="s">
        <v>383</v>
      </c>
      <c r="I53" s="4">
        <v>43522</v>
      </c>
      <c r="J53" s="4">
        <v>43703</v>
      </c>
      <c r="K53" s="1" t="s">
        <v>381</v>
      </c>
      <c r="L53" s="1" t="s">
        <v>23</v>
      </c>
      <c r="M53" s="12" t="s">
        <v>396</v>
      </c>
      <c r="N53" s="4">
        <v>43342</v>
      </c>
      <c r="O53" s="24" t="s">
        <v>55</v>
      </c>
      <c r="P53" s="24" t="s">
        <v>103</v>
      </c>
      <c r="Q53" s="44">
        <f t="shared" si="6"/>
        <v>5</v>
      </c>
      <c r="R53" s="87">
        <f t="shared" si="0"/>
        <v>0.41666666666666669</v>
      </c>
      <c r="S53" s="57">
        <f>DATEDIF(G53,J53,"m")</f>
        <v>84</v>
      </c>
      <c r="T53" s="86">
        <f t="shared" si="1"/>
        <v>7</v>
      </c>
      <c r="U53" s="38"/>
    </row>
    <row r="54" spans="1:21">
      <c r="A54" s="1" t="s">
        <v>20</v>
      </c>
      <c r="B54" s="1" t="s">
        <v>380</v>
      </c>
      <c r="C54" s="1" t="s">
        <v>381</v>
      </c>
      <c r="D54" s="9" t="s">
        <v>482</v>
      </c>
      <c r="E54" s="1"/>
      <c r="F54" s="1"/>
      <c r="G54" s="4">
        <v>40266</v>
      </c>
      <c r="H54" s="9" t="s">
        <v>383</v>
      </c>
      <c r="I54" s="4">
        <v>43174</v>
      </c>
      <c r="J54" s="4">
        <v>43358</v>
      </c>
      <c r="K54" s="1" t="s">
        <v>381</v>
      </c>
      <c r="L54" s="1" t="s">
        <v>23</v>
      </c>
      <c r="M54" s="12" t="s">
        <v>396</v>
      </c>
      <c r="N54" s="4">
        <v>42993</v>
      </c>
      <c r="O54" s="24" t="s">
        <v>55</v>
      </c>
      <c r="P54" s="24" t="s">
        <v>103</v>
      </c>
      <c r="Q54" s="44">
        <f t="shared" si="6"/>
        <v>6</v>
      </c>
      <c r="R54" s="87">
        <f t="shared" si="0"/>
        <v>0.5</v>
      </c>
      <c r="S54" s="57">
        <f>DATEDIF(G54,J54,"m")</f>
        <v>101</v>
      </c>
      <c r="T54" s="86">
        <f t="shared" si="1"/>
        <v>8.4166666666666661</v>
      </c>
      <c r="U54" s="38"/>
    </row>
    <row r="55" spans="1:21">
      <c r="A55" s="1" t="s">
        <v>20</v>
      </c>
      <c r="B55" s="1" t="s">
        <v>380</v>
      </c>
      <c r="C55" s="1" t="s">
        <v>483</v>
      </c>
      <c r="D55" s="1" t="s">
        <v>23</v>
      </c>
      <c r="E55" s="1"/>
      <c r="F55" s="1"/>
      <c r="G55" s="1" t="s">
        <v>23</v>
      </c>
      <c r="H55" s="9" t="s">
        <v>484</v>
      </c>
      <c r="I55" s="4">
        <v>43922</v>
      </c>
      <c r="J55" s="4">
        <v>44104</v>
      </c>
      <c r="K55" t="s">
        <v>485</v>
      </c>
      <c r="L55" s="1" t="s">
        <v>23</v>
      </c>
      <c r="M55" s="1" t="s">
        <v>486</v>
      </c>
      <c r="N55" s="4">
        <v>43739</v>
      </c>
      <c r="O55" s="24" t="s">
        <v>36</v>
      </c>
      <c r="P55" s="24" t="s">
        <v>28</v>
      </c>
      <c r="Q55" s="44">
        <f t="shared" si="6"/>
        <v>6</v>
      </c>
      <c r="R55" s="87">
        <f t="shared" si="0"/>
        <v>0.5</v>
      </c>
      <c r="S55" s="57"/>
      <c r="T55" s="86"/>
      <c r="U55" s="38"/>
    </row>
    <row r="56" spans="1:21">
      <c r="A56" s="1" t="s">
        <v>20</v>
      </c>
      <c r="B56" s="1" t="s">
        <v>380</v>
      </c>
      <c r="C56" s="1" t="s">
        <v>487</v>
      </c>
      <c r="D56" s="1" t="s">
        <v>23</v>
      </c>
      <c r="E56" s="1"/>
      <c r="F56" s="1"/>
      <c r="G56" s="1" t="s">
        <v>23</v>
      </c>
      <c r="H56" s="9" t="s">
        <v>488</v>
      </c>
      <c r="I56" s="4">
        <v>43830</v>
      </c>
      <c r="J56" s="4">
        <v>44012</v>
      </c>
      <c r="K56" t="s">
        <v>489</v>
      </c>
      <c r="L56" s="1" t="s">
        <v>23</v>
      </c>
      <c r="M56" s="1" t="s">
        <v>490</v>
      </c>
      <c r="N56" s="4">
        <v>43791</v>
      </c>
      <c r="O56" s="24" t="s">
        <v>36</v>
      </c>
      <c r="P56" s="24" t="s">
        <v>28</v>
      </c>
      <c r="Q56" s="44">
        <f t="shared" si="6"/>
        <v>1</v>
      </c>
      <c r="R56" s="87">
        <f t="shared" si="0"/>
        <v>8.3333333333333329E-2</v>
      </c>
      <c r="S56" s="57"/>
      <c r="T56" s="86"/>
      <c r="U56" s="38"/>
    </row>
    <row r="57" spans="1:21">
      <c r="A57" s="1" t="s">
        <v>20</v>
      </c>
      <c r="B57" s="1" t="s">
        <v>380</v>
      </c>
      <c r="C57" t="s">
        <v>491</v>
      </c>
      <c r="D57" s="9" t="s">
        <v>492</v>
      </c>
      <c r="E57" s="1"/>
      <c r="F57" s="1"/>
      <c r="G57" s="4">
        <v>42241</v>
      </c>
      <c r="H57" s="3" t="s">
        <v>493</v>
      </c>
      <c r="I57" s="4">
        <v>44404</v>
      </c>
      <c r="J57" s="4">
        <v>44589</v>
      </c>
      <c r="K57" t="s">
        <v>494</v>
      </c>
      <c r="L57" s="1" t="s">
        <v>23</v>
      </c>
      <c r="M57" s="1" t="s">
        <v>495</v>
      </c>
      <c r="N57" s="4">
        <v>44216</v>
      </c>
      <c r="O57" s="24" t="s">
        <v>27</v>
      </c>
      <c r="P57" s="24" t="s">
        <v>28</v>
      </c>
      <c r="Q57" s="44">
        <f t="shared" si="6"/>
        <v>6</v>
      </c>
      <c r="R57" s="87">
        <f t="shared" si="0"/>
        <v>0.5</v>
      </c>
      <c r="S57" s="57">
        <f t="shared" ref="S57:S64" si="7">DATEDIF(G57,J57,"m")</f>
        <v>77</v>
      </c>
      <c r="T57" s="86">
        <f t="shared" si="1"/>
        <v>6.416666666666667</v>
      </c>
      <c r="U57" s="38"/>
    </row>
    <row r="58" spans="1:21">
      <c r="A58" s="1" t="s">
        <v>20</v>
      </c>
      <c r="B58" s="1" t="s">
        <v>380</v>
      </c>
      <c r="C58" t="s">
        <v>496</v>
      </c>
      <c r="D58" s="9" t="s">
        <v>497</v>
      </c>
      <c r="E58" s="1"/>
      <c r="F58" s="1"/>
      <c r="G58" s="4">
        <v>40847</v>
      </c>
      <c r="H58" s="3" t="s">
        <v>498</v>
      </c>
      <c r="I58" s="4">
        <v>44517</v>
      </c>
      <c r="J58" s="4">
        <v>44697</v>
      </c>
      <c r="K58" t="s">
        <v>499</v>
      </c>
      <c r="L58" s="1" t="s">
        <v>23</v>
      </c>
      <c r="M58" s="1" t="s">
        <v>495</v>
      </c>
      <c r="N58" s="4">
        <v>44336</v>
      </c>
      <c r="O58" s="24" t="s">
        <v>27</v>
      </c>
      <c r="P58" s="24" t="s">
        <v>28</v>
      </c>
      <c r="Q58" s="44">
        <f t="shared" si="6"/>
        <v>5</v>
      </c>
      <c r="R58" s="87">
        <f t="shared" si="0"/>
        <v>0.41666666666666669</v>
      </c>
      <c r="S58" s="57">
        <f t="shared" si="7"/>
        <v>126</v>
      </c>
      <c r="T58" s="86">
        <f t="shared" si="1"/>
        <v>10.5</v>
      </c>
      <c r="U58" s="38"/>
    </row>
    <row r="59" spans="1:21">
      <c r="A59" s="61" t="s">
        <v>20</v>
      </c>
      <c r="B59" s="61" t="s">
        <v>380</v>
      </c>
      <c r="C59" t="s">
        <v>500</v>
      </c>
      <c r="D59" s="9" t="s">
        <v>501</v>
      </c>
      <c r="E59" s="61"/>
      <c r="F59" s="61"/>
      <c r="G59" s="73">
        <v>42164</v>
      </c>
      <c r="H59" s="72" t="s">
        <v>502</v>
      </c>
      <c r="I59" s="73">
        <v>44537</v>
      </c>
      <c r="J59" s="73">
        <v>44713</v>
      </c>
      <c r="K59" t="s">
        <v>499</v>
      </c>
      <c r="L59" s="61" t="s">
        <v>23</v>
      </c>
      <c r="M59" s="61" t="s">
        <v>495</v>
      </c>
      <c r="N59" s="73">
        <v>44336</v>
      </c>
      <c r="O59" s="24" t="s">
        <v>27</v>
      </c>
      <c r="P59" s="24" t="s">
        <v>28</v>
      </c>
      <c r="Q59" s="44">
        <f t="shared" si="6"/>
        <v>6</v>
      </c>
      <c r="R59" s="87">
        <f t="shared" si="0"/>
        <v>0.5</v>
      </c>
      <c r="S59" s="57">
        <f t="shared" si="7"/>
        <v>83</v>
      </c>
      <c r="T59" s="86">
        <f t="shared" si="1"/>
        <v>6.916666666666667</v>
      </c>
      <c r="U59" s="38"/>
    </row>
    <row r="60" spans="1:21">
      <c r="A60" s="1" t="s">
        <v>20</v>
      </c>
      <c r="B60" s="1" t="s">
        <v>380</v>
      </c>
      <c r="C60" s="1" t="s">
        <v>381</v>
      </c>
      <c r="D60" s="3" t="s">
        <v>503</v>
      </c>
      <c r="E60" s="1"/>
      <c r="F60" s="1"/>
      <c r="G60" s="4">
        <v>41547</v>
      </c>
      <c r="H60" s="3" t="s">
        <v>504</v>
      </c>
      <c r="I60" s="4">
        <v>44571</v>
      </c>
      <c r="J60" s="4">
        <v>44757</v>
      </c>
      <c r="K60" s="1" t="s">
        <v>505</v>
      </c>
      <c r="L60" s="1" t="s">
        <v>23</v>
      </c>
      <c r="M60" s="1" t="s">
        <v>495</v>
      </c>
      <c r="N60" s="73">
        <v>44365</v>
      </c>
      <c r="O60" s="82" t="s">
        <v>27</v>
      </c>
      <c r="P60" s="82" t="s">
        <v>28</v>
      </c>
      <c r="Q60" s="44">
        <f t="shared" si="6"/>
        <v>6</v>
      </c>
      <c r="R60" s="87">
        <f t="shared" si="0"/>
        <v>0.5</v>
      </c>
      <c r="S60" s="57">
        <f t="shared" si="7"/>
        <v>105</v>
      </c>
      <c r="T60" s="86">
        <f t="shared" si="1"/>
        <v>8.75</v>
      </c>
      <c r="U60" s="38"/>
    </row>
    <row r="61" spans="1:21">
      <c r="A61" s="1" t="s">
        <v>20</v>
      </c>
      <c r="B61" s="1" t="s">
        <v>380</v>
      </c>
      <c r="C61" s="1" t="s">
        <v>506</v>
      </c>
      <c r="D61" s="3" t="s">
        <v>507</v>
      </c>
      <c r="E61" s="1"/>
      <c r="F61" s="1"/>
      <c r="G61" s="4">
        <v>42241</v>
      </c>
      <c r="H61" s="3" t="s">
        <v>508</v>
      </c>
      <c r="I61" s="4">
        <v>44619</v>
      </c>
      <c r="J61" s="4">
        <v>44802</v>
      </c>
      <c r="K61" s="1" t="s">
        <v>509</v>
      </c>
      <c r="L61" s="1" t="s">
        <v>23</v>
      </c>
      <c r="M61" s="12" t="s">
        <v>495</v>
      </c>
      <c r="N61" s="4">
        <v>44421</v>
      </c>
      <c r="O61" s="1" t="s">
        <v>27</v>
      </c>
      <c r="P61" s="1" t="s">
        <v>28</v>
      </c>
      <c r="Q61" s="98">
        <f t="shared" si="6"/>
        <v>6</v>
      </c>
      <c r="R61" s="87">
        <f t="shared" si="0"/>
        <v>0.5</v>
      </c>
      <c r="S61" s="57">
        <f t="shared" si="7"/>
        <v>84</v>
      </c>
      <c r="T61" s="86">
        <f t="shared" si="1"/>
        <v>7</v>
      </c>
      <c r="U61" s="38"/>
    </row>
    <row r="62" spans="1:21">
      <c r="A62" s="1" t="s">
        <v>20</v>
      </c>
      <c r="B62" s="1" t="s">
        <v>380</v>
      </c>
      <c r="C62" s="1" t="s">
        <v>381</v>
      </c>
      <c r="D62" s="3" t="s">
        <v>510</v>
      </c>
      <c r="E62" s="1"/>
      <c r="F62" s="1"/>
      <c r="G62" s="4">
        <v>41512</v>
      </c>
      <c r="H62" s="3" t="s">
        <v>511</v>
      </c>
      <c r="I62" s="4">
        <v>44645</v>
      </c>
      <c r="J62" s="4">
        <v>44830</v>
      </c>
      <c r="K62" s="1" t="s">
        <v>381</v>
      </c>
      <c r="L62" s="1" t="s">
        <v>23</v>
      </c>
      <c r="M62" s="12" t="s">
        <v>495</v>
      </c>
      <c r="N62" s="4">
        <v>44432</v>
      </c>
      <c r="O62" s="1" t="s">
        <v>27</v>
      </c>
      <c r="P62" s="1" t="s">
        <v>28</v>
      </c>
      <c r="Q62" s="98">
        <f t="shared" si="6"/>
        <v>7</v>
      </c>
      <c r="R62" s="87">
        <f t="shared" si="0"/>
        <v>0.58333333333333337</v>
      </c>
      <c r="S62" s="57">
        <f t="shared" si="7"/>
        <v>109</v>
      </c>
      <c r="T62" s="86">
        <f t="shared" si="1"/>
        <v>9.0833333333333339</v>
      </c>
      <c r="U62" s="38"/>
    </row>
    <row r="63" spans="1:21">
      <c r="A63" s="1" t="s">
        <v>20</v>
      </c>
      <c r="B63" s="1" t="s">
        <v>380</v>
      </c>
      <c r="C63" s="1" t="s">
        <v>381</v>
      </c>
      <c r="D63" s="3" t="s">
        <v>512</v>
      </c>
      <c r="E63" s="1"/>
      <c r="F63" s="1"/>
      <c r="G63" s="4">
        <v>41184</v>
      </c>
      <c r="H63" s="3" t="s">
        <v>513</v>
      </c>
      <c r="I63" s="4">
        <v>44883</v>
      </c>
      <c r="J63" s="4">
        <v>45250</v>
      </c>
      <c r="K63" s="1" t="s">
        <v>23</v>
      </c>
      <c r="L63" s="1" t="s">
        <v>23</v>
      </c>
      <c r="M63" s="12" t="s">
        <v>514</v>
      </c>
      <c r="N63" s="4">
        <v>44512</v>
      </c>
      <c r="O63" s="1" t="s">
        <v>75</v>
      </c>
      <c r="P63" s="1" t="s">
        <v>103</v>
      </c>
      <c r="Q63" s="99">
        <f t="shared" si="6"/>
        <v>12</v>
      </c>
      <c r="R63" s="87">
        <f t="shared" si="0"/>
        <v>1</v>
      </c>
      <c r="S63" s="69">
        <f t="shared" si="7"/>
        <v>133</v>
      </c>
      <c r="T63" s="86">
        <f t="shared" si="1"/>
        <v>11.083333333333334</v>
      </c>
      <c r="U63" s="38"/>
    </row>
    <row r="64" spans="1:21">
      <c r="A64" s="1" t="s">
        <v>20</v>
      </c>
      <c r="B64" s="1" t="s">
        <v>380</v>
      </c>
      <c r="C64" s="1" t="s">
        <v>381</v>
      </c>
      <c r="D64" s="3" t="s">
        <v>515</v>
      </c>
      <c r="E64" s="1"/>
      <c r="F64" s="1"/>
      <c r="G64" s="4">
        <v>42282</v>
      </c>
      <c r="H64" s="3" t="s">
        <v>516</v>
      </c>
      <c r="I64" s="4">
        <v>44707</v>
      </c>
      <c r="J64" s="4">
        <v>44887</v>
      </c>
      <c r="K64" s="1" t="s">
        <v>23</v>
      </c>
      <c r="L64" s="1" t="s">
        <v>23</v>
      </c>
      <c r="M64" s="12" t="s">
        <v>517</v>
      </c>
      <c r="N64" s="4">
        <v>44516</v>
      </c>
      <c r="O64" s="1" t="s">
        <v>75</v>
      </c>
      <c r="P64" s="1" t="s">
        <v>103</v>
      </c>
      <c r="Q64" s="100">
        <f>DATEDIF(N64,I64, "m")</f>
        <v>6</v>
      </c>
      <c r="R64" s="87">
        <f t="shared" si="0"/>
        <v>0.5</v>
      </c>
      <c r="S64" s="57">
        <f t="shared" si="7"/>
        <v>85</v>
      </c>
      <c r="T64" s="86">
        <f t="shared" si="1"/>
        <v>7.083333333333333</v>
      </c>
      <c r="U64" s="38"/>
    </row>
    <row r="65" spans="16:21">
      <c r="P65" s="80" t="s">
        <v>187</v>
      </c>
      <c r="Q65" s="90">
        <f>AVERAGE(Q2:Q64)</f>
        <v>6.4745762711864403</v>
      </c>
      <c r="R65" s="90">
        <f>AVERAGE(R2:R64)</f>
        <v>0.53954802259887003</v>
      </c>
      <c r="S65" s="91">
        <f>AVERAGE(S2:S64)</f>
        <v>57.212121212121211</v>
      </c>
      <c r="T65" s="91">
        <f>AVERAGE(T2:T64)</f>
        <v>4.7676767676767691</v>
      </c>
    </row>
    <row r="66" spans="16:21">
      <c r="P66" s="36" t="s">
        <v>188</v>
      </c>
      <c r="Q66" s="92">
        <f>MEDIAN(Q2:Q64)</f>
        <v>6</v>
      </c>
      <c r="R66" s="92">
        <f>MEDIAN(R2:R64)</f>
        <v>0.5</v>
      </c>
      <c r="S66" s="93">
        <f>MEDIAN(S2:S64)</f>
        <v>44</v>
      </c>
      <c r="T66" s="93">
        <f>MEDIAN(T2:T64)</f>
        <v>3.6666666666666665</v>
      </c>
      <c r="U66" s="38"/>
    </row>
    <row r="67" spans="16:21">
      <c r="P67" s="36" t="s">
        <v>189</v>
      </c>
      <c r="Q67" s="92">
        <f>MAX(Q2:Q64)-MIN(Q2:Q64)</f>
        <v>18</v>
      </c>
      <c r="R67" s="92">
        <f>MAX(R2:R64)-MIN(R2:R64)</f>
        <v>1.5</v>
      </c>
      <c r="S67" s="93">
        <f>MAX(S2:S64)-MIN(S2:S64)</f>
        <v>128</v>
      </c>
      <c r="T67" s="93">
        <f>MAX(T2:T64)-MIN(T2:T64)</f>
        <v>10.666666666666668</v>
      </c>
    </row>
    <row r="68" spans="16:21">
      <c r="P68" s="36" t="s">
        <v>190</v>
      </c>
      <c r="Q68" s="92">
        <f>_xlfn.STDEV.P(Q2:Q64)</f>
        <v>2.7081542416792068</v>
      </c>
      <c r="R68" s="92">
        <f>_xlfn.STDEV.P(R2:R64)</f>
        <v>0.22567952013993378</v>
      </c>
      <c r="S68" s="93">
        <f>_xlfn.STDEV.P(S2:S64)</f>
        <v>34.289107357574167</v>
      </c>
      <c r="T68" s="93">
        <f>_xlfn.STDEV.P(T2:T64)</f>
        <v>2.8574256131311797</v>
      </c>
    </row>
  </sheetData>
  <hyperlinks>
    <hyperlink ref="H2" r:id="rId1" display="https://www.vishay.com/quality/pcn-doc/PCN-SIL-004-2011-Rev-0/PCN-SIL-0042011 Commerical Power MOSFET Obsolescence.pdf/"/>
    <hyperlink ref="D2" r:id="rId2" display="https://www.mouser.fr/datasheet/2/427/72064-1765636.pdf"/>
    <hyperlink ref="D3" r:id="rId3" display="https://www.vishay.com/docs/72705/2n70000k.pdf"/>
    <hyperlink ref="H4" r:id="rId4"/>
    <hyperlink ref="H5" r:id="rId5"/>
    <hyperlink ref="H3" r:id="rId6"/>
    <hyperlink ref="H6" r:id="rId7" display="https://www.vishay.com/quality/pcn-doc/PCN-SIL-009-2016-Rev-1/PCN-SIL-0092016 Commercial LVM End of Liferev1.pdf/"/>
    <hyperlink ref="D6" r:id="rId8"/>
    <hyperlink ref="H7" r:id="rId9" display="https://www.vishay.com/quality/pcn-doc/PCN-SIL-0112010/PCN-SIL-0112010 PPAK2x5 Obsolescence.pdf/"/>
    <hyperlink ref="D7" r:id="rId10" display="https://www.mouser.fr/datasheet/2/427/72987-1765929.pdf"/>
    <hyperlink ref="H8" r:id="rId11" display="https://www.vishay.com/quality/pcn-doc/PCN-SIL-012-2012-Rev-1/PCN-SIL-0122012 Commerical Power MOSFET Obsolescence Rev1.pdf/"/>
    <hyperlink ref="D8" r:id="rId12" display="https://www.mouser.fr/datasheet/2/427/si2302ad-1765796.pdf"/>
    <hyperlink ref="H9" r:id="rId13" display="https://www.vishay.com/quality/pcn-doc/PCN-SIL-013-2015-Rev-1/PCN-SIL-0132015 Commercial LVM End of Life rev1.pdf/"/>
    <hyperlink ref="D9" r:id="rId14" display="https://www.mouser.fr/datasheet/2/427/si7356ad-1766103.pdf"/>
    <hyperlink ref="D10" r:id="rId15" display="https://www.mouser.fr/datasheet/2/427/SI5853CD-1765240.pdf"/>
    <hyperlink ref="H10" r:id="rId16" display="https://www.vishay.com/quality/pcn-doc/PCN-SIL-0132010/PCN-SIL-0132010 EOL for SI5853CDC-T1-E3.pdf/"/>
    <hyperlink ref="D11" r:id="rId17"/>
    <hyperlink ref="H11" r:id="rId18"/>
    <hyperlink ref="H12" r:id="rId19"/>
    <hyperlink ref="H13" r:id="rId20" display="https://www.vishay.com/quality/pcn-doc/PCN-SIL-015-2014-Rev-2/PCN-SIL-0152014 EOL with Replacement Rev2.pdf/"/>
    <hyperlink ref="D14" r:id="rId21"/>
    <hyperlink ref="H14" r:id="rId22"/>
    <hyperlink ref="D15" r:id="rId23" display="https://www.mouser.fr/datasheet/2/427/sihg47n60s-1768754.pdf"/>
    <hyperlink ref="H15" r:id="rId24"/>
    <hyperlink ref="H16" r:id="rId25"/>
    <hyperlink ref="H17" r:id="rId26" display="https://www.vishay.com/quality/pcn-doc/PCN-SIL-019-2014-Rev-1/PCN-SIL-0192014 EOL with Replacement.pdf/"/>
    <hyperlink ref="H18" r:id="rId27" display="https://www.vishay.com/quality/pcn-doc/PCN-SIL-019-2016-Rev-0/MIL-JFET OBSOLETE.pdf/"/>
    <hyperlink ref="H19" r:id="rId28" display="https://www.vishay.com/quality/pcn-doc/PCN-SIL-020-2016-Rev-0/MIL-AS OBSOLETE.pdf/"/>
    <hyperlink ref="H20" r:id="rId29"/>
    <hyperlink ref="D21" r:id="rId30" display="https://www.vishay.com/docs/74401/50np0462.pdf"/>
    <hyperlink ref="H21" r:id="rId31" display="https://www.vishay.com/quality/pcn-doc/PCN-SIL-0212010/PCN-SIL-0212010 GTBF EOL.pdf/"/>
    <hyperlink ref="H22" r:id="rId32" display="https://www.vishay.com/quality/pcn-doc/PCN-SIL-023-2014-Rev-2/PCN-SIL-0232014 Rev2 EOL with Replacement.pdf/"/>
    <hyperlink ref="H23" r:id="rId33" display="https://www.vishay.com/quality/pcn-doc/PCN-SIL-024-2014-Rev-2/PCN-SIL-0242014 Rev2 EOL with Replacement.pdf/"/>
    <hyperlink ref="H24" r:id="rId34" display="https://www.vishay.com/quality/pcn-doc/PCN-SIL-025-2014-Rev-1/PCN-SIL-0252014 EOL with Replacement.pdf/"/>
    <hyperlink ref="H25" r:id="rId35" display="https://www.vishay.com/quality/pcn-doc/PCN-SIL-025-2015-Rev-0/PCN-SIL-0252015 Commercial LVM End of Life revA.pdf/"/>
    <hyperlink ref="D25" r:id="rId36"/>
    <hyperlink ref="H26" r:id="rId37" display="https://www.vishay.com/quality/pcn-doc/PCN-SIL-0252010/PCN-SIL-0252010 Commerical Power MOSFET Obsolescence.pdf/"/>
    <hyperlink ref="D26" r:id="rId38" display="https://www.mouser.fr/datasheet/2/427/70742-1765344.pdf"/>
    <hyperlink ref="H27" r:id="rId39" display="https://www.vishay.com/quality/pcn-doc/PCN-SIL-0262010/PCN-SIL-0262010 Automotive MOSFET 8M 12M EOL.pdf/"/>
    <hyperlink ref="D27" r:id="rId40" display="https://www.mouser.fr/datasheet/2/427/sq4946ey-1766526.pdf"/>
    <hyperlink ref="H28" r:id="rId41" display="https://www.vishay.com/quality/pcn-doc/PCN-SIL-027-2014-Rev-1/PCN-SIL-0272014 EOL with Replacement.pdf/"/>
    <hyperlink ref="D29" r:id="rId42" display="https://www.mouser.fr/datasheet/2/427/sihfl014-1768651.pdf"/>
    <hyperlink ref="H29" r:id="rId43" display="https://www.vishay.com/quality/pcn-doc/PCN-SIL-027-2015-Rev-0/PCN-SIL-0272015 EOL TO-223 Tube Pack Option.pdf/"/>
    <hyperlink ref="D30" r:id="rId44" display="https://www.vishay.com/docs/67006/sqm120n0.pdf"/>
    <hyperlink ref="H30" r:id="rId45" display="https://www.vishay.com/quality/pcn-doc/PCN-SIL-029-2014-Rev-1/PCN-SIL-0292014 EOL with Replacement SQM120N04-1m9.pdf/"/>
    <hyperlink ref="D31" r:id="rId46" display="https://www.mouser.fr/datasheet/2/427/71166-1765704.pdf"/>
    <hyperlink ref="H31" r:id="rId47" display="https://www.vishay.com/quality/pcn-doc/PCN-SIL-0292010/PCN-SIL-0292010 AUK SC75_SC89 EOL.pdf/"/>
    <hyperlink ref="H32" r:id="rId48" display="https://www.vishay.com/quality/pcn-doc/PCN-SIL-033-2014-Rev-3/PCN-SIL-0332014 Rev3 EOL without replacement.pdf/"/>
    <hyperlink ref="D33" r:id="rId49" display="https://www.mouser.fr/datasheet/2/427/SI1402DH-1766097.pdf"/>
    <hyperlink ref="H33" r:id="rId50" display="https://www.vishay.com/quality/pcn-doc/PCN-SIL-035-2011-Rev-0/PCN-SIL-0352011 Commerical Power MOSFET Obsolescence.pdf/"/>
    <hyperlink ref="H34" r:id="rId51" display="https://www.vishay.com/quality/pcn-doc/PCN-SIL-035-2014-Rev-1/PCN-SIL-0352014 EOL with Replacement.pdf/"/>
    <hyperlink ref="H35" r:id="rId52" display="https://www.vishay.com/quality/pcn-doc/PCN-SIL-037-2014-Rev-1/PCN-SIL-0372014 EOL with Replacement.pdf/"/>
    <hyperlink ref="D36" r:id="rId53" display="https://www.mouser.fr/datasheet/2/427/sud50n04-1764970.pdf"/>
    <hyperlink ref="H36" r:id="rId54" display="https://www.vishay.com/quality/pcn-doc/PCN-SIL-0382010/PCN-SIL-0382010.pdf/"/>
    <hyperlink ref="D37" r:id="rId55" display="https://www.mouser.fr/datasheet/2/427/71937-1765798.pdf"/>
    <hyperlink ref="H37" r:id="rId56" display="https://www.vishay.com/quality/pcn-doc/PCN-SIL-039-2016-Rev-0/PCN-SIL-0392016 Commercial LVM End of Life.pdf/"/>
    <hyperlink ref="D38" r:id="rId57" display="https://www.mouser.fr/datasheet/2/427/sqd35n05-1765280.pdf"/>
    <hyperlink ref="H38" r:id="rId58"/>
    <hyperlink ref="D39" r:id="rId59" display="https://www.mouser.fr/datasheet/2/427/sq4401dy-1765085.pdf"/>
    <hyperlink ref="H39" r:id="rId60"/>
    <hyperlink ref="D40" r:id="rId61" display="https://www.mouser.fr/datasheet/2/427/sq4936ey-1764823.pdf"/>
    <hyperlink ref="H40" r:id="rId62"/>
    <hyperlink ref="H41" r:id="rId63" display="https://www.vishay.com/quality/pcn-doc/PCN-SIL-048-2012-Rev-2/PCN-SIL-0482012 EOL SOT-223, DPAK, IPAK Sn-PB ProductsRev2.pdf/"/>
    <hyperlink ref="D42" r:id="rId64" display="https://www.vishay.com/docs/65531/sq1912ee.pdf"/>
    <hyperlink ref="H42" r:id="rId65"/>
    <hyperlink ref="D43" r:id="rId66" display="https://www.vishay.com/docs/71481/sqs466ee.pdf"/>
    <hyperlink ref="H43" r:id="rId67"/>
    <hyperlink ref="D44" r:id="rId68"/>
    <hyperlink ref="H44" r:id="rId69" display="https://www.vishay.com/quality/pcn-doc/PCN-SIL-055-2014-Rev-1/PCN-SIL-0552014 EOL with SQD50N04-5M6 Replacement.pdf/"/>
    <hyperlink ref="D45" r:id="rId70" display="https://www.mouser.fr/datasheet/2/427/VISH_S_A0001222646_1-2567301.pdf"/>
    <hyperlink ref="H45" r:id="rId71" display="https://www.vishay.com/quality/pcn-doc/PCN-SIL-057-2013-Rev-0/PCN-SIL-0572013 Product Obsolescence.pdf/"/>
    <hyperlink ref="D46" r:id="rId72" display="https://www.mouser.fr/datasheet/2/427/si1046r-1766529.pdf"/>
    <hyperlink ref="H46" r:id="rId73" display="https://www.vishay.com/quality/pcn-doc/PCN-SIL-058-2013-Rev-0/PCN-SIL-0582013 Commercial LVM End of Life.pdf/"/>
    <hyperlink ref="D47" r:id="rId74" display="https://www.mouser.fr/datasheet/2/427/72019-1765886.pdf"/>
    <hyperlink ref="H47" r:id="rId75" display="https://www.vishay.com/quality/pcn-doc/PCN-SIL-072-2014-Rev-0/PCN-SIL-0722014 Commercial LVM End of Life.pdf/"/>
    <hyperlink ref="D48" r:id="rId76" display="https://www.mouser.fr/datasheet/2/427/sqm110n0-1765082.pdf"/>
    <hyperlink ref="H48" r:id="rId77"/>
    <hyperlink ref="D49" r:id="rId78" display="https://www.mouser.fr/datasheet/2/427/sq2361ees-1765392.pdf"/>
    <hyperlink ref="H49" r:id="rId79"/>
    <hyperlink ref="H50" r:id="rId80" display="https://www.vishay.com/quality/pcn-doc/PCN-SIL-091-2014-Rev-0/PCN-SIL-0912014 EOL TNCB2DWF.pdf/"/>
    <hyperlink ref="D51" r:id="rId81" display="https://www.mouser.fr/datasheet/2/427/si1539dl-1765561.pdf"/>
    <hyperlink ref="H51" r:id="rId82" display="https://www.vishay.com/quality/pcn-doc/PCN-SIL-107-2014-Rev-0/PCN-SIL-1072014 Commercial LVM End of Life.pdf/"/>
    <hyperlink ref="D52" r:id="rId83" display="https://www.mouser.fr/datasheet/2/427/VISH_S_A0001121990_1-2567183.pdf"/>
    <hyperlink ref="H52" r:id="rId84" display="https://www.vishay.com/quality/pcn-doc/PTN-SIL-00003-2008-Rev-0/PCN-SIL-0032018 Commercial LVM End of Life.pdf/"/>
    <hyperlink ref="D53" r:id="rId85" display="https://www.mouser.fr/datasheet/2/427/VISH_S_A0001142048_1-2567156.pdf"/>
    <hyperlink ref="H53" r:id="rId86" display="https://www.vishay.com/quality/pcn-doc/PTN-SIL-00015-2008-Rev-0/PCN-SIL-0152018 Commercial LVM End of Life rev1.pdf/"/>
    <hyperlink ref="D54" r:id="rId87" display="https://www.mouser.fr/datasheet/2/427/SI1400DL-1765743.pdf"/>
    <hyperlink ref="H54" r:id="rId88" display="https://www.vishay.com/quality/pcn-doc/PTN-SIL-00016-2017-Rev-0/PCN-SIL-0162017 Commercial LVM End of Life.pdf/"/>
    <hyperlink ref="H55" r:id="rId89" display="https://www.vishay.com/quality/pcn-doc/PTN-SIL-00017-2019-Rev-0/PCN SIL-0172019 EOL V50383-E3.pdf/"/>
    <hyperlink ref="H56" r:id="rId90" display="https://www.vishay.com/quality/pcn-doc/PTN-SIL-00018-2019-Rev-0/PCN SIL-0182019 EOL V961-0007-E3.pdf/"/>
    <hyperlink ref="D57" r:id="rId91" display="https://www.mouser.fr/datasheet/2/427/VISH_S_A0003419864_1-2568941.pdf"/>
    <hyperlink ref="H57" r:id="rId92"/>
    <hyperlink ref="D58" r:id="rId93" display="https://www.mouser.fr/datasheet/2/427/VISH_S_A0001185100_1-2567244.pdf"/>
    <hyperlink ref="H58" r:id="rId94"/>
    <hyperlink ref="D59" r:id="rId95" display="https://www.mouser.fr/datasheet/2/427/VISH_S_A0001811137_1-2567652.pdf"/>
    <hyperlink ref="H59" r:id="rId96"/>
    <hyperlink ref="D60" r:id="rId97" display="https://www.mouser.fr/datasheet/2/427/VISH_S_A0001234431_1-2567492.pdf"/>
    <hyperlink ref="H60" r:id="rId98"/>
    <hyperlink ref="D61" r:id="rId99" display="https://www.mouser.fr/datasheet/2/427/VISH_S_A0003419857_1-2568873.pdf"/>
    <hyperlink ref="H61" r:id="rId100"/>
    <hyperlink ref="D62" r:id="rId101" display="https://www.mouser.fr/datasheet/2/427/VISH_S_A0001185333_1-2567160.pdf"/>
    <hyperlink ref="H62" r:id="rId102"/>
    <hyperlink ref="D63" r:id="rId103" display="https://www.mouser.fr/datasheet/2/427/VISH_S_A0001785392_1-2567659.pdf"/>
    <hyperlink ref="H63" r:id="rId104"/>
    <hyperlink ref="D64" r:id="rId105" display="https://www.mouser.fr/datasheet/2/427/VISH_S_A0001221802_1-2567260.pdf"/>
    <hyperlink ref="H64" r:id="rId106"/>
  </hyperlinks>
  <pageMargins left="0.7" right="0.7" top="0.75" bottom="0.75" header="0.3" footer="0.3"/>
  <drawing r:id="rId107"/>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G601"/>
  <sheetViews>
    <sheetView topLeftCell="A16" zoomScale="50" zoomScaleNormal="50" workbookViewId="0">
      <selection activeCell="P98" sqref="P98"/>
    </sheetView>
  </sheetViews>
  <sheetFormatPr baseColWidth="10" defaultColWidth="9.578125" defaultRowHeight="25.35" customHeight="1"/>
  <cols>
    <col min="3" max="3" width="80.41796875" customWidth="1"/>
    <col min="4" max="4" width="48.41796875" customWidth="1"/>
    <col min="6" max="6" width="31" bestFit="1" customWidth="1"/>
  </cols>
  <sheetData>
    <row r="1" spans="1:6" ht="25.35" customHeight="1">
      <c r="A1" s="6" t="s">
        <v>8</v>
      </c>
      <c r="B1" s="2" t="s">
        <v>9</v>
      </c>
      <c r="C1" s="11" t="s">
        <v>12</v>
      </c>
      <c r="D1" t="s">
        <v>3150</v>
      </c>
      <c r="E1" t="s">
        <v>3151</v>
      </c>
      <c r="F1" t="s">
        <v>3152</v>
      </c>
    </row>
    <row r="2" spans="1:6" ht="25.35" customHeight="1">
      <c r="A2" s="62" t="s">
        <v>3153</v>
      </c>
      <c r="B2" t="s">
        <v>3154</v>
      </c>
      <c r="C2" t="s">
        <v>1381</v>
      </c>
      <c r="D2" t="s">
        <v>3155</v>
      </c>
      <c r="E2" t="s">
        <v>3156</v>
      </c>
      <c r="F2" t="s">
        <v>3157</v>
      </c>
    </row>
    <row r="3" spans="1:6" ht="25.35" customHeight="1">
      <c r="A3" s="62" t="s">
        <v>3153</v>
      </c>
      <c r="B3" t="s">
        <v>3154</v>
      </c>
      <c r="C3" t="s">
        <v>1381</v>
      </c>
      <c r="D3" t="s">
        <v>3155</v>
      </c>
      <c r="E3" t="s">
        <v>3156</v>
      </c>
      <c r="F3" t="s">
        <v>3157</v>
      </c>
    </row>
    <row r="4" spans="1:6" ht="25.35" customHeight="1">
      <c r="A4" t="s">
        <v>3158</v>
      </c>
      <c r="B4" t="s">
        <v>3159</v>
      </c>
      <c r="C4" t="s">
        <v>3160</v>
      </c>
      <c r="D4" t="s">
        <v>3161</v>
      </c>
      <c r="E4" t="s">
        <v>3156</v>
      </c>
      <c r="F4" t="s">
        <v>3162</v>
      </c>
    </row>
    <row r="5" spans="1:6" ht="25.35" customHeight="1">
      <c r="A5" t="s">
        <v>3158</v>
      </c>
      <c r="B5" t="s">
        <v>3159</v>
      </c>
      <c r="C5" t="s">
        <v>3160</v>
      </c>
      <c r="D5" t="s">
        <v>3161</v>
      </c>
      <c r="E5" t="s">
        <v>3156</v>
      </c>
      <c r="F5" t="s">
        <v>3162</v>
      </c>
    </row>
    <row r="6" spans="1:6" ht="25.35" customHeight="1">
      <c r="A6" t="s">
        <v>3163</v>
      </c>
      <c r="B6" t="s">
        <v>3164</v>
      </c>
      <c r="C6" t="s">
        <v>3165</v>
      </c>
      <c r="D6" t="s">
        <v>3166</v>
      </c>
      <c r="E6" t="s">
        <v>3167</v>
      </c>
      <c r="F6" t="s">
        <v>3168</v>
      </c>
    </row>
    <row r="7" spans="1:6" ht="25.35" customHeight="1">
      <c r="A7" t="s">
        <v>3169</v>
      </c>
      <c r="B7" t="s">
        <v>3170</v>
      </c>
      <c r="C7" t="s">
        <v>3160</v>
      </c>
      <c r="D7" t="s">
        <v>3161</v>
      </c>
      <c r="E7" t="s">
        <v>3156</v>
      </c>
      <c r="F7" t="s">
        <v>3171</v>
      </c>
    </row>
    <row r="8" spans="1:6" ht="25.35" customHeight="1">
      <c r="A8" t="s">
        <v>3169</v>
      </c>
      <c r="B8" t="s">
        <v>3172</v>
      </c>
      <c r="C8" t="s">
        <v>3160</v>
      </c>
      <c r="D8" t="s">
        <v>3161</v>
      </c>
      <c r="E8" t="s">
        <v>3156</v>
      </c>
      <c r="F8" t="s">
        <v>3173</v>
      </c>
    </row>
    <row r="9" spans="1:6" ht="25.35" customHeight="1">
      <c r="A9" t="s">
        <v>3174</v>
      </c>
      <c r="B9" t="s">
        <v>3174</v>
      </c>
      <c r="C9" t="s">
        <v>3175</v>
      </c>
      <c r="D9" t="s">
        <v>3176</v>
      </c>
      <c r="E9" t="s">
        <v>3177</v>
      </c>
      <c r="F9" t="s">
        <v>3178</v>
      </c>
    </row>
    <row r="10" spans="1:6" ht="25.35" customHeight="1">
      <c r="A10" t="s">
        <v>3179</v>
      </c>
      <c r="B10" t="s">
        <v>3180</v>
      </c>
      <c r="C10" t="s">
        <v>3181</v>
      </c>
      <c r="D10" t="s">
        <v>3182</v>
      </c>
      <c r="E10" t="s">
        <v>3183</v>
      </c>
      <c r="F10" t="s">
        <v>3184</v>
      </c>
    </row>
    <row r="11" spans="1:6" ht="25.35" customHeight="1">
      <c r="A11" t="s">
        <v>3185</v>
      </c>
      <c r="B11" t="s">
        <v>3186</v>
      </c>
      <c r="C11" t="s">
        <v>3187</v>
      </c>
      <c r="D11" t="s">
        <v>3176</v>
      </c>
      <c r="E11" t="s">
        <v>3177</v>
      </c>
      <c r="F11" t="s">
        <v>3188</v>
      </c>
    </row>
    <row r="12" spans="1:6" ht="25.35" customHeight="1">
      <c r="A12" t="s">
        <v>3189</v>
      </c>
      <c r="B12" t="s">
        <v>3190</v>
      </c>
      <c r="C12" t="s">
        <v>3191</v>
      </c>
      <c r="D12" t="s">
        <v>3176</v>
      </c>
      <c r="E12" t="s">
        <v>3177</v>
      </c>
      <c r="F12" t="s">
        <v>3192</v>
      </c>
    </row>
    <row r="13" spans="1:6" ht="25.35" customHeight="1">
      <c r="A13" t="s">
        <v>3193</v>
      </c>
      <c r="B13" t="s">
        <v>3194</v>
      </c>
      <c r="C13" t="s">
        <v>3195</v>
      </c>
      <c r="D13" t="s">
        <v>3161</v>
      </c>
      <c r="E13" t="s">
        <v>3156</v>
      </c>
      <c r="F13" t="s">
        <v>3196</v>
      </c>
    </row>
    <row r="14" spans="1:6" ht="25.35" customHeight="1">
      <c r="A14" t="s">
        <v>3197</v>
      </c>
      <c r="B14" t="s">
        <v>3198</v>
      </c>
      <c r="C14" t="s">
        <v>3199</v>
      </c>
      <c r="D14" t="s">
        <v>3161</v>
      </c>
      <c r="E14" t="s">
        <v>3156</v>
      </c>
      <c r="F14" t="s">
        <v>3200</v>
      </c>
    </row>
    <row r="15" spans="1:6" ht="25.35" customHeight="1">
      <c r="A15" t="s">
        <v>3201</v>
      </c>
      <c r="B15" t="s">
        <v>3202</v>
      </c>
      <c r="C15" t="s">
        <v>3203</v>
      </c>
      <c r="D15" t="s">
        <v>3182</v>
      </c>
      <c r="E15" t="s">
        <v>3204</v>
      </c>
      <c r="F15" t="s">
        <v>3205</v>
      </c>
    </row>
    <row r="16" spans="1:6" ht="25.35" customHeight="1">
      <c r="A16" t="s">
        <v>3206</v>
      </c>
      <c r="B16" t="s">
        <v>3207</v>
      </c>
      <c r="C16" t="s">
        <v>3187</v>
      </c>
      <c r="D16" t="s">
        <v>3208</v>
      </c>
      <c r="E16" t="s">
        <v>3177</v>
      </c>
      <c r="F16" t="s">
        <v>3209</v>
      </c>
    </row>
    <row r="17" spans="1:6" ht="25.35" customHeight="1">
      <c r="A17" t="s">
        <v>3210</v>
      </c>
      <c r="B17" t="s">
        <v>3211</v>
      </c>
      <c r="C17" t="s">
        <v>3212</v>
      </c>
      <c r="D17" t="s">
        <v>3161</v>
      </c>
      <c r="E17" t="s">
        <v>3156</v>
      </c>
      <c r="F17" t="s">
        <v>3213</v>
      </c>
    </row>
    <row r="18" spans="1:6" ht="25.35" customHeight="1">
      <c r="A18" t="s">
        <v>3210</v>
      </c>
      <c r="B18" t="s">
        <v>3211</v>
      </c>
      <c r="C18" t="s">
        <v>3212</v>
      </c>
      <c r="D18" t="s">
        <v>3161</v>
      </c>
      <c r="E18" t="s">
        <v>3156</v>
      </c>
      <c r="F18" t="s">
        <v>3213</v>
      </c>
    </row>
    <row r="19" spans="1:6" ht="25.35" customHeight="1">
      <c r="A19" t="s">
        <v>3214</v>
      </c>
      <c r="B19" t="s">
        <v>3215</v>
      </c>
      <c r="C19" t="s">
        <v>3216</v>
      </c>
      <c r="D19" t="s">
        <v>3208</v>
      </c>
      <c r="E19" t="s">
        <v>3177</v>
      </c>
      <c r="F19" t="s">
        <v>3217</v>
      </c>
    </row>
    <row r="20" spans="1:6" ht="25.35" customHeight="1">
      <c r="A20" t="s">
        <v>3218</v>
      </c>
      <c r="B20" t="s">
        <v>3219</v>
      </c>
      <c r="C20" t="s">
        <v>3220</v>
      </c>
      <c r="D20" t="s">
        <v>3221</v>
      </c>
      <c r="F20" t="s">
        <v>3222</v>
      </c>
    </row>
    <row r="21" spans="1:6" ht="25.35" customHeight="1">
      <c r="A21" t="s">
        <v>533</v>
      </c>
      <c r="B21" t="s">
        <v>533</v>
      </c>
      <c r="C21" t="s">
        <v>3223</v>
      </c>
      <c r="D21" t="s">
        <v>3224</v>
      </c>
      <c r="E21" t="s">
        <v>3225</v>
      </c>
      <c r="F21" t="s">
        <v>3226</v>
      </c>
    </row>
    <row r="22" spans="1:6" ht="25.35" customHeight="1">
      <c r="A22" t="s">
        <v>533</v>
      </c>
      <c r="B22" t="s">
        <v>533</v>
      </c>
      <c r="C22" t="s">
        <v>3227</v>
      </c>
      <c r="D22" t="s">
        <v>3224</v>
      </c>
      <c r="E22" t="s">
        <v>3228</v>
      </c>
      <c r="F22" t="s">
        <v>3229</v>
      </c>
    </row>
    <row r="23" spans="1:6" ht="25.35" customHeight="1">
      <c r="A23" t="s">
        <v>3230</v>
      </c>
      <c r="B23" t="s">
        <v>3231</v>
      </c>
      <c r="C23" t="s">
        <v>3232</v>
      </c>
      <c r="D23" t="s">
        <v>3233</v>
      </c>
      <c r="F23" t="s">
        <v>3234</v>
      </c>
    </row>
    <row r="24" spans="1:6" ht="25.35" customHeight="1">
      <c r="A24" t="s">
        <v>533</v>
      </c>
      <c r="B24" t="s">
        <v>3235</v>
      </c>
      <c r="C24" t="s">
        <v>3236</v>
      </c>
      <c r="D24" t="s">
        <v>3166</v>
      </c>
      <c r="E24" t="s">
        <v>3237</v>
      </c>
      <c r="F24" t="s">
        <v>527</v>
      </c>
    </row>
    <row r="25" spans="1:6" ht="25.35" customHeight="1">
      <c r="A25" t="s">
        <v>3238</v>
      </c>
      <c r="B25" t="s">
        <v>3239</v>
      </c>
      <c r="C25" t="s">
        <v>3240</v>
      </c>
      <c r="D25" t="s">
        <v>3166</v>
      </c>
      <c r="E25" t="s">
        <v>3241</v>
      </c>
      <c r="F25" t="s">
        <v>535</v>
      </c>
    </row>
    <row r="26" spans="1:6" ht="25.35" customHeight="1">
      <c r="A26" t="s">
        <v>3242</v>
      </c>
      <c r="B26" t="s">
        <v>3242</v>
      </c>
      <c r="C26" t="s">
        <v>3243</v>
      </c>
      <c r="D26" t="s">
        <v>3244</v>
      </c>
      <c r="F26" t="s">
        <v>2265</v>
      </c>
    </row>
    <row r="27" spans="1:6" ht="25.35" customHeight="1">
      <c r="A27" t="s">
        <v>3245</v>
      </c>
      <c r="B27" t="s">
        <v>3246</v>
      </c>
      <c r="C27" t="s">
        <v>3247</v>
      </c>
      <c r="D27" t="s">
        <v>3248</v>
      </c>
      <c r="F27" t="s">
        <v>2270</v>
      </c>
    </row>
    <row r="28" spans="1:6" ht="25.35" customHeight="1">
      <c r="A28" t="s">
        <v>3249</v>
      </c>
      <c r="B28" t="s">
        <v>3250</v>
      </c>
      <c r="C28" t="s">
        <v>3247</v>
      </c>
      <c r="D28" t="s">
        <v>3251</v>
      </c>
      <c r="F28" t="s">
        <v>2275</v>
      </c>
    </row>
    <row r="29" spans="1:6" ht="25.35" customHeight="1">
      <c r="A29" t="s">
        <v>3242</v>
      </c>
      <c r="B29" t="s">
        <v>3242</v>
      </c>
      <c r="C29" t="s">
        <v>3252</v>
      </c>
      <c r="D29" t="s">
        <v>3253</v>
      </c>
      <c r="F29" t="s">
        <v>2279</v>
      </c>
    </row>
    <row r="30" spans="1:6" ht="25.35" customHeight="1">
      <c r="A30" t="s">
        <v>3249</v>
      </c>
      <c r="B30" t="s">
        <v>3250</v>
      </c>
      <c r="C30" t="s">
        <v>3247</v>
      </c>
      <c r="D30" t="s">
        <v>3251</v>
      </c>
      <c r="F30" t="s">
        <v>2284</v>
      </c>
    </row>
    <row r="31" spans="1:6" ht="25.35" customHeight="1">
      <c r="A31" t="s">
        <v>533</v>
      </c>
      <c r="B31" t="s">
        <v>3242</v>
      </c>
      <c r="C31" t="s">
        <v>3254</v>
      </c>
      <c r="D31" t="s">
        <v>3166</v>
      </c>
      <c r="E31" t="s">
        <v>3255</v>
      </c>
      <c r="F31" t="s">
        <v>542</v>
      </c>
    </row>
    <row r="32" spans="1:6" ht="25.35" customHeight="1">
      <c r="A32" t="s">
        <v>3256</v>
      </c>
      <c r="B32" t="s">
        <v>3257</v>
      </c>
      <c r="C32" t="s">
        <v>3242</v>
      </c>
      <c r="D32" t="s">
        <v>3258</v>
      </c>
      <c r="E32" t="s">
        <v>3259</v>
      </c>
      <c r="F32" t="s">
        <v>3260</v>
      </c>
    </row>
    <row r="33" spans="1:6" ht="25.35" customHeight="1">
      <c r="A33" t="s">
        <v>3261</v>
      </c>
      <c r="B33" t="s">
        <v>3262</v>
      </c>
      <c r="C33" t="s">
        <v>3263</v>
      </c>
      <c r="D33" t="s">
        <v>3166</v>
      </c>
      <c r="E33" t="s">
        <v>3264</v>
      </c>
      <c r="F33" t="s">
        <v>548</v>
      </c>
    </row>
    <row r="34" spans="1:6" ht="25.35" customHeight="1">
      <c r="A34" t="s">
        <v>3265</v>
      </c>
      <c r="B34" t="s">
        <v>3266</v>
      </c>
      <c r="C34" t="s">
        <v>3263</v>
      </c>
      <c r="D34" t="s">
        <v>3166</v>
      </c>
      <c r="E34" t="s">
        <v>3267</v>
      </c>
      <c r="F34" t="s">
        <v>558</v>
      </c>
    </row>
    <row r="35" spans="1:6" ht="25.35" customHeight="1">
      <c r="A35" t="s">
        <v>3268</v>
      </c>
      <c r="B35" t="s">
        <v>3269</v>
      </c>
      <c r="C35" t="s">
        <v>3270</v>
      </c>
      <c r="D35" t="s">
        <v>3258</v>
      </c>
      <c r="E35" t="s">
        <v>3271</v>
      </c>
      <c r="F35" t="s">
        <v>563</v>
      </c>
    </row>
    <row r="36" spans="1:6" ht="25.35" customHeight="1">
      <c r="A36" t="s">
        <v>3272</v>
      </c>
      <c r="B36" t="s">
        <v>3273</v>
      </c>
      <c r="C36" t="s">
        <v>3263</v>
      </c>
      <c r="D36" t="s">
        <v>3166</v>
      </c>
      <c r="E36" t="s">
        <v>3274</v>
      </c>
      <c r="F36" t="s">
        <v>568</v>
      </c>
    </row>
    <row r="37" spans="1:6" ht="25.35" customHeight="1">
      <c r="A37" t="s">
        <v>3275</v>
      </c>
      <c r="B37" t="s">
        <v>3276</v>
      </c>
      <c r="C37" t="s">
        <v>3277</v>
      </c>
      <c r="D37" t="s">
        <v>3166</v>
      </c>
      <c r="E37" t="s">
        <v>3278</v>
      </c>
      <c r="F37" t="s">
        <v>573</v>
      </c>
    </row>
    <row r="38" spans="1:6" ht="25.35" customHeight="1">
      <c r="A38" t="s">
        <v>3272</v>
      </c>
      <c r="B38" t="s">
        <v>3273</v>
      </c>
      <c r="C38" t="s">
        <v>3279</v>
      </c>
      <c r="D38" t="s">
        <v>3166</v>
      </c>
      <c r="E38" t="s">
        <v>3274</v>
      </c>
      <c r="F38" t="s">
        <v>579</v>
      </c>
    </row>
    <row r="39" spans="1:6" ht="25.35" customHeight="1">
      <c r="A39" t="s">
        <v>3272</v>
      </c>
      <c r="B39" t="s">
        <v>3273</v>
      </c>
      <c r="C39" t="s">
        <v>3279</v>
      </c>
      <c r="D39" t="s">
        <v>3166</v>
      </c>
      <c r="E39" t="s">
        <v>3274</v>
      </c>
      <c r="F39" t="s">
        <v>583</v>
      </c>
    </row>
    <row r="40" spans="1:6" ht="25.35" customHeight="1">
      <c r="A40" t="s">
        <v>3280</v>
      </c>
      <c r="B40" t="s">
        <v>3281</v>
      </c>
      <c r="C40" t="s">
        <v>3263</v>
      </c>
      <c r="D40" t="s">
        <v>3166</v>
      </c>
      <c r="E40" t="s">
        <v>3282</v>
      </c>
      <c r="F40" t="s">
        <v>586</v>
      </c>
    </row>
    <row r="41" spans="1:6" ht="25.35" customHeight="1">
      <c r="A41" t="s">
        <v>3283</v>
      </c>
      <c r="B41" t="s">
        <v>3284</v>
      </c>
      <c r="C41" t="s">
        <v>3285</v>
      </c>
      <c r="D41" t="s">
        <v>3166</v>
      </c>
      <c r="E41" t="s">
        <v>3286</v>
      </c>
      <c r="F41" t="s">
        <v>591</v>
      </c>
    </row>
    <row r="42" spans="1:6" ht="25.35" customHeight="1">
      <c r="A42" t="s">
        <v>3287</v>
      </c>
      <c r="B42" t="s">
        <v>3281</v>
      </c>
      <c r="C42" t="s">
        <v>3263</v>
      </c>
      <c r="D42" t="s">
        <v>3166</v>
      </c>
      <c r="E42" t="s">
        <v>3282</v>
      </c>
      <c r="F42" t="s">
        <v>596</v>
      </c>
    </row>
    <row r="43" spans="1:6" ht="25.35" customHeight="1">
      <c r="A43" t="s">
        <v>3288</v>
      </c>
      <c r="B43" t="s">
        <v>3289</v>
      </c>
      <c r="C43" t="s">
        <v>3279</v>
      </c>
      <c r="D43" t="s">
        <v>3166</v>
      </c>
      <c r="E43" t="s">
        <v>3290</v>
      </c>
      <c r="F43" t="s">
        <v>600</v>
      </c>
    </row>
    <row r="44" spans="1:6" ht="25.35" customHeight="1">
      <c r="A44" t="s">
        <v>3291</v>
      </c>
      <c r="B44" t="s">
        <v>3292</v>
      </c>
      <c r="C44" t="s">
        <v>3293</v>
      </c>
      <c r="D44" t="s">
        <v>3166</v>
      </c>
      <c r="E44" t="s">
        <v>3294</v>
      </c>
      <c r="F44" t="s">
        <v>604</v>
      </c>
    </row>
    <row r="45" spans="1:6" ht="25.35" customHeight="1">
      <c r="A45" t="s">
        <v>3295</v>
      </c>
      <c r="B45" t="s">
        <v>3295</v>
      </c>
      <c r="C45" t="s">
        <v>3296</v>
      </c>
      <c r="D45" t="s">
        <v>3166</v>
      </c>
      <c r="E45" t="s">
        <v>3297</v>
      </c>
      <c r="F45" t="s">
        <v>610</v>
      </c>
    </row>
    <row r="46" spans="1:6" ht="25.35" customHeight="1">
      <c r="A46" t="s">
        <v>3298</v>
      </c>
      <c r="B46" t="s">
        <v>3299</v>
      </c>
      <c r="C46" t="s">
        <v>3300</v>
      </c>
      <c r="D46" t="s">
        <v>3166</v>
      </c>
      <c r="E46" t="s">
        <v>3301</v>
      </c>
      <c r="F46" t="s">
        <v>615</v>
      </c>
    </row>
    <row r="47" spans="1:6" ht="25.35" customHeight="1">
      <c r="A47" t="s">
        <v>3302</v>
      </c>
      <c r="B47" t="s">
        <v>3303</v>
      </c>
      <c r="C47" t="s">
        <v>3304</v>
      </c>
      <c r="D47" t="s">
        <v>3305</v>
      </c>
      <c r="E47" t="s">
        <v>3306</v>
      </c>
      <c r="F47" t="s">
        <v>620</v>
      </c>
    </row>
    <row r="48" spans="1:6" ht="25.35" customHeight="1">
      <c r="A48" t="s">
        <v>3307</v>
      </c>
      <c r="B48" t="s">
        <v>3308</v>
      </c>
      <c r="C48" t="s">
        <v>3263</v>
      </c>
      <c r="D48" t="s">
        <v>3166</v>
      </c>
      <c r="E48" t="s">
        <v>3309</v>
      </c>
      <c r="F48" t="s">
        <v>631</v>
      </c>
    </row>
    <row r="49" spans="1:6" ht="25.35" customHeight="1">
      <c r="A49" t="s">
        <v>3310</v>
      </c>
      <c r="B49" t="s">
        <v>3311</v>
      </c>
      <c r="C49" t="s">
        <v>3300</v>
      </c>
      <c r="D49" t="s">
        <v>3166</v>
      </c>
      <c r="E49" t="s">
        <v>3312</v>
      </c>
      <c r="F49" t="s">
        <v>635</v>
      </c>
    </row>
    <row r="50" spans="1:6" ht="25.35" customHeight="1">
      <c r="A50" t="s">
        <v>3310</v>
      </c>
      <c r="B50" t="s">
        <v>3311</v>
      </c>
      <c r="C50" t="s">
        <v>3300</v>
      </c>
      <c r="D50" t="s">
        <v>3166</v>
      </c>
      <c r="E50" t="s">
        <v>3312</v>
      </c>
      <c r="F50" t="s">
        <v>635</v>
      </c>
    </row>
    <row r="51" spans="1:6" ht="25.35" customHeight="1">
      <c r="A51" t="s">
        <v>3313</v>
      </c>
      <c r="B51" t="s">
        <v>3303</v>
      </c>
      <c r="C51" t="s">
        <v>3314</v>
      </c>
      <c r="D51" t="s">
        <v>3305</v>
      </c>
      <c r="E51" t="s">
        <v>3315</v>
      </c>
      <c r="F51" t="s">
        <v>637</v>
      </c>
    </row>
    <row r="52" spans="1:6" ht="25.35" customHeight="1">
      <c r="A52" t="s">
        <v>3291</v>
      </c>
      <c r="B52" t="s">
        <v>3292</v>
      </c>
      <c r="C52" t="s">
        <v>3293</v>
      </c>
      <c r="D52" t="s">
        <v>3166</v>
      </c>
      <c r="E52" t="s">
        <v>3294</v>
      </c>
      <c r="F52" t="s">
        <v>642</v>
      </c>
    </row>
    <row r="53" spans="1:6" ht="25.35" customHeight="1">
      <c r="A53" t="s">
        <v>3295</v>
      </c>
      <c r="B53" t="s">
        <v>3295</v>
      </c>
      <c r="C53" t="s">
        <v>3316</v>
      </c>
      <c r="D53" t="s">
        <v>3166</v>
      </c>
      <c r="E53" t="s">
        <v>3317</v>
      </c>
      <c r="F53" t="s">
        <v>645</v>
      </c>
    </row>
    <row r="54" spans="1:6" ht="25.35" customHeight="1">
      <c r="A54" t="s">
        <v>533</v>
      </c>
      <c r="B54" t="s">
        <v>3318</v>
      </c>
      <c r="C54" t="s">
        <v>3319</v>
      </c>
      <c r="D54" t="s">
        <v>3166</v>
      </c>
      <c r="E54" t="s">
        <v>3320</v>
      </c>
      <c r="F54" t="s">
        <v>650</v>
      </c>
    </row>
    <row r="55" spans="1:6" ht="25.35" customHeight="1">
      <c r="A55" t="s">
        <v>3321</v>
      </c>
      <c r="B55" t="s">
        <v>3321</v>
      </c>
      <c r="C55" t="s">
        <v>3322</v>
      </c>
      <c r="D55" t="s">
        <v>3166</v>
      </c>
      <c r="E55" t="s">
        <v>3323</v>
      </c>
      <c r="F55" t="s">
        <v>655</v>
      </c>
    </row>
    <row r="56" spans="1:6" ht="25.35" customHeight="1">
      <c r="A56" t="s">
        <v>3324</v>
      </c>
      <c r="B56" t="s">
        <v>3324</v>
      </c>
      <c r="C56" t="s">
        <v>3325</v>
      </c>
      <c r="D56" t="s">
        <v>3166</v>
      </c>
      <c r="E56" t="s">
        <v>3326</v>
      </c>
      <c r="F56" t="s">
        <v>659</v>
      </c>
    </row>
    <row r="57" spans="1:6" ht="25.35" customHeight="1">
      <c r="A57" t="s">
        <v>3327</v>
      </c>
      <c r="B57" t="s">
        <v>3328</v>
      </c>
      <c r="C57" t="s">
        <v>3277</v>
      </c>
      <c r="D57" t="s">
        <v>3166</v>
      </c>
      <c r="E57" t="s">
        <v>3329</v>
      </c>
      <c r="F57" t="s">
        <v>663</v>
      </c>
    </row>
    <row r="58" spans="1:6" ht="25.35" customHeight="1">
      <c r="A58" t="s">
        <v>3330</v>
      </c>
      <c r="B58" t="s">
        <v>3272</v>
      </c>
      <c r="C58" t="s">
        <v>3263</v>
      </c>
      <c r="D58" t="s">
        <v>3166</v>
      </c>
      <c r="E58" t="s">
        <v>3329</v>
      </c>
      <c r="F58" t="s">
        <v>667</v>
      </c>
    </row>
    <row r="59" spans="1:6" ht="25.35" customHeight="1">
      <c r="A59" t="s">
        <v>3330</v>
      </c>
      <c r="B59" t="s">
        <v>3272</v>
      </c>
      <c r="C59" t="s">
        <v>3279</v>
      </c>
      <c r="D59" t="s">
        <v>3166</v>
      </c>
      <c r="E59" t="s">
        <v>3331</v>
      </c>
      <c r="F59" t="s">
        <v>670</v>
      </c>
    </row>
    <row r="60" spans="1:6" ht="25.35" customHeight="1">
      <c r="A60" t="s">
        <v>3330</v>
      </c>
      <c r="B60" t="s">
        <v>3272</v>
      </c>
      <c r="C60" t="s">
        <v>3279</v>
      </c>
      <c r="D60" t="s">
        <v>3166</v>
      </c>
      <c r="E60" t="s">
        <v>3332</v>
      </c>
      <c r="F60" t="s">
        <v>673</v>
      </c>
    </row>
    <row r="61" spans="1:6" ht="25.35" customHeight="1">
      <c r="A61" t="s">
        <v>1381</v>
      </c>
      <c r="B61" t="s">
        <v>1381</v>
      </c>
      <c r="C61" t="s">
        <v>3333</v>
      </c>
      <c r="D61" t="s">
        <v>3334</v>
      </c>
      <c r="E61" t="s">
        <v>3335</v>
      </c>
      <c r="F61" t="s">
        <v>676</v>
      </c>
    </row>
    <row r="62" spans="1:6" ht="25.35" customHeight="1">
      <c r="A62" t="s">
        <v>3336</v>
      </c>
      <c r="B62" t="s">
        <v>3337</v>
      </c>
      <c r="C62" t="s">
        <v>3338</v>
      </c>
      <c r="D62" t="s">
        <v>3339</v>
      </c>
      <c r="E62" t="s">
        <v>3340</v>
      </c>
      <c r="F62" t="s">
        <v>681</v>
      </c>
    </row>
    <row r="63" spans="1:6" ht="25.35" customHeight="1">
      <c r="A63" t="s">
        <v>3341</v>
      </c>
      <c r="B63" t="s">
        <v>3342</v>
      </c>
      <c r="C63" t="s">
        <v>3343</v>
      </c>
      <c r="D63" t="s">
        <v>3334</v>
      </c>
      <c r="E63" t="s">
        <v>3344</v>
      </c>
      <c r="F63" t="s">
        <v>686</v>
      </c>
    </row>
    <row r="64" spans="1:6" ht="25.35" customHeight="1">
      <c r="A64" t="s">
        <v>3345</v>
      </c>
      <c r="B64" t="s">
        <v>3346</v>
      </c>
      <c r="C64" t="s">
        <v>3347</v>
      </c>
      <c r="D64" t="s">
        <v>3334</v>
      </c>
      <c r="E64" t="s">
        <v>3348</v>
      </c>
      <c r="F64" t="s">
        <v>691</v>
      </c>
    </row>
    <row r="65" spans="1:6" ht="25.35" customHeight="1">
      <c r="A65" t="s">
        <v>3349</v>
      </c>
      <c r="B65" t="s">
        <v>3350</v>
      </c>
      <c r="C65" t="s">
        <v>3351</v>
      </c>
      <c r="D65" t="s">
        <v>3339</v>
      </c>
      <c r="E65" t="s">
        <v>3352</v>
      </c>
      <c r="F65" t="s">
        <v>697</v>
      </c>
    </row>
    <row r="66" spans="1:6" ht="25.35" customHeight="1">
      <c r="A66" t="s">
        <v>3353</v>
      </c>
      <c r="B66" t="s">
        <v>533</v>
      </c>
      <c r="C66" t="s">
        <v>3354</v>
      </c>
      <c r="D66" t="s">
        <v>3355</v>
      </c>
      <c r="E66" t="s">
        <v>3356</v>
      </c>
      <c r="F66" t="s">
        <v>2354</v>
      </c>
    </row>
    <row r="67" spans="1:6" ht="25.35" customHeight="1">
      <c r="A67" t="s">
        <v>3357</v>
      </c>
      <c r="B67" t="s">
        <v>533</v>
      </c>
      <c r="C67" t="s">
        <v>3358</v>
      </c>
      <c r="D67" t="s">
        <v>3355</v>
      </c>
      <c r="E67" t="s">
        <v>3359</v>
      </c>
      <c r="F67" t="s">
        <v>2364</v>
      </c>
    </row>
    <row r="68" spans="1:6" ht="25.35" customHeight="1">
      <c r="A68" t="s">
        <v>3357</v>
      </c>
      <c r="B68" t="s">
        <v>533</v>
      </c>
      <c r="C68" t="s">
        <v>3358</v>
      </c>
      <c r="D68" t="s">
        <v>3355</v>
      </c>
      <c r="E68" t="s">
        <v>3360</v>
      </c>
      <c r="F68" t="s">
        <v>2364</v>
      </c>
    </row>
    <row r="69" spans="1:6" ht="25.35" customHeight="1">
      <c r="A69" t="s">
        <v>3361</v>
      </c>
      <c r="B69" t="s">
        <v>533</v>
      </c>
      <c r="C69" t="s">
        <v>3354</v>
      </c>
      <c r="D69" t="s">
        <v>3355</v>
      </c>
      <c r="E69" t="s">
        <v>3362</v>
      </c>
      <c r="F69" t="s">
        <v>2373</v>
      </c>
    </row>
    <row r="70" spans="1:6" ht="25.35" customHeight="1">
      <c r="A70" t="s">
        <v>3363</v>
      </c>
      <c r="B70" t="s">
        <v>533</v>
      </c>
      <c r="C70" t="s">
        <v>3364</v>
      </c>
      <c r="D70" t="s">
        <v>3355</v>
      </c>
      <c r="E70" t="s">
        <v>3365</v>
      </c>
      <c r="F70" t="s">
        <v>2378</v>
      </c>
    </row>
    <row r="71" spans="1:6" ht="25.35" customHeight="1">
      <c r="A71" t="s">
        <v>3366</v>
      </c>
      <c r="B71" t="s">
        <v>3367</v>
      </c>
      <c r="C71" t="s">
        <v>3368</v>
      </c>
      <c r="D71" t="s">
        <v>3369</v>
      </c>
      <c r="E71" t="s">
        <v>3370</v>
      </c>
      <c r="F71" t="s">
        <v>732</v>
      </c>
    </row>
    <row r="72" spans="1:6" ht="25.35" customHeight="1">
      <c r="A72" t="s">
        <v>3366</v>
      </c>
      <c r="B72" t="s">
        <v>3367</v>
      </c>
      <c r="C72" t="s">
        <v>3368</v>
      </c>
      <c r="D72" t="s">
        <v>3369</v>
      </c>
      <c r="E72" t="s">
        <v>3371</v>
      </c>
      <c r="F72" t="s">
        <v>732</v>
      </c>
    </row>
    <row r="73" spans="1:6" ht="25.35" customHeight="1">
      <c r="A73" t="s">
        <v>3372</v>
      </c>
      <c r="B73" t="s">
        <v>3373</v>
      </c>
      <c r="C73" t="s">
        <v>3368</v>
      </c>
      <c r="D73" t="s">
        <v>3182</v>
      </c>
      <c r="E73" t="s">
        <v>3374</v>
      </c>
      <c r="F73" t="s">
        <v>3375</v>
      </c>
    </row>
    <row r="74" spans="1:6" ht="25.35" customHeight="1">
      <c r="A74" t="s">
        <v>3376</v>
      </c>
      <c r="B74" t="s">
        <v>3377</v>
      </c>
      <c r="C74" t="s">
        <v>3378</v>
      </c>
      <c r="D74" t="s">
        <v>3379</v>
      </c>
      <c r="E74" t="s">
        <v>3380</v>
      </c>
      <c r="F74" t="s">
        <v>746</v>
      </c>
    </row>
    <row r="75" spans="1:6" ht="25.35" customHeight="1">
      <c r="A75" t="s">
        <v>3376</v>
      </c>
      <c r="B75" t="s">
        <v>3377</v>
      </c>
      <c r="C75" t="s">
        <v>3381</v>
      </c>
      <c r="D75" t="s">
        <v>3379</v>
      </c>
      <c r="E75" t="s">
        <v>3380</v>
      </c>
      <c r="F75" t="s">
        <v>752</v>
      </c>
    </row>
    <row r="76" spans="1:6" ht="25.35" customHeight="1">
      <c r="A76" t="s">
        <v>3382</v>
      </c>
      <c r="B76" t="s">
        <v>3383</v>
      </c>
      <c r="C76" t="s">
        <v>1381</v>
      </c>
      <c r="D76" t="s">
        <v>3384</v>
      </c>
      <c r="E76" t="s">
        <v>3385</v>
      </c>
      <c r="F76" t="s">
        <v>755</v>
      </c>
    </row>
    <row r="77" spans="1:6" ht="25.35" customHeight="1">
      <c r="A77" t="s">
        <v>3386</v>
      </c>
      <c r="B77" t="s">
        <v>3387</v>
      </c>
      <c r="C77" t="s">
        <v>3388</v>
      </c>
      <c r="D77" t="s">
        <v>3379</v>
      </c>
      <c r="E77" t="s">
        <v>3389</v>
      </c>
      <c r="F77" t="s">
        <v>758</v>
      </c>
    </row>
    <row r="78" spans="1:6" ht="25.35" customHeight="1">
      <c r="A78" t="s">
        <v>3390</v>
      </c>
      <c r="B78" t="s">
        <v>3391</v>
      </c>
      <c r="C78" t="s">
        <v>1381</v>
      </c>
      <c r="D78" t="s">
        <v>3384</v>
      </c>
      <c r="E78" t="s">
        <v>3392</v>
      </c>
      <c r="F78" t="s">
        <v>761</v>
      </c>
    </row>
    <row r="79" spans="1:6" ht="25.35" customHeight="1">
      <c r="A79" t="s">
        <v>3393</v>
      </c>
      <c r="B79" t="s">
        <v>3394</v>
      </c>
      <c r="C79" t="s">
        <v>3395</v>
      </c>
      <c r="D79" t="s">
        <v>3396</v>
      </c>
      <c r="E79" t="s">
        <v>3397</v>
      </c>
      <c r="F79" t="s">
        <v>2402</v>
      </c>
    </row>
    <row r="80" spans="1:6" ht="25.35" customHeight="1">
      <c r="A80" t="s">
        <v>3398</v>
      </c>
      <c r="B80" t="s">
        <v>3399</v>
      </c>
      <c r="C80" t="s">
        <v>3400</v>
      </c>
      <c r="D80" t="s">
        <v>3384</v>
      </c>
      <c r="E80" t="s">
        <v>3401</v>
      </c>
      <c r="F80" t="s">
        <v>767</v>
      </c>
    </row>
    <row r="81" spans="1:6" ht="25.35" customHeight="1">
      <c r="A81" t="s">
        <v>3402</v>
      </c>
      <c r="B81" t="s">
        <v>3403</v>
      </c>
      <c r="C81" t="s">
        <v>3404</v>
      </c>
      <c r="D81" t="s">
        <v>3396</v>
      </c>
      <c r="E81" t="s">
        <v>3405</v>
      </c>
      <c r="F81" t="s">
        <v>2406</v>
      </c>
    </row>
    <row r="82" spans="1:6" ht="25.35" customHeight="1">
      <c r="A82" t="s">
        <v>3406</v>
      </c>
      <c r="B82" t="s">
        <v>3407</v>
      </c>
      <c r="C82" t="s">
        <v>3408</v>
      </c>
      <c r="D82" t="s">
        <v>3384</v>
      </c>
      <c r="E82" t="s">
        <v>3409</v>
      </c>
      <c r="F82" t="s">
        <v>771</v>
      </c>
    </row>
    <row r="83" spans="1:6" ht="25.35" customHeight="1">
      <c r="A83" t="s">
        <v>3410</v>
      </c>
      <c r="B83" t="s">
        <v>3411</v>
      </c>
      <c r="C83" t="s">
        <v>3412</v>
      </c>
      <c r="D83" t="s">
        <v>3396</v>
      </c>
      <c r="E83" t="s">
        <v>3413</v>
      </c>
      <c r="F83" t="s">
        <v>775</v>
      </c>
    </row>
    <row r="84" spans="1:6" ht="25.35" customHeight="1">
      <c r="A84" t="s">
        <v>3414</v>
      </c>
      <c r="B84" t="s">
        <v>3415</v>
      </c>
      <c r="C84" t="s">
        <v>3416</v>
      </c>
      <c r="D84" t="s">
        <v>3396</v>
      </c>
      <c r="E84" t="s">
        <v>3417</v>
      </c>
      <c r="F84" t="s">
        <v>780</v>
      </c>
    </row>
    <row r="85" spans="1:6" ht="25.35" customHeight="1">
      <c r="A85" t="s">
        <v>3418</v>
      </c>
      <c r="B85" t="s">
        <v>3419</v>
      </c>
      <c r="C85" t="s">
        <v>3395</v>
      </c>
      <c r="D85" t="s">
        <v>3396</v>
      </c>
      <c r="E85" t="s">
        <v>3420</v>
      </c>
      <c r="F85" t="s">
        <v>2411</v>
      </c>
    </row>
    <row r="86" spans="1:6" ht="25.35" customHeight="1">
      <c r="A86" t="s">
        <v>3421</v>
      </c>
      <c r="B86" t="s">
        <v>3422</v>
      </c>
      <c r="C86" t="s">
        <v>3423</v>
      </c>
      <c r="D86" t="s">
        <v>3379</v>
      </c>
      <c r="E86" t="s">
        <v>3424</v>
      </c>
      <c r="F86" t="s">
        <v>786</v>
      </c>
    </row>
    <row r="87" spans="1:6" ht="25.35" customHeight="1">
      <c r="A87" t="s">
        <v>3425</v>
      </c>
      <c r="B87" t="s">
        <v>533</v>
      </c>
      <c r="C87" t="s">
        <v>1381</v>
      </c>
      <c r="D87" t="s">
        <v>3426</v>
      </c>
      <c r="E87" t="s">
        <v>3427</v>
      </c>
      <c r="F87" t="s">
        <v>790</v>
      </c>
    </row>
    <row r="88" spans="1:6" ht="25.35" customHeight="1">
      <c r="A88" t="s">
        <v>3428</v>
      </c>
      <c r="B88" t="s">
        <v>3429</v>
      </c>
      <c r="C88" t="s">
        <v>3388</v>
      </c>
      <c r="D88" t="s">
        <v>3384</v>
      </c>
      <c r="E88" t="s">
        <v>3430</v>
      </c>
      <c r="F88" t="s">
        <v>795</v>
      </c>
    </row>
    <row r="89" spans="1:6" ht="25.35" customHeight="1">
      <c r="A89" t="s">
        <v>3431</v>
      </c>
      <c r="B89" t="s">
        <v>3432</v>
      </c>
      <c r="C89" t="s">
        <v>3433</v>
      </c>
      <c r="D89" t="s">
        <v>3379</v>
      </c>
      <c r="E89" t="s">
        <v>3434</v>
      </c>
      <c r="F89" t="s">
        <v>799</v>
      </c>
    </row>
    <row r="90" spans="1:6" ht="25.35" customHeight="1">
      <c r="A90" t="s">
        <v>3435</v>
      </c>
      <c r="B90" t="s">
        <v>3436</v>
      </c>
      <c r="C90" t="s">
        <v>3437</v>
      </c>
      <c r="D90" t="s">
        <v>3396</v>
      </c>
      <c r="E90" t="s">
        <v>3438</v>
      </c>
      <c r="F90" t="s">
        <v>802</v>
      </c>
    </row>
    <row r="91" spans="1:6" ht="25.35" customHeight="1">
      <c r="A91" t="s">
        <v>3439</v>
      </c>
      <c r="B91" t="s">
        <v>3440</v>
      </c>
      <c r="C91" t="s">
        <v>3437</v>
      </c>
      <c r="D91" t="s">
        <v>3396</v>
      </c>
      <c r="E91" t="s">
        <v>3441</v>
      </c>
      <c r="F91" t="s">
        <v>806</v>
      </c>
    </row>
    <row r="92" spans="1:6" ht="25.35" customHeight="1">
      <c r="A92" t="s">
        <v>3442</v>
      </c>
      <c r="B92" t="s">
        <v>3443</v>
      </c>
      <c r="C92" t="s">
        <v>3444</v>
      </c>
      <c r="D92" t="s">
        <v>3396</v>
      </c>
      <c r="E92" t="s">
        <v>3445</v>
      </c>
      <c r="F92" t="s">
        <v>2415</v>
      </c>
    </row>
    <row r="93" spans="1:6" ht="25.35" customHeight="1">
      <c r="A93" t="s">
        <v>3446</v>
      </c>
      <c r="B93" t="s">
        <v>3447</v>
      </c>
      <c r="C93" t="s">
        <v>3444</v>
      </c>
      <c r="D93" t="s">
        <v>3396</v>
      </c>
      <c r="E93" t="s">
        <v>3448</v>
      </c>
      <c r="F93" t="s">
        <v>2415</v>
      </c>
    </row>
    <row r="94" spans="1:6" ht="25.35" customHeight="1">
      <c r="A94" t="s">
        <v>3449</v>
      </c>
      <c r="B94" t="s">
        <v>3450</v>
      </c>
      <c r="C94" t="s">
        <v>3395</v>
      </c>
      <c r="D94" t="s">
        <v>3396</v>
      </c>
      <c r="E94" t="s">
        <v>3451</v>
      </c>
      <c r="F94" t="s">
        <v>2425</v>
      </c>
    </row>
    <row r="95" spans="1:6" ht="25.35" customHeight="1">
      <c r="A95" t="s">
        <v>3452</v>
      </c>
      <c r="B95" t="s">
        <v>3453</v>
      </c>
      <c r="C95" t="s">
        <v>3454</v>
      </c>
      <c r="D95" t="s">
        <v>3396</v>
      </c>
      <c r="E95" t="s">
        <v>3455</v>
      </c>
      <c r="F95" t="s">
        <v>809</v>
      </c>
    </row>
    <row r="96" spans="1:6" ht="25.35" customHeight="1">
      <c r="A96" t="s">
        <v>3456</v>
      </c>
      <c r="B96" t="s">
        <v>3457</v>
      </c>
      <c r="C96" t="s">
        <v>3458</v>
      </c>
      <c r="D96" t="s">
        <v>3379</v>
      </c>
      <c r="E96" t="s">
        <v>3459</v>
      </c>
      <c r="F96" t="s">
        <v>813</v>
      </c>
    </row>
    <row r="97" spans="1:6" ht="25.35" customHeight="1">
      <c r="A97" t="s">
        <v>3460</v>
      </c>
      <c r="B97" t="s">
        <v>3461</v>
      </c>
      <c r="C97" t="s">
        <v>3462</v>
      </c>
      <c r="D97" t="s">
        <v>3396</v>
      </c>
      <c r="E97" t="s">
        <v>3463</v>
      </c>
      <c r="F97" t="s">
        <v>816</v>
      </c>
    </row>
    <row r="98" spans="1:6" ht="25.35" customHeight="1">
      <c r="A98" t="s">
        <v>3464</v>
      </c>
      <c r="B98" t="s">
        <v>533</v>
      </c>
      <c r="C98" t="s">
        <v>1381</v>
      </c>
      <c r="D98" t="s">
        <v>3426</v>
      </c>
      <c r="E98" t="s">
        <v>3465</v>
      </c>
      <c r="F98" t="s">
        <v>818</v>
      </c>
    </row>
    <row r="99" spans="1:6" ht="25.35" customHeight="1">
      <c r="A99" t="s">
        <v>3464</v>
      </c>
      <c r="B99" t="s">
        <v>533</v>
      </c>
      <c r="C99" t="s">
        <v>1381</v>
      </c>
      <c r="D99" t="s">
        <v>3426</v>
      </c>
      <c r="E99" t="s">
        <v>3466</v>
      </c>
      <c r="F99" t="s">
        <v>818</v>
      </c>
    </row>
    <row r="100" spans="1:6" ht="25.35" customHeight="1">
      <c r="A100" t="s">
        <v>3467</v>
      </c>
      <c r="B100" t="s">
        <v>3468</v>
      </c>
      <c r="C100" t="s">
        <v>3469</v>
      </c>
      <c r="D100" t="s">
        <v>3396</v>
      </c>
      <c r="E100" t="s">
        <v>3470</v>
      </c>
      <c r="F100" t="s">
        <v>824</v>
      </c>
    </row>
    <row r="101" spans="1:6" ht="25.35" customHeight="1">
      <c r="A101" t="s">
        <v>3471</v>
      </c>
      <c r="B101" t="s">
        <v>3472</v>
      </c>
      <c r="C101" t="s">
        <v>3473</v>
      </c>
      <c r="D101" t="s">
        <v>3396</v>
      </c>
      <c r="E101" t="s">
        <v>3474</v>
      </c>
      <c r="F101" t="s">
        <v>2436</v>
      </c>
    </row>
    <row r="102" spans="1:6" ht="25.35" customHeight="1">
      <c r="A102" t="s">
        <v>3475</v>
      </c>
      <c r="B102" t="s">
        <v>3476</v>
      </c>
      <c r="C102" t="s">
        <v>3477</v>
      </c>
      <c r="D102" t="s">
        <v>3396</v>
      </c>
      <c r="E102" t="s">
        <v>3478</v>
      </c>
      <c r="F102" t="s">
        <v>2441</v>
      </c>
    </row>
    <row r="103" spans="1:6" ht="25.35" customHeight="1">
      <c r="A103" t="s">
        <v>3479</v>
      </c>
      <c r="B103" t="s">
        <v>3480</v>
      </c>
      <c r="C103" t="s">
        <v>3481</v>
      </c>
      <c r="D103" t="s">
        <v>3396</v>
      </c>
      <c r="E103" t="s">
        <v>3482</v>
      </c>
      <c r="F103" t="s">
        <v>2448</v>
      </c>
    </row>
    <row r="104" spans="1:6" ht="25.35" customHeight="1">
      <c r="A104" t="s">
        <v>3483</v>
      </c>
      <c r="B104" t="s">
        <v>3484</v>
      </c>
      <c r="C104" t="s">
        <v>3485</v>
      </c>
      <c r="D104" t="s">
        <v>3396</v>
      </c>
      <c r="E104" t="s">
        <v>3486</v>
      </c>
      <c r="F104" t="s">
        <v>2452</v>
      </c>
    </row>
    <row r="105" spans="1:6" ht="25.35" customHeight="1">
      <c r="A105" t="s">
        <v>3487</v>
      </c>
      <c r="B105" t="s">
        <v>3488</v>
      </c>
      <c r="C105" t="s">
        <v>3489</v>
      </c>
      <c r="D105" t="s">
        <v>3396</v>
      </c>
      <c r="E105" t="s">
        <v>3490</v>
      </c>
      <c r="F105" t="s">
        <v>2456</v>
      </c>
    </row>
    <row r="106" spans="1:6" ht="25.35" customHeight="1">
      <c r="A106" t="s">
        <v>3491</v>
      </c>
      <c r="B106" t="s">
        <v>3492</v>
      </c>
      <c r="C106" t="s">
        <v>3493</v>
      </c>
      <c r="D106" t="s">
        <v>3494</v>
      </c>
      <c r="E106" t="s">
        <v>3495</v>
      </c>
      <c r="F106" t="s">
        <v>838</v>
      </c>
    </row>
    <row r="107" spans="1:6" ht="25.35" customHeight="1">
      <c r="A107" t="s">
        <v>3496</v>
      </c>
      <c r="B107" t="s">
        <v>3497</v>
      </c>
      <c r="C107" t="s">
        <v>3498</v>
      </c>
      <c r="D107" t="s">
        <v>3396</v>
      </c>
      <c r="E107" t="s">
        <v>3499</v>
      </c>
      <c r="F107" t="s">
        <v>842</v>
      </c>
    </row>
    <row r="108" spans="1:6" ht="25.35" customHeight="1">
      <c r="A108" t="s">
        <v>3500</v>
      </c>
      <c r="B108" t="s">
        <v>533</v>
      </c>
      <c r="C108" t="s">
        <v>1381</v>
      </c>
      <c r="D108" t="s">
        <v>3426</v>
      </c>
      <c r="E108" t="s">
        <v>3501</v>
      </c>
      <c r="F108" t="s">
        <v>846</v>
      </c>
    </row>
    <row r="109" spans="1:6" ht="25.35" customHeight="1">
      <c r="A109" t="s">
        <v>3502</v>
      </c>
      <c r="B109" t="s">
        <v>3503</v>
      </c>
      <c r="C109" t="s">
        <v>3504</v>
      </c>
      <c r="D109" t="s">
        <v>3384</v>
      </c>
      <c r="E109" t="s">
        <v>3505</v>
      </c>
      <c r="F109" t="s">
        <v>850</v>
      </c>
    </row>
    <row r="110" spans="1:6" ht="25.35" customHeight="1">
      <c r="A110" t="s">
        <v>3506</v>
      </c>
      <c r="B110" t="s">
        <v>3507</v>
      </c>
      <c r="C110" t="s">
        <v>3508</v>
      </c>
      <c r="D110" t="s">
        <v>3379</v>
      </c>
      <c r="E110" t="s">
        <v>3509</v>
      </c>
      <c r="F110" t="s">
        <v>854</v>
      </c>
    </row>
    <row r="111" spans="1:6" ht="25.35" customHeight="1">
      <c r="A111" t="s">
        <v>3510</v>
      </c>
      <c r="B111" t="s">
        <v>3511</v>
      </c>
      <c r="C111" t="s">
        <v>3395</v>
      </c>
      <c r="D111" t="s">
        <v>3396</v>
      </c>
      <c r="E111" t="s">
        <v>3512</v>
      </c>
      <c r="F111" t="s">
        <v>2459</v>
      </c>
    </row>
    <row r="112" spans="1:6" ht="25.35" customHeight="1">
      <c r="A112" t="s">
        <v>3500</v>
      </c>
      <c r="B112" t="s">
        <v>533</v>
      </c>
      <c r="C112" t="s">
        <v>1381</v>
      </c>
      <c r="D112" t="s">
        <v>3426</v>
      </c>
      <c r="E112" t="s">
        <v>3513</v>
      </c>
      <c r="F112" t="s">
        <v>858</v>
      </c>
    </row>
    <row r="113" spans="1:6" ht="25.35" customHeight="1">
      <c r="A113" t="s">
        <v>3514</v>
      </c>
      <c r="B113" t="s">
        <v>3515</v>
      </c>
      <c r="C113" t="s">
        <v>3516</v>
      </c>
      <c r="D113" t="s">
        <v>3384</v>
      </c>
      <c r="E113" t="s">
        <v>3517</v>
      </c>
      <c r="F113" t="s">
        <v>863</v>
      </c>
    </row>
    <row r="114" spans="1:6" ht="25.35" customHeight="1">
      <c r="A114" t="s">
        <v>3518</v>
      </c>
      <c r="B114" t="s">
        <v>3519</v>
      </c>
      <c r="C114" t="s">
        <v>3520</v>
      </c>
      <c r="D114" t="s">
        <v>3379</v>
      </c>
      <c r="E114" t="s">
        <v>3521</v>
      </c>
      <c r="F114" t="s">
        <v>866</v>
      </c>
    </row>
    <row r="115" spans="1:6" ht="25.35" customHeight="1">
      <c r="A115" t="s">
        <v>3522</v>
      </c>
      <c r="B115" t="s">
        <v>3515</v>
      </c>
      <c r="C115" t="s">
        <v>3523</v>
      </c>
      <c r="D115" t="s">
        <v>3379</v>
      </c>
      <c r="E115" t="s">
        <v>3517</v>
      </c>
      <c r="F115" t="s">
        <v>869</v>
      </c>
    </row>
    <row r="116" spans="1:6" ht="25.35" customHeight="1">
      <c r="A116" t="s">
        <v>3524</v>
      </c>
      <c r="B116" t="s">
        <v>3525</v>
      </c>
      <c r="C116" t="s">
        <v>3526</v>
      </c>
      <c r="D116" t="s">
        <v>3396</v>
      </c>
      <c r="E116" t="s">
        <v>3527</v>
      </c>
      <c r="F116" t="s">
        <v>873</v>
      </c>
    </row>
    <row r="117" spans="1:6" ht="25.35" customHeight="1">
      <c r="A117" t="s">
        <v>3528</v>
      </c>
      <c r="B117" t="s">
        <v>3529</v>
      </c>
      <c r="C117" t="s">
        <v>3530</v>
      </c>
      <c r="D117" t="s">
        <v>3379</v>
      </c>
      <c r="E117" t="s">
        <v>3521</v>
      </c>
      <c r="F117" t="s">
        <v>877</v>
      </c>
    </row>
    <row r="118" spans="1:6" ht="25.35" customHeight="1">
      <c r="A118" t="s">
        <v>3531</v>
      </c>
      <c r="B118" t="s">
        <v>3532</v>
      </c>
      <c r="C118" t="s">
        <v>3533</v>
      </c>
      <c r="D118" t="s">
        <v>3396</v>
      </c>
      <c r="E118" t="s">
        <v>3534</v>
      </c>
      <c r="F118" t="s">
        <v>880</v>
      </c>
    </row>
    <row r="119" spans="1:6" ht="25.35" customHeight="1">
      <c r="A119" t="s">
        <v>3535</v>
      </c>
      <c r="B119" t="s">
        <v>533</v>
      </c>
      <c r="C119" t="s">
        <v>3536</v>
      </c>
      <c r="D119" t="s">
        <v>3396</v>
      </c>
      <c r="E119" t="s">
        <v>3537</v>
      </c>
      <c r="F119" t="s">
        <v>2465</v>
      </c>
    </row>
    <row r="120" spans="1:6" ht="25.35" customHeight="1">
      <c r="A120" t="s">
        <v>3538</v>
      </c>
      <c r="B120" t="s">
        <v>3539</v>
      </c>
      <c r="C120" t="s">
        <v>1381</v>
      </c>
      <c r="D120" t="s">
        <v>3396</v>
      </c>
      <c r="E120" t="s">
        <v>3540</v>
      </c>
      <c r="F120" t="s">
        <v>884</v>
      </c>
    </row>
    <row r="121" spans="1:6" ht="25.35" customHeight="1">
      <c r="A121" t="s">
        <v>3541</v>
      </c>
      <c r="B121" t="s">
        <v>3542</v>
      </c>
      <c r="C121" t="s">
        <v>3543</v>
      </c>
      <c r="D121" t="s">
        <v>3396</v>
      </c>
      <c r="E121" t="s">
        <v>3544</v>
      </c>
      <c r="F121" t="s">
        <v>2473</v>
      </c>
    </row>
    <row r="122" spans="1:6" ht="25.35" customHeight="1">
      <c r="A122" t="s">
        <v>3545</v>
      </c>
      <c r="B122" t="s">
        <v>533</v>
      </c>
      <c r="C122" t="s">
        <v>1381</v>
      </c>
      <c r="D122" t="s">
        <v>3396</v>
      </c>
      <c r="E122" t="s">
        <v>3546</v>
      </c>
      <c r="F122" t="s">
        <v>887</v>
      </c>
    </row>
    <row r="123" spans="1:6" ht="25.35" customHeight="1">
      <c r="A123" t="s">
        <v>3547</v>
      </c>
      <c r="B123" t="s">
        <v>3548</v>
      </c>
      <c r="C123" t="s">
        <v>3549</v>
      </c>
      <c r="D123" t="s">
        <v>3396</v>
      </c>
      <c r="E123" t="s">
        <v>3550</v>
      </c>
      <c r="F123" t="s">
        <v>891</v>
      </c>
    </row>
    <row r="124" spans="1:6" ht="25.35" customHeight="1">
      <c r="A124" t="s">
        <v>3551</v>
      </c>
      <c r="B124" t="s">
        <v>3552</v>
      </c>
      <c r="C124" t="s">
        <v>3553</v>
      </c>
      <c r="D124" t="s">
        <v>3396</v>
      </c>
      <c r="E124" t="s">
        <v>3554</v>
      </c>
      <c r="F124" t="s">
        <v>896</v>
      </c>
    </row>
    <row r="125" spans="1:6" ht="25.35" customHeight="1">
      <c r="A125" t="s">
        <v>3555</v>
      </c>
      <c r="B125" t="s">
        <v>3556</v>
      </c>
      <c r="C125" t="s">
        <v>3557</v>
      </c>
      <c r="D125" t="s">
        <v>3558</v>
      </c>
      <c r="E125" t="s">
        <v>3559</v>
      </c>
      <c r="F125" t="s">
        <v>2494</v>
      </c>
    </row>
    <row r="126" spans="1:6" ht="25.35" customHeight="1">
      <c r="A126" t="s">
        <v>3560</v>
      </c>
      <c r="B126" t="s">
        <v>3561</v>
      </c>
      <c r="C126" t="s">
        <v>3562</v>
      </c>
      <c r="D126" t="s">
        <v>3558</v>
      </c>
      <c r="E126" t="s">
        <v>3563</v>
      </c>
      <c r="F126" t="s">
        <v>2499</v>
      </c>
    </row>
    <row r="127" spans="1:6" ht="25.35" customHeight="1">
      <c r="A127" t="s">
        <v>3564</v>
      </c>
      <c r="B127" t="s">
        <v>3561</v>
      </c>
      <c r="C127" t="s">
        <v>3562</v>
      </c>
      <c r="D127" t="s">
        <v>3558</v>
      </c>
      <c r="E127" t="s">
        <v>3565</v>
      </c>
      <c r="F127" t="s">
        <v>2504</v>
      </c>
    </row>
    <row r="128" spans="1:6" ht="25.35" customHeight="1">
      <c r="A128" t="s">
        <v>3566</v>
      </c>
      <c r="B128" t="s">
        <v>3561</v>
      </c>
      <c r="C128" t="s">
        <v>3567</v>
      </c>
      <c r="D128" t="s">
        <v>3558</v>
      </c>
      <c r="E128" t="s">
        <v>3568</v>
      </c>
      <c r="F128" t="s">
        <v>2508</v>
      </c>
    </row>
    <row r="129" spans="1:6" ht="25.35" customHeight="1">
      <c r="A129" t="s">
        <v>3569</v>
      </c>
      <c r="B129" t="s">
        <v>3569</v>
      </c>
      <c r="C129" t="s">
        <v>3570</v>
      </c>
      <c r="D129" t="s">
        <v>3558</v>
      </c>
      <c r="E129" t="s">
        <v>3571</v>
      </c>
      <c r="F129" t="s">
        <v>2513</v>
      </c>
    </row>
    <row r="130" spans="1:6" ht="25.35" customHeight="1">
      <c r="A130" t="s">
        <v>3572</v>
      </c>
      <c r="B130" t="s">
        <v>3573</v>
      </c>
      <c r="C130" t="s">
        <v>3574</v>
      </c>
      <c r="D130" t="s">
        <v>3558</v>
      </c>
      <c r="E130" t="s">
        <v>3575</v>
      </c>
      <c r="F130" t="s">
        <v>2518</v>
      </c>
    </row>
    <row r="131" spans="1:6" ht="25.35" customHeight="1">
      <c r="A131" t="s">
        <v>3576</v>
      </c>
      <c r="B131" t="s">
        <v>3576</v>
      </c>
      <c r="C131" t="s">
        <v>3577</v>
      </c>
      <c r="D131" t="s">
        <v>3558</v>
      </c>
      <c r="E131" t="s">
        <v>3578</v>
      </c>
      <c r="F131" t="s">
        <v>2523</v>
      </c>
    </row>
    <row r="132" spans="1:6" ht="25.35" customHeight="1">
      <c r="A132" t="s">
        <v>3576</v>
      </c>
      <c r="B132" t="s">
        <v>3576</v>
      </c>
      <c r="C132" t="s">
        <v>3577</v>
      </c>
      <c r="D132" t="s">
        <v>3558</v>
      </c>
      <c r="E132" t="s">
        <v>3578</v>
      </c>
      <c r="F132" t="s">
        <v>2528</v>
      </c>
    </row>
    <row r="133" spans="1:6" ht="25.35" customHeight="1">
      <c r="A133" t="s">
        <v>3576</v>
      </c>
      <c r="B133" t="s">
        <v>3576</v>
      </c>
      <c r="C133" t="s">
        <v>3577</v>
      </c>
      <c r="D133" t="s">
        <v>3558</v>
      </c>
      <c r="E133" t="s">
        <v>3579</v>
      </c>
      <c r="F133" t="s">
        <v>2532</v>
      </c>
    </row>
    <row r="134" spans="1:6" ht="25.35" customHeight="1">
      <c r="A134" t="s">
        <v>3576</v>
      </c>
      <c r="B134" t="s">
        <v>3576</v>
      </c>
      <c r="C134" t="s">
        <v>3580</v>
      </c>
      <c r="D134" t="s">
        <v>3558</v>
      </c>
      <c r="E134" t="s">
        <v>3581</v>
      </c>
      <c r="F134" t="s">
        <v>2536</v>
      </c>
    </row>
    <row r="135" spans="1:6" ht="25.35" customHeight="1">
      <c r="A135" t="s">
        <v>3582</v>
      </c>
      <c r="B135" t="s">
        <v>3583</v>
      </c>
      <c r="C135" t="s">
        <v>3584</v>
      </c>
      <c r="D135" t="s">
        <v>3558</v>
      </c>
      <c r="E135" t="s">
        <v>3585</v>
      </c>
      <c r="F135" t="s">
        <v>2541</v>
      </c>
    </row>
    <row r="136" spans="1:6" ht="25.35" customHeight="1">
      <c r="A136" t="s">
        <v>3586</v>
      </c>
      <c r="B136" t="s">
        <v>3587</v>
      </c>
      <c r="C136" t="s">
        <v>3588</v>
      </c>
      <c r="D136" t="s">
        <v>3558</v>
      </c>
      <c r="E136" t="s">
        <v>3589</v>
      </c>
      <c r="F136" t="s">
        <v>2546</v>
      </c>
    </row>
    <row r="137" spans="1:6" ht="25.35" customHeight="1">
      <c r="A137" t="s">
        <v>3590</v>
      </c>
      <c r="B137" t="s">
        <v>3591</v>
      </c>
      <c r="C137" t="s">
        <v>3592</v>
      </c>
      <c r="D137" t="s">
        <v>3558</v>
      </c>
      <c r="E137" t="s">
        <v>3593</v>
      </c>
      <c r="F137" t="s">
        <v>907</v>
      </c>
    </row>
    <row r="138" spans="1:6" ht="25.35" customHeight="1">
      <c r="A138" t="s">
        <v>3594</v>
      </c>
      <c r="B138" t="s">
        <v>3595</v>
      </c>
      <c r="C138" t="s">
        <v>3596</v>
      </c>
      <c r="D138" t="s">
        <v>3558</v>
      </c>
      <c r="E138" t="s">
        <v>3597</v>
      </c>
      <c r="F138" t="s">
        <v>913</v>
      </c>
    </row>
    <row r="139" spans="1:6" ht="25.35" customHeight="1">
      <c r="A139" t="s">
        <v>3594</v>
      </c>
      <c r="B139" t="s">
        <v>3595</v>
      </c>
      <c r="C139" t="s">
        <v>3596</v>
      </c>
      <c r="D139" t="s">
        <v>3558</v>
      </c>
      <c r="E139" t="s">
        <v>3597</v>
      </c>
      <c r="F139" t="s">
        <v>3598</v>
      </c>
    </row>
    <row r="140" spans="1:6" ht="25.35" customHeight="1">
      <c r="A140" t="s">
        <v>3594</v>
      </c>
      <c r="B140" t="s">
        <v>3595</v>
      </c>
      <c r="C140" t="s">
        <v>3596</v>
      </c>
      <c r="D140" t="s">
        <v>3558</v>
      </c>
      <c r="E140" t="s">
        <v>3599</v>
      </c>
      <c r="F140" t="s">
        <v>918</v>
      </c>
    </row>
    <row r="141" spans="1:6" ht="25.35" customHeight="1">
      <c r="A141" t="s">
        <v>3594</v>
      </c>
      <c r="B141" t="s">
        <v>3594</v>
      </c>
      <c r="C141" t="s">
        <v>3596</v>
      </c>
      <c r="D141" t="s">
        <v>3558</v>
      </c>
      <c r="E141" t="s">
        <v>3599</v>
      </c>
      <c r="F141" t="s">
        <v>922</v>
      </c>
    </row>
    <row r="142" spans="1:6" ht="25.35" customHeight="1">
      <c r="A142" t="s">
        <v>3600</v>
      </c>
      <c r="B142" t="s">
        <v>3600</v>
      </c>
      <c r="C142" t="s">
        <v>3601</v>
      </c>
      <c r="D142" t="s">
        <v>3558</v>
      </c>
      <c r="E142" t="s">
        <v>3602</v>
      </c>
      <c r="F142" t="s">
        <v>901</v>
      </c>
    </row>
    <row r="143" spans="1:6" ht="25.35" customHeight="1">
      <c r="A143" t="s">
        <v>3603</v>
      </c>
      <c r="B143" t="s">
        <v>3604</v>
      </c>
      <c r="C143" t="s">
        <v>3596</v>
      </c>
      <c r="D143" t="s">
        <v>3558</v>
      </c>
      <c r="E143" t="s">
        <v>3605</v>
      </c>
      <c r="F143" t="s">
        <v>931</v>
      </c>
    </row>
    <row r="144" spans="1:6" ht="25.35" customHeight="1">
      <c r="A144" t="s">
        <v>3606</v>
      </c>
      <c r="B144" t="s">
        <v>3607</v>
      </c>
      <c r="C144" t="s">
        <v>3596</v>
      </c>
      <c r="D144" t="s">
        <v>3558</v>
      </c>
      <c r="E144" t="s">
        <v>3608</v>
      </c>
      <c r="F144" t="s">
        <v>936</v>
      </c>
    </row>
    <row r="145" spans="1:6" ht="25.35" customHeight="1">
      <c r="A145" t="s">
        <v>3609</v>
      </c>
      <c r="B145" t="s">
        <v>3610</v>
      </c>
      <c r="C145" t="s">
        <v>3611</v>
      </c>
      <c r="D145" t="s">
        <v>3558</v>
      </c>
      <c r="E145" t="s">
        <v>3612</v>
      </c>
      <c r="F145" t="s">
        <v>941</v>
      </c>
    </row>
    <row r="146" spans="1:6" ht="25.35" customHeight="1">
      <c r="A146" t="s">
        <v>3594</v>
      </c>
      <c r="B146" t="s">
        <v>3594</v>
      </c>
      <c r="C146" t="s">
        <v>3611</v>
      </c>
      <c r="D146" t="s">
        <v>3558</v>
      </c>
      <c r="E146" t="s">
        <v>3613</v>
      </c>
      <c r="F146" t="s">
        <v>946</v>
      </c>
    </row>
    <row r="147" spans="1:6" ht="25.35" customHeight="1">
      <c r="A147" t="s">
        <v>3594</v>
      </c>
      <c r="B147" t="s">
        <v>3594</v>
      </c>
      <c r="C147" t="s">
        <v>3614</v>
      </c>
      <c r="D147" t="s">
        <v>3558</v>
      </c>
      <c r="E147" t="s">
        <v>3615</v>
      </c>
      <c r="F147" t="s">
        <v>950</v>
      </c>
    </row>
    <row r="148" spans="1:6" ht="25.35" customHeight="1">
      <c r="A148" t="s">
        <v>3594</v>
      </c>
      <c r="B148" t="s">
        <v>3594</v>
      </c>
      <c r="C148" t="s">
        <v>3614</v>
      </c>
      <c r="D148" t="s">
        <v>3558</v>
      </c>
      <c r="E148" t="s">
        <v>3615</v>
      </c>
      <c r="F148" t="s">
        <v>956</v>
      </c>
    </row>
    <row r="149" spans="1:6" ht="25.35" customHeight="1">
      <c r="A149" t="s">
        <v>3594</v>
      </c>
      <c r="B149" t="s">
        <v>3594</v>
      </c>
      <c r="C149" t="s">
        <v>3616</v>
      </c>
      <c r="D149" t="s">
        <v>3558</v>
      </c>
      <c r="E149" t="s">
        <v>3615</v>
      </c>
      <c r="F149" t="s">
        <v>960</v>
      </c>
    </row>
    <row r="150" spans="1:6" ht="25.35" customHeight="1">
      <c r="A150" t="s">
        <v>3617</v>
      </c>
      <c r="B150" t="s">
        <v>3594</v>
      </c>
      <c r="C150" t="s">
        <v>3618</v>
      </c>
      <c r="D150" t="s">
        <v>3558</v>
      </c>
      <c r="E150" t="s">
        <v>3619</v>
      </c>
      <c r="F150" t="s">
        <v>965</v>
      </c>
    </row>
    <row r="151" spans="1:6" ht="25.35" customHeight="1">
      <c r="A151" t="s">
        <v>3620</v>
      </c>
      <c r="B151" t="s">
        <v>3594</v>
      </c>
      <c r="C151" t="s">
        <v>3621</v>
      </c>
      <c r="D151" t="s">
        <v>3558</v>
      </c>
      <c r="E151" t="s">
        <v>3622</v>
      </c>
      <c r="F151" t="s">
        <v>970</v>
      </c>
    </row>
    <row r="152" spans="1:6" ht="25.35" customHeight="1">
      <c r="A152" t="s">
        <v>3620</v>
      </c>
      <c r="B152" t="s">
        <v>3594</v>
      </c>
      <c r="C152" t="s">
        <v>3621</v>
      </c>
      <c r="D152" t="s">
        <v>3558</v>
      </c>
      <c r="E152" t="s">
        <v>3622</v>
      </c>
      <c r="F152" t="s">
        <v>970</v>
      </c>
    </row>
    <row r="153" spans="1:6" ht="25.35" customHeight="1">
      <c r="A153" t="s">
        <v>3623</v>
      </c>
      <c r="B153" t="s">
        <v>3594</v>
      </c>
      <c r="C153" t="s">
        <v>3624</v>
      </c>
      <c r="D153" t="s">
        <v>3558</v>
      </c>
      <c r="E153" t="s">
        <v>3625</v>
      </c>
      <c r="F153" t="s">
        <v>977</v>
      </c>
    </row>
    <row r="154" spans="1:6" ht="25.35" customHeight="1">
      <c r="A154" t="s">
        <v>3626</v>
      </c>
      <c r="B154" t="s">
        <v>3594</v>
      </c>
      <c r="C154" t="s">
        <v>3624</v>
      </c>
      <c r="D154" t="s">
        <v>3558</v>
      </c>
      <c r="E154" t="s">
        <v>3627</v>
      </c>
      <c r="F154" t="s">
        <v>982</v>
      </c>
    </row>
    <row r="155" spans="1:6" ht="25.35" customHeight="1">
      <c r="A155" t="s">
        <v>3628</v>
      </c>
      <c r="B155" t="s">
        <v>3594</v>
      </c>
      <c r="C155" t="s">
        <v>3629</v>
      </c>
      <c r="D155" t="s">
        <v>3558</v>
      </c>
      <c r="E155" t="s">
        <v>3630</v>
      </c>
      <c r="F155" t="s">
        <v>986</v>
      </c>
    </row>
    <row r="156" spans="1:6" ht="25.35" customHeight="1">
      <c r="A156" t="s">
        <v>3631</v>
      </c>
      <c r="B156" t="s">
        <v>3594</v>
      </c>
      <c r="C156" t="s">
        <v>3629</v>
      </c>
      <c r="D156" t="s">
        <v>3558</v>
      </c>
      <c r="E156" t="s">
        <v>3632</v>
      </c>
      <c r="F156" t="s">
        <v>991</v>
      </c>
    </row>
    <row r="157" spans="1:6" ht="25.35" customHeight="1">
      <c r="A157" t="s">
        <v>3594</v>
      </c>
      <c r="B157" t="s">
        <v>3594</v>
      </c>
      <c r="C157" t="s">
        <v>3614</v>
      </c>
      <c r="D157" t="s">
        <v>3558</v>
      </c>
      <c r="E157" t="s">
        <v>3633</v>
      </c>
      <c r="F157" t="s">
        <v>999</v>
      </c>
    </row>
    <row r="158" spans="1:6" ht="25.35" customHeight="1">
      <c r="A158" t="s">
        <v>3594</v>
      </c>
      <c r="B158" t="s">
        <v>3594</v>
      </c>
      <c r="C158" t="s">
        <v>3634</v>
      </c>
      <c r="D158" t="s">
        <v>3558</v>
      </c>
      <c r="E158" t="s">
        <v>3635</v>
      </c>
      <c r="F158" t="s">
        <v>1003</v>
      </c>
    </row>
    <row r="159" spans="1:6" ht="25.35" customHeight="1">
      <c r="A159" t="s">
        <v>3636</v>
      </c>
      <c r="B159" t="s">
        <v>3637</v>
      </c>
      <c r="C159" t="s">
        <v>3634</v>
      </c>
      <c r="D159" t="s">
        <v>3558</v>
      </c>
      <c r="E159" t="s">
        <v>3638</v>
      </c>
      <c r="F159" t="s">
        <v>1008</v>
      </c>
    </row>
    <row r="160" spans="1:6" ht="25.35" customHeight="1">
      <c r="A160" t="s">
        <v>3639</v>
      </c>
      <c r="B160" t="s">
        <v>3640</v>
      </c>
      <c r="C160" t="s">
        <v>3634</v>
      </c>
      <c r="D160" t="s">
        <v>3558</v>
      </c>
      <c r="E160" t="s">
        <v>3641</v>
      </c>
      <c r="F160" t="s">
        <v>1012</v>
      </c>
    </row>
    <row r="161" spans="1:6" ht="25.35" customHeight="1">
      <c r="A161" t="s">
        <v>3642</v>
      </c>
      <c r="B161" t="s">
        <v>3642</v>
      </c>
      <c r="C161" t="s">
        <v>3634</v>
      </c>
      <c r="D161" t="s">
        <v>3558</v>
      </c>
      <c r="E161" t="s">
        <v>3643</v>
      </c>
      <c r="F161" t="s">
        <v>1016</v>
      </c>
    </row>
    <row r="162" spans="1:6" ht="25.35" customHeight="1">
      <c r="A162" t="s">
        <v>3644</v>
      </c>
      <c r="B162" t="s">
        <v>3645</v>
      </c>
      <c r="C162" t="s">
        <v>3634</v>
      </c>
      <c r="D162" t="s">
        <v>3558</v>
      </c>
      <c r="E162" t="s">
        <v>3646</v>
      </c>
      <c r="F162" t="s">
        <v>1020</v>
      </c>
    </row>
    <row r="163" spans="1:6" ht="25.35" customHeight="1">
      <c r="A163" t="s">
        <v>3647</v>
      </c>
      <c r="B163" t="s">
        <v>3648</v>
      </c>
      <c r="C163" t="s">
        <v>3649</v>
      </c>
      <c r="D163" t="s">
        <v>3558</v>
      </c>
      <c r="E163" t="s">
        <v>3650</v>
      </c>
      <c r="F163" t="s">
        <v>1024</v>
      </c>
    </row>
    <row r="164" spans="1:6" ht="25.35" customHeight="1">
      <c r="A164" t="s">
        <v>3594</v>
      </c>
      <c r="B164" t="s">
        <v>3594</v>
      </c>
      <c r="C164" t="s">
        <v>3651</v>
      </c>
      <c r="D164" t="s">
        <v>3558</v>
      </c>
      <c r="E164" t="s">
        <v>3652</v>
      </c>
      <c r="F164" t="s">
        <v>1029</v>
      </c>
    </row>
    <row r="165" spans="1:6" ht="25.35" customHeight="1">
      <c r="A165" t="s">
        <v>3594</v>
      </c>
      <c r="B165" t="s">
        <v>3594</v>
      </c>
      <c r="C165" t="s">
        <v>3653</v>
      </c>
      <c r="D165" t="s">
        <v>3558</v>
      </c>
      <c r="E165" t="s">
        <v>3654</v>
      </c>
      <c r="F165" t="s">
        <v>1034</v>
      </c>
    </row>
    <row r="166" spans="1:6" ht="25.35" customHeight="1">
      <c r="A166" t="s">
        <v>3594</v>
      </c>
      <c r="B166" t="s">
        <v>3594</v>
      </c>
      <c r="C166" t="s">
        <v>3653</v>
      </c>
      <c r="D166" t="s">
        <v>3558</v>
      </c>
      <c r="E166" t="s">
        <v>3654</v>
      </c>
      <c r="F166" t="s">
        <v>1039</v>
      </c>
    </row>
    <row r="167" spans="1:6" ht="25.35" customHeight="1">
      <c r="A167" t="s">
        <v>3594</v>
      </c>
      <c r="B167" t="s">
        <v>3594</v>
      </c>
      <c r="C167" t="s">
        <v>3653</v>
      </c>
      <c r="D167" t="s">
        <v>3558</v>
      </c>
      <c r="E167" t="s">
        <v>3654</v>
      </c>
      <c r="F167" t="s">
        <v>1043</v>
      </c>
    </row>
    <row r="168" spans="1:6" ht="25.35" customHeight="1">
      <c r="A168" t="s">
        <v>3655</v>
      </c>
      <c r="B168" t="s">
        <v>3656</v>
      </c>
      <c r="C168" t="s">
        <v>3657</v>
      </c>
      <c r="D168" t="s">
        <v>3558</v>
      </c>
      <c r="E168" t="s">
        <v>3658</v>
      </c>
      <c r="F168" t="s">
        <v>1047</v>
      </c>
    </row>
    <row r="169" spans="1:6" ht="25.35" customHeight="1">
      <c r="A169" t="s">
        <v>3655</v>
      </c>
      <c r="B169" t="s">
        <v>3656</v>
      </c>
      <c r="C169" t="s">
        <v>3659</v>
      </c>
      <c r="D169" t="s">
        <v>3558</v>
      </c>
      <c r="E169" t="s">
        <v>3658</v>
      </c>
      <c r="F169" t="s">
        <v>1052</v>
      </c>
    </row>
    <row r="170" spans="1:6" ht="25.35" customHeight="1">
      <c r="A170" t="s">
        <v>3660</v>
      </c>
      <c r="B170" t="s">
        <v>3594</v>
      </c>
      <c r="C170" t="s">
        <v>3661</v>
      </c>
      <c r="D170" t="s">
        <v>3558</v>
      </c>
      <c r="E170" t="s">
        <v>3662</v>
      </c>
      <c r="F170" t="s">
        <v>1057</v>
      </c>
    </row>
    <row r="171" spans="1:6" ht="25.35" customHeight="1">
      <c r="A171" t="s">
        <v>3663</v>
      </c>
      <c r="B171" t="s">
        <v>3664</v>
      </c>
      <c r="C171" t="s">
        <v>3665</v>
      </c>
      <c r="D171" t="s">
        <v>3558</v>
      </c>
      <c r="E171" t="s">
        <v>3666</v>
      </c>
      <c r="F171" t="s">
        <v>1062</v>
      </c>
    </row>
    <row r="172" spans="1:6" ht="25.35" customHeight="1">
      <c r="A172" t="s">
        <v>3663</v>
      </c>
      <c r="B172" t="s">
        <v>3664</v>
      </c>
      <c r="C172" t="s">
        <v>3667</v>
      </c>
      <c r="D172" t="s">
        <v>3558</v>
      </c>
      <c r="E172" t="s">
        <v>3666</v>
      </c>
      <c r="F172" t="s">
        <v>1067</v>
      </c>
    </row>
    <row r="173" spans="1:6" ht="25.35" customHeight="1">
      <c r="A173" t="s">
        <v>3663</v>
      </c>
      <c r="B173" t="s">
        <v>3664</v>
      </c>
      <c r="C173" t="s">
        <v>3668</v>
      </c>
      <c r="D173" t="s">
        <v>3558</v>
      </c>
      <c r="E173" t="s">
        <v>3666</v>
      </c>
      <c r="F173" t="s">
        <v>1072</v>
      </c>
    </row>
    <row r="174" spans="1:6" ht="25.35" customHeight="1">
      <c r="A174" t="s">
        <v>3663</v>
      </c>
      <c r="B174" t="s">
        <v>3664</v>
      </c>
      <c r="C174" t="s">
        <v>3669</v>
      </c>
      <c r="D174" t="s">
        <v>3558</v>
      </c>
      <c r="E174" t="s">
        <v>3666</v>
      </c>
      <c r="F174" t="s">
        <v>1077</v>
      </c>
    </row>
    <row r="175" spans="1:6" ht="25.35" customHeight="1">
      <c r="A175" t="s">
        <v>3663</v>
      </c>
      <c r="B175" t="s">
        <v>3664</v>
      </c>
      <c r="C175" t="s">
        <v>3670</v>
      </c>
      <c r="D175" t="s">
        <v>3558</v>
      </c>
      <c r="E175" t="s">
        <v>3666</v>
      </c>
      <c r="F175" t="s">
        <v>1082</v>
      </c>
    </row>
    <row r="176" spans="1:6" ht="25.35" customHeight="1">
      <c r="A176" t="s">
        <v>3663</v>
      </c>
      <c r="B176" t="s">
        <v>3664</v>
      </c>
      <c r="C176" t="s">
        <v>3671</v>
      </c>
      <c r="D176" t="s">
        <v>3558</v>
      </c>
      <c r="E176" t="s">
        <v>3666</v>
      </c>
      <c r="F176" t="s">
        <v>1087</v>
      </c>
    </row>
    <row r="177" spans="1:6" ht="25.35" customHeight="1">
      <c r="A177" t="s">
        <v>3663</v>
      </c>
      <c r="B177" t="s">
        <v>3664</v>
      </c>
      <c r="C177" t="s">
        <v>3672</v>
      </c>
      <c r="D177" t="s">
        <v>3558</v>
      </c>
      <c r="E177" t="s">
        <v>3666</v>
      </c>
      <c r="F177" t="s">
        <v>1092</v>
      </c>
    </row>
    <row r="178" spans="1:6" ht="25.35" customHeight="1">
      <c r="A178" t="s">
        <v>3663</v>
      </c>
      <c r="B178" t="s">
        <v>3664</v>
      </c>
      <c r="C178" t="s">
        <v>3673</v>
      </c>
      <c r="D178" t="s">
        <v>3558</v>
      </c>
      <c r="E178" t="s">
        <v>3666</v>
      </c>
      <c r="F178" t="s">
        <v>1097</v>
      </c>
    </row>
    <row r="179" spans="1:6" ht="25.35" customHeight="1">
      <c r="A179" t="s">
        <v>3663</v>
      </c>
      <c r="B179" t="s">
        <v>3664</v>
      </c>
      <c r="C179" t="s">
        <v>3674</v>
      </c>
      <c r="D179" t="s">
        <v>3558</v>
      </c>
      <c r="E179" t="s">
        <v>3666</v>
      </c>
      <c r="F179" t="s">
        <v>1102</v>
      </c>
    </row>
    <row r="180" spans="1:6" ht="25.35" customHeight="1">
      <c r="A180" t="s">
        <v>3663</v>
      </c>
      <c r="B180" t="s">
        <v>3664</v>
      </c>
      <c r="C180" t="s">
        <v>3675</v>
      </c>
      <c r="D180" t="s">
        <v>3558</v>
      </c>
      <c r="E180" t="s">
        <v>3666</v>
      </c>
      <c r="F180" t="s">
        <v>1107</v>
      </c>
    </row>
    <row r="181" spans="1:6" ht="25.35" customHeight="1">
      <c r="A181" t="s">
        <v>3663</v>
      </c>
      <c r="B181" t="s">
        <v>3664</v>
      </c>
      <c r="C181" t="s">
        <v>3676</v>
      </c>
      <c r="D181" t="s">
        <v>3558</v>
      </c>
      <c r="E181" t="s">
        <v>3666</v>
      </c>
      <c r="F181" t="s">
        <v>1112</v>
      </c>
    </row>
    <row r="182" spans="1:6" ht="25.35" customHeight="1">
      <c r="A182" t="s">
        <v>3663</v>
      </c>
      <c r="B182" t="s">
        <v>3664</v>
      </c>
      <c r="C182" t="s">
        <v>3677</v>
      </c>
      <c r="D182" t="s">
        <v>3558</v>
      </c>
      <c r="E182" t="s">
        <v>3666</v>
      </c>
      <c r="F182" t="s">
        <v>1117</v>
      </c>
    </row>
    <row r="183" spans="1:6" ht="25.35" customHeight="1">
      <c r="A183" t="s">
        <v>3663</v>
      </c>
      <c r="B183" t="s">
        <v>3664</v>
      </c>
      <c r="C183" t="s">
        <v>3678</v>
      </c>
      <c r="D183" t="s">
        <v>3558</v>
      </c>
      <c r="E183" t="s">
        <v>3666</v>
      </c>
      <c r="F183" t="s">
        <v>1122</v>
      </c>
    </row>
    <row r="184" spans="1:6" ht="25.35" customHeight="1">
      <c r="A184" t="s">
        <v>3663</v>
      </c>
      <c r="B184" t="s">
        <v>3664</v>
      </c>
      <c r="C184" t="s">
        <v>3679</v>
      </c>
      <c r="D184" t="s">
        <v>3558</v>
      </c>
      <c r="E184" t="s">
        <v>3666</v>
      </c>
      <c r="F184" t="s">
        <v>1127</v>
      </c>
    </row>
    <row r="185" spans="1:6" ht="25.35" customHeight="1">
      <c r="A185" t="s">
        <v>3663</v>
      </c>
      <c r="B185" t="s">
        <v>3664</v>
      </c>
      <c r="C185" t="s">
        <v>3680</v>
      </c>
      <c r="D185" t="s">
        <v>3558</v>
      </c>
      <c r="E185" t="s">
        <v>3681</v>
      </c>
      <c r="F185" t="s">
        <v>1132</v>
      </c>
    </row>
    <row r="186" spans="1:6" ht="25.35" customHeight="1">
      <c r="A186" t="s">
        <v>3663</v>
      </c>
      <c r="B186" t="s">
        <v>3664</v>
      </c>
      <c r="C186" t="s">
        <v>3682</v>
      </c>
      <c r="D186" t="s">
        <v>3558</v>
      </c>
      <c r="E186" t="s">
        <v>3681</v>
      </c>
      <c r="F186" t="s">
        <v>1137</v>
      </c>
    </row>
    <row r="187" spans="1:6" ht="25.35" customHeight="1">
      <c r="A187" t="s">
        <v>3594</v>
      </c>
      <c r="B187" t="s">
        <v>3594</v>
      </c>
      <c r="C187" t="s">
        <v>3683</v>
      </c>
      <c r="D187" t="s">
        <v>3558</v>
      </c>
      <c r="E187" t="s">
        <v>3684</v>
      </c>
      <c r="F187" t="s">
        <v>1142</v>
      </c>
    </row>
    <row r="188" spans="1:6" ht="25.35" customHeight="1">
      <c r="A188" t="s">
        <v>533</v>
      </c>
      <c r="B188" t="s">
        <v>533</v>
      </c>
      <c r="C188" t="s">
        <v>533</v>
      </c>
      <c r="D188" t="s">
        <v>3685</v>
      </c>
      <c r="E188" t="s">
        <v>3686</v>
      </c>
      <c r="F188" t="s">
        <v>2606</v>
      </c>
    </row>
    <row r="189" spans="1:6" ht="25.35" customHeight="1">
      <c r="A189" t="s">
        <v>3687</v>
      </c>
      <c r="B189" t="s">
        <v>3688</v>
      </c>
      <c r="C189" t="s">
        <v>3689</v>
      </c>
      <c r="D189" t="s">
        <v>3685</v>
      </c>
      <c r="E189" t="s">
        <v>3690</v>
      </c>
      <c r="F189" t="s">
        <v>1147</v>
      </c>
    </row>
    <row r="190" spans="1:6" ht="25.35" customHeight="1">
      <c r="A190" t="s">
        <v>3691</v>
      </c>
      <c r="B190" t="s">
        <v>3692</v>
      </c>
      <c r="C190" t="s">
        <v>3693</v>
      </c>
      <c r="D190" t="s">
        <v>3694</v>
      </c>
      <c r="E190" t="s">
        <v>3695</v>
      </c>
      <c r="F190" t="s">
        <v>1153</v>
      </c>
    </row>
    <row r="191" spans="1:6" ht="25.35" customHeight="1">
      <c r="A191" t="s">
        <v>3687</v>
      </c>
      <c r="B191" t="s">
        <v>3688</v>
      </c>
      <c r="C191" t="s">
        <v>3689</v>
      </c>
      <c r="D191" t="s">
        <v>3685</v>
      </c>
      <c r="E191" t="s">
        <v>3696</v>
      </c>
      <c r="F191" t="s">
        <v>1157</v>
      </c>
    </row>
    <row r="192" spans="1:6" ht="25.35" customHeight="1">
      <c r="A192" s="62" t="s">
        <v>3697</v>
      </c>
      <c r="B192" t="s">
        <v>3688</v>
      </c>
      <c r="C192" t="s">
        <v>3689</v>
      </c>
      <c r="D192" t="s">
        <v>3685</v>
      </c>
      <c r="E192" t="s">
        <v>3698</v>
      </c>
      <c r="F192" t="s">
        <v>1161</v>
      </c>
    </row>
    <row r="193" spans="1:6" ht="25.35" customHeight="1">
      <c r="A193" t="s">
        <v>3699</v>
      </c>
      <c r="B193" t="s">
        <v>3700</v>
      </c>
      <c r="C193" t="s">
        <v>3689</v>
      </c>
      <c r="D193" t="s">
        <v>3685</v>
      </c>
      <c r="E193" t="s">
        <v>3701</v>
      </c>
      <c r="F193" t="s">
        <v>1164</v>
      </c>
    </row>
    <row r="194" spans="1:6" ht="25.35" customHeight="1">
      <c r="A194" s="62" t="s">
        <v>3697</v>
      </c>
      <c r="B194" t="s">
        <v>3688</v>
      </c>
      <c r="C194" t="s">
        <v>3689</v>
      </c>
      <c r="D194" t="s">
        <v>3685</v>
      </c>
      <c r="E194" t="s">
        <v>3698</v>
      </c>
      <c r="F194" t="s">
        <v>1171</v>
      </c>
    </row>
    <row r="195" spans="1:6" ht="25.35" customHeight="1">
      <c r="A195" t="s">
        <v>3702</v>
      </c>
      <c r="B195" t="s">
        <v>3688</v>
      </c>
      <c r="C195" t="s">
        <v>3689</v>
      </c>
      <c r="D195" t="s">
        <v>3685</v>
      </c>
      <c r="E195" t="s">
        <v>3703</v>
      </c>
      <c r="F195" t="s">
        <v>1177</v>
      </c>
    </row>
    <row r="196" spans="1:6" ht="25.35" customHeight="1">
      <c r="A196" t="s">
        <v>3704</v>
      </c>
      <c r="B196" t="s">
        <v>3705</v>
      </c>
      <c r="C196" t="s">
        <v>3706</v>
      </c>
      <c r="D196" t="s">
        <v>3685</v>
      </c>
      <c r="E196" t="s">
        <v>3707</v>
      </c>
      <c r="F196" t="s">
        <v>1192</v>
      </c>
    </row>
    <row r="197" spans="1:6" ht="25.35" customHeight="1">
      <c r="A197" t="s">
        <v>533</v>
      </c>
      <c r="B197" t="s">
        <v>533</v>
      </c>
      <c r="C197" t="s">
        <v>3708</v>
      </c>
      <c r="D197" t="s">
        <v>3709</v>
      </c>
      <c r="E197" t="s">
        <v>3710</v>
      </c>
      <c r="F197" t="s">
        <v>1201</v>
      </c>
    </row>
    <row r="198" spans="1:6" ht="25.35" customHeight="1">
      <c r="A198" t="s">
        <v>3711</v>
      </c>
      <c r="B198" t="s">
        <v>3712</v>
      </c>
      <c r="C198" t="s">
        <v>3713</v>
      </c>
      <c r="D198" t="s">
        <v>3714</v>
      </c>
      <c r="E198" t="s">
        <v>3715</v>
      </c>
      <c r="F198" t="s">
        <v>1235</v>
      </c>
    </row>
    <row r="199" spans="1:6" ht="25.35" customHeight="1">
      <c r="A199" t="s">
        <v>3716</v>
      </c>
      <c r="B199" t="s">
        <v>3717</v>
      </c>
      <c r="C199" t="s">
        <v>1381</v>
      </c>
      <c r="D199" t="s">
        <v>3714</v>
      </c>
      <c r="E199" t="s">
        <v>3718</v>
      </c>
      <c r="F199" t="s">
        <v>1240</v>
      </c>
    </row>
    <row r="200" spans="1:6" ht="25.35" customHeight="1">
      <c r="A200" t="s">
        <v>3719</v>
      </c>
      <c r="B200" t="s">
        <v>3720</v>
      </c>
      <c r="C200" t="s">
        <v>3721</v>
      </c>
      <c r="D200" t="s">
        <v>3722</v>
      </c>
      <c r="E200" t="s">
        <v>3723</v>
      </c>
      <c r="F200" t="s">
        <v>1245</v>
      </c>
    </row>
    <row r="201" spans="1:6" ht="25.35" customHeight="1">
      <c r="A201" t="s">
        <v>3724</v>
      </c>
      <c r="B201" t="s">
        <v>3725</v>
      </c>
      <c r="C201" t="s">
        <v>1381</v>
      </c>
      <c r="D201" t="s">
        <v>3714</v>
      </c>
      <c r="E201" t="s">
        <v>3726</v>
      </c>
      <c r="F201" t="s">
        <v>1250</v>
      </c>
    </row>
    <row r="202" spans="1:6" ht="25.35" customHeight="1">
      <c r="A202" t="s">
        <v>3727</v>
      </c>
      <c r="B202" t="s">
        <v>3728</v>
      </c>
      <c r="C202" t="s">
        <v>1381</v>
      </c>
      <c r="D202" t="s">
        <v>3714</v>
      </c>
      <c r="E202" t="s">
        <v>3729</v>
      </c>
      <c r="F202" t="s">
        <v>1254</v>
      </c>
    </row>
    <row r="203" spans="1:6" ht="25.35" customHeight="1">
      <c r="A203" t="s">
        <v>3719</v>
      </c>
      <c r="B203" t="s">
        <v>3720</v>
      </c>
      <c r="C203" t="s">
        <v>3721</v>
      </c>
      <c r="D203" t="s">
        <v>3722</v>
      </c>
      <c r="E203" t="s">
        <v>3723</v>
      </c>
      <c r="F203" t="s">
        <v>1258</v>
      </c>
    </row>
    <row r="204" spans="1:6" ht="25.35" customHeight="1">
      <c r="A204" t="s">
        <v>3730</v>
      </c>
      <c r="B204" t="s">
        <v>3731</v>
      </c>
      <c r="C204" t="s">
        <v>3732</v>
      </c>
      <c r="D204" t="s">
        <v>3714</v>
      </c>
      <c r="E204" t="s">
        <v>3733</v>
      </c>
      <c r="F204" t="s">
        <v>1262</v>
      </c>
    </row>
    <row r="205" spans="1:6" ht="25.35" customHeight="1">
      <c r="A205" t="s">
        <v>3719</v>
      </c>
      <c r="B205" t="s">
        <v>3720</v>
      </c>
      <c r="C205" t="s">
        <v>3721</v>
      </c>
      <c r="D205" t="s">
        <v>3722</v>
      </c>
      <c r="E205" t="s">
        <v>3723</v>
      </c>
      <c r="F205" t="s">
        <v>1268</v>
      </c>
    </row>
    <row r="206" spans="1:6" ht="25.35" customHeight="1">
      <c r="A206" t="s">
        <v>3734</v>
      </c>
      <c r="B206" t="s">
        <v>3735</v>
      </c>
      <c r="C206" t="s">
        <v>3736</v>
      </c>
      <c r="D206" t="s">
        <v>3737</v>
      </c>
      <c r="E206" t="s">
        <v>3738</v>
      </c>
      <c r="F206" t="s">
        <v>1272</v>
      </c>
    </row>
    <row r="207" spans="1:6" ht="25.35" customHeight="1">
      <c r="A207" t="s">
        <v>3739</v>
      </c>
      <c r="B207" t="s">
        <v>3740</v>
      </c>
      <c r="C207" t="s">
        <v>1381</v>
      </c>
      <c r="D207" t="s">
        <v>3714</v>
      </c>
      <c r="E207" t="s">
        <v>3741</v>
      </c>
      <c r="F207" t="s">
        <v>1277</v>
      </c>
    </row>
    <row r="208" spans="1:6" ht="25.35" customHeight="1">
      <c r="A208" t="s">
        <v>3742</v>
      </c>
      <c r="B208" t="s">
        <v>3743</v>
      </c>
      <c r="C208" t="s">
        <v>3744</v>
      </c>
      <c r="D208" t="s">
        <v>3745</v>
      </c>
      <c r="E208" t="s">
        <v>3746</v>
      </c>
      <c r="F208" t="s">
        <v>1281</v>
      </c>
    </row>
    <row r="209" spans="1:6" ht="25.35" customHeight="1">
      <c r="A209" t="s">
        <v>3719</v>
      </c>
      <c r="B209" t="s">
        <v>3747</v>
      </c>
      <c r="C209" t="s">
        <v>3721</v>
      </c>
      <c r="D209" t="s">
        <v>3722</v>
      </c>
      <c r="E209" t="s">
        <v>3748</v>
      </c>
      <c r="F209" t="s">
        <v>1287</v>
      </c>
    </row>
    <row r="210" spans="1:6" ht="25.35" customHeight="1">
      <c r="A210" t="s">
        <v>3749</v>
      </c>
      <c r="B210" t="s">
        <v>3750</v>
      </c>
      <c r="C210" t="s">
        <v>3751</v>
      </c>
      <c r="D210" t="s">
        <v>3752</v>
      </c>
      <c r="F210" t="s">
        <v>3753</v>
      </c>
    </row>
    <row r="211" spans="1:6" ht="25.35" customHeight="1">
      <c r="A211" t="s">
        <v>3754</v>
      </c>
      <c r="B211" t="s">
        <v>3755</v>
      </c>
      <c r="C211" t="s">
        <v>3756</v>
      </c>
      <c r="D211" t="s">
        <v>3757</v>
      </c>
      <c r="E211" t="s">
        <v>3758</v>
      </c>
      <c r="F211" t="s">
        <v>1291</v>
      </c>
    </row>
    <row r="212" spans="1:6" ht="25.35" customHeight="1">
      <c r="A212" t="s">
        <v>3749</v>
      </c>
      <c r="B212" t="s">
        <v>3750</v>
      </c>
      <c r="C212" s="62" t="s">
        <v>3759</v>
      </c>
      <c r="D212" t="s">
        <v>3760</v>
      </c>
      <c r="F212" t="s">
        <v>1298</v>
      </c>
    </row>
    <row r="213" spans="1:6" ht="25.35" customHeight="1">
      <c r="A213" t="s">
        <v>3761</v>
      </c>
      <c r="B213" t="s">
        <v>3762</v>
      </c>
      <c r="C213" t="s">
        <v>3763</v>
      </c>
      <c r="D213" t="s">
        <v>3396</v>
      </c>
      <c r="E213" t="s">
        <v>3764</v>
      </c>
      <c r="F213" t="s">
        <v>1303</v>
      </c>
    </row>
    <row r="214" spans="1:6" ht="25.35" customHeight="1">
      <c r="A214" t="s">
        <v>3765</v>
      </c>
      <c r="B214" t="s">
        <v>3766</v>
      </c>
      <c r="C214" t="s">
        <v>3767</v>
      </c>
      <c r="D214" t="s">
        <v>3396</v>
      </c>
      <c r="E214" t="s">
        <v>3768</v>
      </c>
      <c r="F214" t="s">
        <v>1307</v>
      </c>
    </row>
    <row r="215" spans="1:6" ht="25.35" customHeight="1">
      <c r="A215" t="s">
        <v>3769</v>
      </c>
      <c r="B215" t="s">
        <v>3770</v>
      </c>
      <c r="C215" t="s">
        <v>3771</v>
      </c>
      <c r="D215" t="s">
        <v>3757</v>
      </c>
      <c r="E215" t="s">
        <v>3772</v>
      </c>
      <c r="F215" t="s">
        <v>1310</v>
      </c>
    </row>
    <row r="216" spans="1:6" ht="25.35" customHeight="1">
      <c r="A216" t="s">
        <v>3773</v>
      </c>
      <c r="B216" t="s">
        <v>3774</v>
      </c>
      <c r="C216" t="s">
        <v>3775</v>
      </c>
      <c r="D216" t="s">
        <v>3379</v>
      </c>
      <c r="E216" t="s">
        <v>3776</v>
      </c>
      <c r="F216" t="s">
        <v>1313</v>
      </c>
    </row>
    <row r="217" spans="1:6" ht="25.35" customHeight="1">
      <c r="A217" t="s">
        <v>3777</v>
      </c>
      <c r="B217" t="s">
        <v>3778</v>
      </c>
      <c r="C217" t="s">
        <v>3779</v>
      </c>
      <c r="D217" t="s">
        <v>3396</v>
      </c>
      <c r="E217" t="s">
        <v>3768</v>
      </c>
      <c r="F217" t="s">
        <v>1316</v>
      </c>
    </row>
    <row r="218" spans="1:6" ht="25.35" customHeight="1">
      <c r="A218" t="s">
        <v>3780</v>
      </c>
      <c r="B218" t="s">
        <v>3781</v>
      </c>
      <c r="C218" t="s">
        <v>3782</v>
      </c>
      <c r="D218" t="s">
        <v>3757</v>
      </c>
      <c r="E218" t="s">
        <v>3783</v>
      </c>
      <c r="F218" t="s">
        <v>1321</v>
      </c>
    </row>
    <row r="219" spans="1:6" ht="25.35" customHeight="1">
      <c r="A219" t="s">
        <v>3784</v>
      </c>
      <c r="B219" t="s">
        <v>3785</v>
      </c>
      <c r="C219" t="s">
        <v>3786</v>
      </c>
      <c r="D219" t="s">
        <v>3757</v>
      </c>
      <c r="E219" t="s">
        <v>3783</v>
      </c>
      <c r="F219" t="s">
        <v>1324</v>
      </c>
    </row>
    <row r="220" spans="1:6" ht="25.35" customHeight="1">
      <c r="A220" t="s">
        <v>3787</v>
      </c>
      <c r="B220" t="s">
        <v>3788</v>
      </c>
      <c r="C220" t="s">
        <v>3789</v>
      </c>
      <c r="D220" t="s">
        <v>3379</v>
      </c>
      <c r="E220" t="s">
        <v>3790</v>
      </c>
      <c r="F220" t="s">
        <v>1327</v>
      </c>
    </row>
    <row r="221" spans="1:6" ht="25.35" customHeight="1">
      <c r="A221" t="s">
        <v>3791</v>
      </c>
      <c r="B221" t="s">
        <v>3792</v>
      </c>
      <c r="C221" t="s">
        <v>3793</v>
      </c>
      <c r="D221" t="s">
        <v>3379</v>
      </c>
      <c r="E221" t="s">
        <v>3794</v>
      </c>
      <c r="F221" t="s">
        <v>1330</v>
      </c>
    </row>
    <row r="222" spans="1:6" ht="25.35" customHeight="1">
      <c r="A222" t="s">
        <v>3795</v>
      </c>
      <c r="B222" t="s">
        <v>3796</v>
      </c>
      <c r="C222" t="s">
        <v>1381</v>
      </c>
      <c r="D222" t="s">
        <v>3379</v>
      </c>
      <c r="E222" t="s">
        <v>3797</v>
      </c>
      <c r="F222" t="s">
        <v>1333</v>
      </c>
    </row>
    <row r="223" spans="1:6" ht="25.35" customHeight="1">
      <c r="A223" t="s">
        <v>3798</v>
      </c>
      <c r="B223" t="s">
        <v>3799</v>
      </c>
      <c r="C223" t="s">
        <v>3800</v>
      </c>
      <c r="D223" t="s">
        <v>3801</v>
      </c>
      <c r="E223" t="s">
        <v>3802</v>
      </c>
      <c r="F223" t="s">
        <v>1338</v>
      </c>
    </row>
    <row r="224" spans="1:6" ht="25.35" customHeight="1">
      <c r="A224" t="s">
        <v>3803</v>
      </c>
      <c r="B224" t="s">
        <v>3804</v>
      </c>
      <c r="C224" t="s">
        <v>3805</v>
      </c>
      <c r="D224" t="s">
        <v>3806</v>
      </c>
      <c r="E224" t="s">
        <v>3807</v>
      </c>
      <c r="F224" t="s">
        <v>1345</v>
      </c>
    </row>
    <row r="225" spans="1:6" ht="25.35" customHeight="1">
      <c r="A225" t="s">
        <v>1381</v>
      </c>
      <c r="B225" t="s">
        <v>1381</v>
      </c>
      <c r="C225" t="s">
        <v>3798</v>
      </c>
      <c r="D225" t="s">
        <v>3801</v>
      </c>
      <c r="E225" t="s">
        <v>3808</v>
      </c>
      <c r="F225" t="s">
        <v>1355</v>
      </c>
    </row>
    <row r="226" spans="1:6" ht="25.35" customHeight="1">
      <c r="A226" t="s">
        <v>3809</v>
      </c>
      <c r="B226" t="s">
        <v>3810</v>
      </c>
      <c r="C226" t="s">
        <v>3805</v>
      </c>
      <c r="D226" t="s">
        <v>3806</v>
      </c>
      <c r="E226" t="s">
        <v>3811</v>
      </c>
      <c r="F226" t="s">
        <v>1361</v>
      </c>
    </row>
    <row r="227" spans="1:6" ht="25.35" customHeight="1">
      <c r="A227" t="s">
        <v>3812</v>
      </c>
      <c r="B227" t="s">
        <v>3813</v>
      </c>
      <c r="C227" t="s">
        <v>3721</v>
      </c>
      <c r="D227" t="s">
        <v>3806</v>
      </c>
      <c r="E227" t="s">
        <v>3814</v>
      </c>
      <c r="F227" t="s">
        <v>1365</v>
      </c>
    </row>
    <row r="228" spans="1:6" ht="25.35" customHeight="1">
      <c r="A228" t="s">
        <v>3809</v>
      </c>
      <c r="B228" t="s">
        <v>3810</v>
      </c>
      <c r="C228" t="s">
        <v>3805</v>
      </c>
      <c r="D228" t="s">
        <v>3806</v>
      </c>
      <c r="E228" t="s">
        <v>3811</v>
      </c>
      <c r="F228" t="s">
        <v>1373</v>
      </c>
    </row>
    <row r="229" spans="1:6" ht="25.35" customHeight="1">
      <c r="A229" t="s">
        <v>1381</v>
      </c>
      <c r="B229" t="s">
        <v>1381</v>
      </c>
      <c r="C229" t="s">
        <v>3721</v>
      </c>
      <c r="D229" t="s">
        <v>3806</v>
      </c>
      <c r="E229" t="s">
        <v>3814</v>
      </c>
      <c r="F229" t="s">
        <v>1377</v>
      </c>
    </row>
    <row r="230" spans="1:6" ht="25.35" customHeight="1">
      <c r="A230" t="s">
        <v>3815</v>
      </c>
      <c r="B230" t="s">
        <v>3816</v>
      </c>
      <c r="C230" t="s">
        <v>1381</v>
      </c>
      <c r="D230" t="s">
        <v>3806</v>
      </c>
      <c r="E230" t="s">
        <v>3817</v>
      </c>
      <c r="F230" t="s">
        <v>1386</v>
      </c>
    </row>
    <row r="231" spans="1:6" ht="25.35" customHeight="1">
      <c r="A231" t="s">
        <v>3818</v>
      </c>
      <c r="B231" t="s">
        <v>3819</v>
      </c>
      <c r="C231" t="s">
        <v>3805</v>
      </c>
      <c r="D231" t="s">
        <v>3806</v>
      </c>
      <c r="E231" t="s">
        <v>3820</v>
      </c>
      <c r="F231" t="s">
        <v>1394</v>
      </c>
    </row>
    <row r="232" spans="1:6" ht="25.35" customHeight="1">
      <c r="A232" t="s">
        <v>3821</v>
      </c>
      <c r="B232" t="s">
        <v>3822</v>
      </c>
      <c r="C232" t="s">
        <v>3805</v>
      </c>
      <c r="D232" t="s">
        <v>3806</v>
      </c>
      <c r="E232" t="s">
        <v>3823</v>
      </c>
      <c r="F232" t="s">
        <v>1402</v>
      </c>
    </row>
    <row r="233" spans="1:6" ht="25.35" customHeight="1">
      <c r="A233" t="s">
        <v>1381</v>
      </c>
      <c r="B233" t="s">
        <v>1381</v>
      </c>
      <c r="C233" t="s">
        <v>3824</v>
      </c>
      <c r="D233" t="s">
        <v>3806</v>
      </c>
      <c r="E233" t="s">
        <v>3825</v>
      </c>
      <c r="F233" t="s">
        <v>1414</v>
      </c>
    </row>
    <row r="234" spans="1:6" ht="25.35" customHeight="1">
      <c r="A234" t="s">
        <v>3826</v>
      </c>
      <c r="B234" t="s">
        <v>3827</v>
      </c>
      <c r="C234" t="s">
        <v>3187</v>
      </c>
      <c r="D234" t="s">
        <v>3828</v>
      </c>
      <c r="E234" t="s">
        <v>3829</v>
      </c>
      <c r="F234" t="s">
        <v>1428</v>
      </c>
    </row>
    <row r="235" spans="1:6" ht="25.35" customHeight="1">
      <c r="A235" t="s">
        <v>3830</v>
      </c>
      <c r="B235" t="s">
        <v>3827</v>
      </c>
      <c r="C235" t="s">
        <v>3187</v>
      </c>
      <c r="D235" t="s">
        <v>3828</v>
      </c>
      <c r="E235" t="s">
        <v>3829</v>
      </c>
      <c r="F235" t="s">
        <v>1433</v>
      </c>
    </row>
    <row r="236" spans="1:6" ht="25.35" customHeight="1">
      <c r="A236" t="s">
        <v>3831</v>
      </c>
      <c r="B236" t="s">
        <v>3832</v>
      </c>
      <c r="C236" t="s">
        <v>3833</v>
      </c>
      <c r="D236" t="s">
        <v>3828</v>
      </c>
      <c r="E236" t="s">
        <v>3834</v>
      </c>
      <c r="F236" t="s">
        <v>1441</v>
      </c>
    </row>
    <row r="237" spans="1:6" ht="25.35" customHeight="1">
      <c r="A237" t="s">
        <v>3835</v>
      </c>
      <c r="B237" t="s">
        <v>3836</v>
      </c>
      <c r="C237" t="s">
        <v>1381</v>
      </c>
      <c r="D237" t="s">
        <v>3396</v>
      </c>
      <c r="E237" t="s">
        <v>3837</v>
      </c>
      <c r="F237" t="s">
        <v>1828</v>
      </c>
    </row>
    <row r="238" spans="1:6" ht="25.35" customHeight="1">
      <c r="A238" t="s">
        <v>3838</v>
      </c>
      <c r="B238" t="s">
        <v>3839</v>
      </c>
      <c r="C238" t="s">
        <v>1381</v>
      </c>
      <c r="D238" t="s">
        <v>3396</v>
      </c>
      <c r="E238" t="s">
        <v>3840</v>
      </c>
      <c r="F238" t="s">
        <v>1833</v>
      </c>
    </row>
    <row r="239" spans="1:6" ht="25.35" customHeight="1">
      <c r="A239" t="s">
        <v>3841</v>
      </c>
      <c r="B239" t="s">
        <v>3842</v>
      </c>
      <c r="C239" t="s">
        <v>1381</v>
      </c>
      <c r="D239" t="s">
        <v>3396</v>
      </c>
      <c r="E239" t="s">
        <v>3843</v>
      </c>
      <c r="F239" t="s">
        <v>1838</v>
      </c>
    </row>
    <row r="240" spans="1:6" ht="25.35" customHeight="1">
      <c r="A240" t="s">
        <v>3844</v>
      </c>
      <c r="B240" t="s">
        <v>533</v>
      </c>
      <c r="C240" t="s">
        <v>1381</v>
      </c>
      <c r="D240" t="s">
        <v>3396</v>
      </c>
      <c r="E240" t="s">
        <v>3845</v>
      </c>
      <c r="F240" t="s">
        <v>1843</v>
      </c>
    </row>
    <row r="241" spans="1:6" ht="25.35" customHeight="1">
      <c r="A241" t="s">
        <v>3846</v>
      </c>
      <c r="B241" t="s">
        <v>3847</v>
      </c>
      <c r="C241" t="s">
        <v>1381</v>
      </c>
      <c r="D241" t="s">
        <v>3426</v>
      </c>
      <c r="E241" t="s">
        <v>3848</v>
      </c>
      <c r="F241" t="s">
        <v>1847</v>
      </c>
    </row>
    <row r="242" spans="1:6" ht="25.35" customHeight="1">
      <c r="A242" t="s">
        <v>3849</v>
      </c>
      <c r="B242" t="s">
        <v>533</v>
      </c>
      <c r="C242" t="s">
        <v>1381</v>
      </c>
      <c r="D242" t="s">
        <v>3396</v>
      </c>
      <c r="E242" t="s">
        <v>3850</v>
      </c>
      <c r="F242" t="s">
        <v>1851</v>
      </c>
    </row>
    <row r="243" spans="1:6" ht="25.35" customHeight="1">
      <c r="A243" t="s">
        <v>3851</v>
      </c>
      <c r="B243" t="s">
        <v>3852</v>
      </c>
      <c r="C243" t="s">
        <v>3853</v>
      </c>
      <c r="D243" t="s">
        <v>3854</v>
      </c>
      <c r="E243" t="s">
        <v>3855</v>
      </c>
      <c r="F243" t="s">
        <v>3856</v>
      </c>
    </row>
    <row r="244" spans="1:6" ht="25.35" customHeight="1">
      <c r="A244" t="s">
        <v>3594</v>
      </c>
      <c r="B244" t="s">
        <v>3594</v>
      </c>
      <c r="C244" t="s">
        <v>3857</v>
      </c>
      <c r="D244" t="s">
        <v>3858</v>
      </c>
      <c r="E244" t="s">
        <v>3859</v>
      </c>
      <c r="F244" t="s">
        <v>3860</v>
      </c>
    </row>
    <row r="245" spans="1:6" ht="25.35" customHeight="1">
      <c r="A245" t="s">
        <v>3861</v>
      </c>
      <c r="B245" t="s">
        <v>3862</v>
      </c>
      <c r="C245" t="s">
        <v>3863</v>
      </c>
      <c r="D245" t="s">
        <v>3858</v>
      </c>
      <c r="E245" t="s">
        <v>3864</v>
      </c>
      <c r="F245" t="s">
        <v>1862</v>
      </c>
    </row>
    <row r="246" spans="1:6" ht="25.35" customHeight="1">
      <c r="A246" t="s">
        <v>3865</v>
      </c>
      <c r="B246" t="s">
        <v>3865</v>
      </c>
      <c r="C246" t="s">
        <v>3866</v>
      </c>
      <c r="D246" t="s">
        <v>3858</v>
      </c>
      <c r="E246" t="s">
        <v>3867</v>
      </c>
      <c r="F246" t="s">
        <v>1866</v>
      </c>
    </row>
    <row r="247" spans="1:6" ht="25.35" customHeight="1">
      <c r="A247" t="s">
        <v>3865</v>
      </c>
      <c r="B247" t="s">
        <v>3865</v>
      </c>
      <c r="C247" t="s">
        <v>3868</v>
      </c>
      <c r="D247" t="s">
        <v>3858</v>
      </c>
      <c r="E247" t="s">
        <v>3867</v>
      </c>
      <c r="F247" t="s">
        <v>1870</v>
      </c>
    </row>
    <row r="248" spans="1:6" ht="25.35" customHeight="1">
      <c r="A248" t="s">
        <v>3869</v>
      </c>
      <c r="B248" t="s">
        <v>3870</v>
      </c>
      <c r="C248" t="s">
        <v>1381</v>
      </c>
      <c r="D248" t="s">
        <v>3858</v>
      </c>
      <c r="E248" t="s">
        <v>3871</v>
      </c>
      <c r="F248" t="s">
        <v>1874</v>
      </c>
    </row>
    <row r="249" spans="1:6" ht="25.35" customHeight="1">
      <c r="A249" t="s">
        <v>3872</v>
      </c>
      <c r="B249" t="s">
        <v>3873</v>
      </c>
      <c r="C249" t="s">
        <v>3874</v>
      </c>
      <c r="D249" t="s">
        <v>3854</v>
      </c>
      <c r="E249" t="s">
        <v>3875</v>
      </c>
      <c r="F249" t="s">
        <v>1884</v>
      </c>
    </row>
    <row r="250" spans="1:6" ht="25.35" customHeight="1">
      <c r="A250" s="62" t="s">
        <v>3876</v>
      </c>
      <c r="B250" t="s">
        <v>3877</v>
      </c>
      <c r="C250" t="s">
        <v>3878</v>
      </c>
      <c r="D250" t="s">
        <v>3854</v>
      </c>
      <c r="E250" t="s">
        <v>3879</v>
      </c>
      <c r="F250" t="s">
        <v>2985</v>
      </c>
    </row>
    <row r="251" spans="1:6" ht="25.35" customHeight="1">
      <c r="A251" t="s">
        <v>3880</v>
      </c>
      <c r="B251" t="s">
        <v>3881</v>
      </c>
      <c r="C251" t="s">
        <v>3882</v>
      </c>
      <c r="D251" t="s">
        <v>3854</v>
      </c>
      <c r="E251" t="s">
        <v>3883</v>
      </c>
      <c r="F251" t="s">
        <v>2989</v>
      </c>
    </row>
    <row r="252" spans="1:6" ht="25.35" customHeight="1">
      <c r="A252" t="s">
        <v>3884</v>
      </c>
      <c r="B252" t="s">
        <v>3885</v>
      </c>
      <c r="C252" t="s">
        <v>3878</v>
      </c>
      <c r="D252" t="s">
        <v>3854</v>
      </c>
      <c r="E252" t="s">
        <v>3886</v>
      </c>
      <c r="F252" t="s">
        <v>2993</v>
      </c>
    </row>
    <row r="253" spans="1:6" ht="25.35" customHeight="1">
      <c r="A253" t="s">
        <v>3887</v>
      </c>
      <c r="B253" t="s">
        <v>3888</v>
      </c>
      <c r="C253" t="s">
        <v>3889</v>
      </c>
      <c r="D253" t="s">
        <v>3854</v>
      </c>
      <c r="E253" t="s">
        <v>3890</v>
      </c>
      <c r="F253" t="s">
        <v>3002</v>
      </c>
    </row>
    <row r="254" spans="1:6" ht="25.35" customHeight="1">
      <c r="A254" t="s">
        <v>3891</v>
      </c>
      <c r="B254" t="s">
        <v>3891</v>
      </c>
      <c r="C254" t="s">
        <v>3892</v>
      </c>
      <c r="D254" t="s">
        <v>3854</v>
      </c>
      <c r="E254" t="s">
        <v>3893</v>
      </c>
      <c r="F254" t="s">
        <v>3006</v>
      </c>
    </row>
    <row r="255" spans="1:6" ht="25.35" customHeight="1">
      <c r="A255" t="s">
        <v>533</v>
      </c>
      <c r="B255" t="s">
        <v>533</v>
      </c>
      <c r="C255" t="s">
        <v>3894</v>
      </c>
      <c r="D255" t="s">
        <v>3224</v>
      </c>
      <c r="E255" t="s">
        <v>3895</v>
      </c>
      <c r="F255" t="s">
        <v>3896</v>
      </c>
    </row>
    <row r="256" spans="1:6" ht="25.35" customHeight="1">
      <c r="A256" t="s">
        <v>533</v>
      </c>
      <c r="B256" t="s">
        <v>533</v>
      </c>
      <c r="C256" t="s">
        <v>3897</v>
      </c>
      <c r="D256" t="s">
        <v>3224</v>
      </c>
      <c r="E256" t="s">
        <v>3898</v>
      </c>
      <c r="F256" t="s">
        <v>1893</v>
      </c>
    </row>
    <row r="257" spans="1:6" ht="25.35" customHeight="1">
      <c r="A257" t="s">
        <v>533</v>
      </c>
      <c r="B257" t="s">
        <v>533</v>
      </c>
      <c r="C257" t="s">
        <v>3899</v>
      </c>
      <c r="D257" t="s">
        <v>3224</v>
      </c>
      <c r="E257" t="s">
        <v>3900</v>
      </c>
      <c r="F257" t="s">
        <v>1898</v>
      </c>
    </row>
    <row r="258" spans="1:6" ht="25.35" customHeight="1">
      <c r="A258" t="s">
        <v>533</v>
      </c>
      <c r="B258" t="s">
        <v>533</v>
      </c>
      <c r="C258" t="s">
        <v>3901</v>
      </c>
      <c r="D258" t="s">
        <v>3224</v>
      </c>
      <c r="E258" t="s">
        <v>3902</v>
      </c>
      <c r="F258" t="s">
        <v>1903</v>
      </c>
    </row>
    <row r="259" spans="1:6" ht="25.35" customHeight="1">
      <c r="A259" t="s">
        <v>533</v>
      </c>
      <c r="B259" t="s">
        <v>533</v>
      </c>
      <c r="C259" t="s">
        <v>3903</v>
      </c>
      <c r="D259" t="s">
        <v>3224</v>
      </c>
      <c r="E259" t="s">
        <v>3904</v>
      </c>
      <c r="F259" t="s">
        <v>1909</v>
      </c>
    </row>
    <row r="260" spans="1:6" ht="25.35" customHeight="1">
      <c r="A260" t="s">
        <v>533</v>
      </c>
      <c r="B260" t="s">
        <v>533</v>
      </c>
      <c r="C260" t="s">
        <v>3905</v>
      </c>
      <c r="D260" t="s">
        <v>3224</v>
      </c>
      <c r="E260" t="s">
        <v>3906</v>
      </c>
      <c r="F260" t="s">
        <v>1913</v>
      </c>
    </row>
    <row r="261" spans="1:6" ht="25.35" customHeight="1">
      <c r="A261" t="s">
        <v>533</v>
      </c>
      <c r="B261" t="s">
        <v>533</v>
      </c>
      <c r="C261" t="s">
        <v>3894</v>
      </c>
      <c r="D261" t="s">
        <v>3224</v>
      </c>
      <c r="E261" t="s">
        <v>3907</v>
      </c>
      <c r="F261" t="s">
        <v>1919</v>
      </c>
    </row>
    <row r="262" spans="1:6" ht="25.35" customHeight="1">
      <c r="A262" t="s">
        <v>533</v>
      </c>
      <c r="B262" t="s">
        <v>533</v>
      </c>
      <c r="C262" t="s">
        <v>3908</v>
      </c>
      <c r="D262" t="s">
        <v>3224</v>
      </c>
      <c r="E262" t="s">
        <v>3909</v>
      </c>
      <c r="F262" t="s">
        <v>1924</v>
      </c>
    </row>
    <row r="263" spans="1:6" ht="25.35" customHeight="1">
      <c r="A263" t="s">
        <v>533</v>
      </c>
      <c r="B263" t="s">
        <v>533</v>
      </c>
      <c r="C263" t="s">
        <v>3899</v>
      </c>
      <c r="D263" t="s">
        <v>3224</v>
      </c>
      <c r="E263" t="s">
        <v>3910</v>
      </c>
      <c r="F263" t="s">
        <v>1928</v>
      </c>
    </row>
    <row r="264" spans="1:6" ht="25.35" customHeight="1">
      <c r="A264" t="s">
        <v>533</v>
      </c>
      <c r="B264" t="s">
        <v>533</v>
      </c>
      <c r="C264" t="s">
        <v>3911</v>
      </c>
      <c r="D264" t="s">
        <v>3224</v>
      </c>
      <c r="E264" t="s">
        <v>3912</v>
      </c>
      <c r="F264" t="s">
        <v>1932</v>
      </c>
    </row>
    <row r="265" spans="1:6" ht="25.35" customHeight="1">
      <c r="A265" t="s">
        <v>533</v>
      </c>
      <c r="B265" t="s">
        <v>533</v>
      </c>
      <c r="C265" t="s">
        <v>3894</v>
      </c>
      <c r="D265" t="s">
        <v>3224</v>
      </c>
      <c r="E265" t="s">
        <v>3913</v>
      </c>
      <c r="F265" t="s">
        <v>1936</v>
      </c>
    </row>
    <row r="266" spans="1:6" ht="25.35" customHeight="1">
      <c r="A266" t="s">
        <v>533</v>
      </c>
      <c r="B266" t="s">
        <v>533</v>
      </c>
      <c r="C266" t="s">
        <v>3901</v>
      </c>
      <c r="D266" t="s">
        <v>3224</v>
      </c>
      <c r="E266" t="s">
        <v>3914</v>
      </c>
      <c r="F266" t="s">
        <v>1940</v>
      </c>
    </row>
    <row r="267" spans="1:6" ht="25.35" customHeight="1">
      <c r="A267" t="s">
        <v>533</v>
      </c>
      <c r="B267" t="s">
        <v>533</v>
      </c>
      <c r="C267" t="s">
        <v>3901</v>
      </c>
      <c r="D267" t="s">
        <v>3224</v>
      </c>
      <c r="E267" t="s">
        <v>3915</v>
      </c>
      <c r="F267" t="s">
        <v>1941</v>
      </c>
    </row>
    <row r="268" spans="1:6" ht="25.35" customHeight="1">
      <c r="A268" t="s">
        <v>533</v>
      </c>
      <c r="B268" t="s">
        <v>533</v>
      </c>
      <c r="C268" t="s">
        <v>3901</v>
      </c>
      <c r="D268" t="s">
        <v>3224</v>
      </c>
      <c r="E268" t="s">
        <v>3915</v>
      </c>
      <c r="F268" t="s">
        <v>1941</v>
      </c>
    </row>
    <row r="269" spans="1:6" ht="25.35" customHeight="1">
      <c r="A269" t="s">
        <v>533</v>
      </c>
      <c r="B269" t="s">
        <v>533</v>
      </c>
      <c r="C269" t="s">
        <v>3894</v>
      </c>
      <c r="D269" t="s">
        <v>3224</v>
      </c>
      <c r="E269" t="s">
        <v>3916</v>
      </c>
      <c r="F269" t="s">
        <v>3917</v>
      </c>
    </row>
    <row r="270" spans="1:6" ht="25.35" customHeight="1">
      <c r="A270" t="s">
        <v>533</v>
      </c>
      <c r="B270" t="s">
        <v>533</v>
      </c>
      <c r="C270" t="s">
        <v>3894</v>
      </c>
      <c r="D270" t="s">
        <v>3224</v>
      </c>
      <c r="E270" t="s">
        <v>3918</v>
      </c>
      <c r="F270" t="s">
        <v>3919</v>
      </c>
    </row>
    <row r="271" spans="1:6" ht="25.35" customHeight="1">
      <c r="A271" t="s">
        <v>533</v>
      </c>
      <c r="B271" t="s">
        <v>533</v>
      </c>
      <c r="C271" t="s">
        <v>3901</v>
      </c>
      <c r="D271" t="s">
        <v>3224</v>
      </c>
      <c r="E271" t="s">
        <v>3920</v>
      </c>
      <c r="F271" t="s">
        <v>1945</v>
      </c>
    </row>
    <row r="272" spans="1:6" ht="25.35" customHeight="1">
      <c r="A272" t="s">
        <v>533</v>
      </c>
      <c r="B272" t="s">
        <v>533</v>
      </c>
      <c r="C272" t="s">
        <v>3894</v>
      </c>
      <c r="D272" t="s">
        <v>3224</v>
      </c>
      <c r="E272" t="s">
        <v>3921</v>
      </c>
      <c r="F272" t="s">
        <v>1947</v>
      </c>
    </row>
    <row r="273" spans="1:6" ht="25.35" customHeight="1">
      <c r="A273" t="s">
        <v>533</v>
      </c>
      <c r="B273" t="s">
        <v>533</v>
      </c>
      <c r="C273" t="s">
        <v>3922</v>
      </c>
      <c r="D273" t="s">
        <v>3224</v>
      </c>
      <c r="E273" t="s">
        <v>3923</v>
      </c>
      <c r="F273" t="s">
        <v>1949</v>
      </c>
    </row>
    <row r="274" spans="1:6" ht="25.35" customHeight="1">
      <c r="A274" t="s">
        <v>533</v>
      </c>
      <c r="B274" t="s">
        <v>533</v>
      </c>
      <c r="C274" t="s">
        <v>3901</v>
      </c>
      <c r="D274" t="s">
        <v>3224</v>
      </c>
      <c r="E274" t="s">
        <v>3924</v>
      </c>
      <c r="F274" t="s">
        <v>1953</v>
      </c>
    </row>
    <row r="275" spans="1:6" ht="25.35" customHeight="1">
      <c r="A275" t="s">
        <v>533</v>
      </c>
      <c r="B275" t="s">
        <v>533</v>
      </c>
      <c r="C275" t="s">
        <v>3925</v>
      </c>
      <c r="D275" t="s">
        <v>3224</v>
      </c>
      <c r="E275" t="s">
        <v>3926</v>
      </c>
      <c r="F275" t="s">
        <v>1955</v>
      </c>
    </row>
    <row r="276" spans="1:6" ht="25.35" customHeight="1">
      <c r="A276" t="s">
        <v>533</v>
      </c>
      <c r="B276" t="s">
        <v>533</v>
      </c>
      <c r="C276" t="s">
        <v>3925</v>
      </c>
      <c r="D276" t="s">
        <v>3224</v>
      </c>
      <c r="E276" t="s">
        <v>3927</v>
      </c>
      <c r="F276" t="s">
        <v>1960</v>
      </c>
    </row>
    <row r="277" spans="1:6" ht="25.35" customHeight="1">
      <c r="A277" t="s">
        <v>533</v>
      </c>
      <c r="B277" t="s">
        <v>533</v>
      </c>
      <c r="C277" t="s">
        <v>3928</v>
      </c>
      <c r="D277" t="s">
        <v>3224</v>
      </c>
      <c r="E277" t="s">
        <v>3929</v>
      </c>
      <c r="F277" t="s">
        <v>1963</v>
      </c>
    </row>
    <row r="278" spans="1:6" ht="25.35" customHeight="1">
      <c r="A278" t="s">
        <v>533</v>
      </c>
      <c r="B278" t="s">
        <v>533</v>
      </c>
      <c r="C278" t="s">
        <v>3901</v>
      </c>
      <c r="D278" t="s">
        <v>3224</v>
      </c>
      <c r="E278" t="s">
        <v>3924</v>
      </c>
      <c r="F278" t="s">
        <v>1967</v>
      </c>
    </row>
    <row r="279" spans="1:6" ht="25.35" customHeight="1">
      <c r="A279" t="s">
        <v>533</v>
      </c>
      <c r="B279" t="s">
        <v>533</v>
      </c>
      <c r="C279" t="s">
        <v>3930</v>
      </c>
      <c r="D279" t="s">
        <v>3224</v>
      </c>
      <c r="E279" t="s">
        <v>3931</v>
      </c>
      <c r="F279" t="s">
        <v>3932</v>
      </c>
    </row>
    <row r="280" spans="1:6" ht="25.35" customHeight="1">
      <c r="A280" t="s">
        <v>533</v>
      </c>
      <c r="B280" t="s">
        <v>533</v>
      </c>
      <c r="C280" t="s">
        <v>3901</v>
      </c>
      <c r="D280" t="s">
        <v>3224</v>
      </c>
      <c r="E280" t="s">
        <v>3933</v>
      </c>
      <c r="F280" t="s">
        <v>1974</v>
      </c>
    </row>
    <row r="281" spans="1:6" ht="25.35" customHeight="1">
      <c r="A281" t="s">
        <v>533</v>
      </c>
      <c r="B281" t="s">
        <v>533</v>
      </c>
      <c r="C281" t="s">
        <v>3901</v>
      </c>
      <c r="D281" t="s">
        <v>3224</v>
      </c>
      <c r="E281" t="s">
        <v>3924</v>
      </c>
      <c r="F281" t="s">
        <v>1977</v>
      </c>
    </row>
    <row r="282" spans="1:6" ht="25.35" customHeight="1">
      <c r="A282" t="s">
        <v>533</v>
      </c>
      <c r="B282" t="s">
        <v>533</v>
      </c>
      <c r="C282" t="s">
        <v>3934</v>
      </c>
      <c r="D282" t="s">
        <v>3224</v>
      </c>
      <c r="E282" t="s">
        <v>3935</v>
      </c>
      <c r="F282" t="s">
        <v>1980</v>
      </c>
    </row>
    <row r="283" spans="1:6" ht="25.35" customHeight="1">
      <c r="A283" t="s">
        <v>533</v>
      </c>
      <c r="B283" t="s">
        <v>533</v>
      </c>
      <c r="C283" t="s">
        <v>3936</v>
      </c>
      <c r="D283" t="s">
        <v>3224</v>
      </c>
      <c r="E283" t="s">
        <v>3937</v>
      </c>
      <c r="F283" t="s">
        <v>1985</v>
      </c>
    </row>
    <row r="284" spans="1:6" ht="25.35" customHeight="1">
      <c r="A284" t="s">
        <v>533</v>
      </c>
      <c r="B284" t="s">
        <v>533</v>
      </c>
      <c r="C284" t="s">
        <v>3901</v>
      </c>
      <c r="D284" t="s">
        <v>3224</v>
      </c>
      <c r="E284" t="s">
        <v>3924</v>
      </c>
      <c r="F284" t="s">
        <v>1989</v>
      </c>
    </row>
    <row r="285" spans="1:6" ht="25.35" customHeight="1">
      <c r="A285" t="s">
        <v>533</v>
      </c>
      <c r="B285" t="s">
        <v>533</v>
      </c>
      <c r="C285" t="s">
        <v>3894</v>
      </c>
      <c r="D285" t="s">
        <v>3224</v>
      </c>
      <c r="E285" t="s">
        <v>3938</v>
      </c>
      <c r="F285" t="s">
        <v>1991</v>
      </c>
    </row>
    <row r="286" spans="1:6" ht="25.35" customHeight="1">
      <c r="A286" t="s">
        <v>533</v>
      </c>
      <c r="B286" t="s">
        <v>533</v>
      </c>
      <c r="C286" t="s">
        <v>3939</v>
      </c>
      <c r="D286" t="s">
        <v>3224</v>
      </c>
      <c r="E286" t="s">
        <v>3940</v>
      </c>
      <c r="F286" t="s">
        <v>1994</v>
      </c>
    </row>
    <row r="287" spans="1:6" ht="25.35" customHeight="1">
      <c r="A287" t="s">
        <v>533</v>
      </c>
      <c r="B287" t="s">
        <v>533</v>
      </c>
      <c r="C287" t="s">
        <v>3901</v>
      </c>
      <c r="D287" t="s">
        <v>3224</v>
      </c>
      <c r="E287" t="s">
        <v>3924</v>
      </c>
      <c r="F287" t="s">
        <v>1998</v>
      </c>
    </row>
    <row r="288" spans="1:6" ht="25.35" customHeight="1">
      <c r="A288" t="s">
        <v>533</v>
      </c>
      <c r="B288" t="s">
        <v>533</v>
      </c>
      <c r="C288" t="s">
        <v>3941</v>
      </c>
      <c r="D288" t="s">
        <v>3224</v>
      </c>
      <c r="E288" t="s">
        <v>3942</v>
      </c>
      <c r="F288" t="s">
        <v>2000</v>
      </c>
    </row>
    <row r="289" spans="1:6" ht="25.35" customHeight="1">
      <c r="A289" t="s">
        <v>533</v>
      </c>
      <c r="B289" t="s">
        <v>533</v>
      </c>
      <c r="C289" t="s">
        <v>3928</v>
      </c>
      <c r="D289" t="s">
        <v>3224</v>
      </c>
      <c r="E289" t="s">
        <v>3943</v>
      </c>
      <c r="F289" t="s">
        <v>2005</v>
      </c>
    </row>
    <row r="290" spans="1:6" ht="25.35" customHeight="1">
      <c r="A290" t="s">
        <v>533</v>
      </c>
      <c r="B290" t="s">
        <v>533</v>
      </c>
      <c r="C290" t="s">
        <v>3944</v>
      </c>
      <c r="D290" t="s">
        <v>3224</v>
      </c>
      <c r="E290" t="s">
        <v>3924</v>
      </c>
      <c r="F290" t="s">
        <v>2008</v>
      </c>
    </row>
    <row r="291" spans="1:6" ht="25.35" customHeight="1">
      <c r="A291" t="s">
        <v>533</v>
      </c>
      <c r="B291" t="s">
        <v>533</v>
      </c>
      <c r="C291" t="s">
        <v>3894</v>
      </c>
      <c r="D291" t="s">
        <v>3224</v>
      </c>
      <c r="E291" t="s">
        <v>3945</v>
      </c>
      <c r="F291" t="s">
        <v>2011</v>
      </c>
    </row>
    <row r="292" spans="1:6" ht="25.35" customHeight="1">
      <c r="A292" t="s">
        <v>533</v>
      </c>
      <c r="B292" t="s">
        <v>533</v>
      </c>
      <c r="C292" t="s">
        <v>3934</v>
      </c>
      <c r="D292" t="s">
        <v>3224</v>
      </c>
      <c r="E292" t="s">
        <v>3946</v>
      </c>
      <c r="F292" t="s">
        <v>2011</v>
      </c>
    </row>
    <row r="293" spans="1:6" ht="25.35" customHeight="1">
      <c r="A293" t="s">
        <v>533</v>
      </c>
      <c r="B293" t="s">
        <v>533</v>
      </c>
      <c r="C293" t="s">
        <v>3934</v>
      </c>
      <c r="D293" t="s">
        <v>3224</v>
      </c>
      <c r="E293" t="s">
        <v>3947</v>
      </c>
      <c r="F293" t="s">
        <v>2011</v>
      </c>
    </row>
    <row r="294" spans="1:6" ht="25.35" customHeight="1">
      <c r="A294" t="s">
        <v>533</v>
      </c>
      <c r="B294" t="s">
        <v>533</v>
      </c>
      <c r="C294" t="s">
        <v>3901</v>
      </c>
      <c r="D294" t="s">
        <v>3224</v>
      </c>
      <c r="E294" t="s">
        <v>3948</v>
      </c>
      <c r="F294" t="s">
        <v>2017</v>
      </c>
    </row>
    <row r="295" spans="1:6" ht="25.35" customHeight="1">
      <c r="A295" t="s">
        <v>533</v>
      </c>
      <c r="B295" t="s">
        <v>533</v>
      </c>
      <c r="C295" t="s">
        <v>3949</v>
      </c>
      <c r="D295" t="s">
        <v>3224</v>
      </c>
      <c r="E295" t="s">
        <v>3950</v>
      </c>
      <c r="F295" t="s">
        <v>2020</v>
      </c>
    </row>
    <row r="296" spans="1:6" ht="25.35" customHeight="1">
      <c r="A296" t="s">
        <v>533</v>
      </c>
      <c r="B296" t="s">
        <v>533</v>
      </c>
      <c r="C296" t="s">
        <v>3901</v>
      </c>
      <c r="D296" t="s">
        <v>3224</v>
      </c>
      <c r="E296" t="s">
        <v>3924</v>
      </c>
      <c r="F296" t="s">
        <v>2025</v>
      </c>
    </row>
    <row r="297" spans="1:6" ht="25.35" customHeight="1">
      <c r="A297" t="s">
        <v>533</v>
      </c>
      <c r="B297" t="s">
        <v>533</v>
      </c>
      <c r="C297" t="s">
        <v>3901</v>
      </c>
      <c r="D297" t="s">
        <v>3224</v>
      </c>
      <c r="E297" t="s">
        <v>3951</v>
      </c>
      <c r="F297" t="s">
        <v>2027</v>
      </c>
    </row>
    <row r="298" spans="1:6" ht="25.35" customHeight="1">
      <c r="A298" t="s">
        <v>533</v>
      </c>
      <c r="B298" t="s">
        <v>533</v>
      </c>
      <c r="C298" t="s">
        <v>3934</v>
      </c>
      <c r="D298" t="s">
        <v>3224</v>
      </c>
      <c r="E298" t="s">
        <v>3952</v>
      </c>
      <c r="F298" t="s">
        <v>2030</v>
      </c>
    </row>
    <row r="299" spans="1:6" ht="25.35" customHeight="1">
      <c r="A299" t="s">
        <v>533</v>
      </c>
      <c r="B299" t="s">
        <v>533</v>
      </c>
      <c r="C299" t="s">
        <v>3928</v>
      </c>
      <c r="D299" t="s">
        <v>3224</v>
      </c>
      <c r="E299" t="s">
        <v>3953</v>
      </c>
      <c r="F299" t="s">
        <v>2034</v>
      </c>
    </row>
    <row r="300" spans="1:6" ht="25.35" customHeight="1">
      <c r="A300" t="s">
        <v>533</v>
      </c>
      <c r="B300" t="s">
        <v>533</v>
      </c>
      <c r="C300" t="s">
        <v>3944</v>
      </c>
      <c r="D300" t="s">
        <v>3224</v>
      </c>
      <c r="E300" t="s">
        <v>3954</v>
      </c>
      <c r="F300" t="s">
        <v>2040</v>
      </c>
    </row>
    <row r="301" spans="1:6" ht="25.35" customHeight="1">
      <c r="A301" t="s">
        <v>533</v>
      </c>
      <c r="B301" t="s">
        <v>533</v>
      </c>
      <c r="C301" t="s">
        <v>3901</v>
      </c>
      <c r="D301" t="s">
        <v>3224</v>
      </c>
      <c r="E301" t="s">
        <v>3955</v>
      </c>
      <c r="F301" t="s">
        <v>2043</v>
      </c>
    </row>
    <row r="302" spans="1:6" ht="25.35" customHeight="1">
      <c r="A302" t="s">
        <v>533</v>
      </c>
      <c r="B302" t="s">
        <v>533</v>
      </c>
      <c r="C302" t="s">
        <v>3944</v>
      </c>
      <c r="D302" t="s">
        <v>3224</v>
      </c>
      <c r="E302" t="s">
        <v>3956</v>
      </c>
      <c r="F302" t="s">
        <v>2046</v>
      </c>
    </row>
    <row r="303" spans="1:6" ht="25.35" customHeight="1">
      <c r="A303" t="s">
        <v>533</v>
      </c>
      <c r="B303" t="s">
        <v>533</v>
      </c>
      <c r="C303" t="s">
        <v>3922</v>
      </c>
      <c r="D303" t="s">
        <v>3224</v>
      </c>
      <c r="E303" t="s">
        <v>3957</v>
      </c>
      <c r="F303" t="s">
        <v>2049</v>
      </c>
    </row>
    <row r="304" spans="1:6" ht="25.35" customHeight="1">
      <c r="A304" t="s">
        <v>533</v>
      </c>
      <c r="B304" t="s">
        <v>533</v>
      </c>
      <c r="C304" t="s">
        <v>3944</v>
      </c>
      <c r="D304" t="s">
        <v>3224</v>
      </c>
      <c r="E304" t="s">
        <v>3951</v>
      </c>
      <c r="F304" t="s">
        <v>2053</v>
      </c>
    </row>
    <row r="305" spans="1:6" ht="25.35" customHeight="1">
      <c r="A305" t="s">
        <v>533</v>
      </c>
      <c r="B305" t="s">
        <v>533</v>
      </c>
      <c r="C305" t="s">
        <v>3901</v>
      </c>
      <c r="D305" t="s">
        <v>3224</v>
      </c>
      <c r="E305" t="s">
        <v>3958</v>
      </c>
      <c r="F305" t="s">
        <v>2056</v>
      </c>
    </row>
    <row r="306" spans="1:6" ht="25.35" customHeight="1">
      <c r="A306" t="s">
        <v>533</v>
      </c>
      <c r="B306" t="s">
        <v>533</v>
      </c>
      <c r="C306" t="s">
        <v>3959</v>
      </c>
      <c r="D306" t="s">
        <v>3224</v>
      </c>
      <c r="E306" t="s">
        <v>3960</v>
      </c>
      <c r="F306" t="s">
        <v>2059</v>
      </c>
    </row>
    <row r="307" spans="1:6" ht="25.35" customHeight="1">
      <c r="A307" t="s">
        <v>533</v>
      </c>
      <c r="B307" t="s">
        <v>533</v>
      </c>
      <c r="C307" t="s">
        <v>3901</v>
      </c>
      <c r="D307" t="s">
        <v>3224</v>
      </c>
      <c r="E307" t="s">
        <v>3961</v>
      </c>
      <c r="F307" t="s">
        <v>2064</v>
      </c>
    </row>
    <row r="308" spans="1:6" ht="25.35" customHeight="1">
      <c r="A308" t="s">
        <v>533</v>
      </c>
      <c r="B308" t="s">
        <v>533</v>
      </c>
      <c r="C308" t="s">
        <v>3962</v>
      </c>
      <c r="D308" t="s">
        <v>3224</v>
      </c>
      <c r="E308" t="s">
        <v>3963</v>
      </c>
      <c r="F308" t="s">
        <v>2067</v>
      </c>
    </row>
    <row r="309" spans="1:6" ht="25.35" customHeight="1">
      <c r="A309" t="s">
        <v>533</v>
      </c>
      <c r="B309" t="s">
        <v>533</v>
      </c>
      <c r="C309" t="s">
        <v>3894</v>
      </c>
      <c r="D309" t="s">
        <v>3224</v>
      </c>
      <c r="E309" t="s">
        <v>3964</v>
      </c>
      <c r="F309" t="s">
        <v>2071</v>
      </c>
    </row>
    <row r="310" spans="1:6" ht="25.35" customHeight="1">
      <c r="A310" t="s">
        <v>533</v>
      </c>
      <c r="B310" t="s">
        <v>533</v>
      </c>
      <c r="C310" t="s">
        <v>3959</v>
      </c>
      <c r="D310" t="s">
        <v>3224</v>
      </c>
      <c r="E310" t="s">
        <v>3965</v>
      </c>
      <c r="F310" t="s">
        <v>2074</v>
      </c>
    </row>
    <row r="311" spans="1:6" ht="25.35" customHeight="1">
      <c r="A311" t="s">
        <v>533</v>
      </c>
      <c r="B311" t="s">
        <v>533</v>
      </c>
      <c r="C311" t="s">
        <v>3966</v>
      </c>
      <c r="D311" t="s">
        <v>3224</v>
      </c>
      <c r="E311" t="s">
        <v>3967</v>
      </c>
      <c r="F311" t="s">
        <v>2078</v>
      </c>
    </row>
    <row r="312" spans="1:6" ht="25.35" customHeight="1">
      <c r="A312" t="s">
        <v>533</v>
      </c>
      <c r="B312" t="s">
        <v>533</v>
      </c>
      <c r="C312" t="s">
        <v>3894</v>
      </c>
      <c r="D312" t="s">
        <v>3224</v>
      </c>
      <c r="E312" t="s">
        <v>3968</v>
      </c>
      <c r="F312" t="s">
        <v>2083</v>
      </c>
    </row>
    <row r="313" spans="1:6" ht="25.35" customHeight="1">
      <c r="A313" t="s">
        <v>533</v>
      </c>
      <c r="B313" t="s">
        <v>533</v>
      </c>
      <c r="C313" t="s">
        <v>3966</v>
      </c>
      <c r="D313" t="s">
        <v>3224</v>
      </c>
      <c r="E313" t="s">
        <v>3967</v>
      </c>
      <c r="F313" t="s">
        <v>2086</v>
      </c>
    </row>
    <row r="314" spans="1:6" ht="25.35" customHeight="1">
      <c r="A314" t="s">
        <v>533</v>
      </c>
      <c r="B314" t="s">
        <v>533</v>
      </c>
      <c r="C314" t="s">
        <v>3966</v>
      </c>
      <c r="D314" t="s">
        <v>3224</v>
      </c>
      <c r="E314" t="s">
        <v>3969</v>
      </c>
      <c r="F314" t="s">
        <v>2090</v>
      </c>
    </row>
    <row r="315" spans="1:6" ht="25.35" customHeight="1">
      <c r="A315" t="s">
        <v>533</v>
      </c>
      <c r="B315" t="s">
        <v>533</v>
      </c>
      <c r="C315" t="s">
        <v>3966</v>
      </c>
      <c r="D315" t="s">
        <v>3224</v>
      </c>
      <c r="E315" t="s">
        <v>3967</v>
      </c>
      <c r="F315" t="s">
        <v>2093</v>
      </c>
    </row>
    <row r="316" spans="1:6" ht="25.35" customHeight="1">
      <c r="A316" t="s">
        <v>533</v>
      </c>
      <c r="B316" t="s">
        <v>533</v>
      </c>
      <c r="C316" t="s">
        <v>3944</v>
      </c>
      <c r="D316" t="s">
        <v>3224</v>
      </c>
      <c r="E316" t="s">
        <v>3958</v>
      </c>
      <c r="F316" t="s">
        <v>2097</v>
      </c>
    </row>
    <row r="317" spans="1:6" ht="25.35" customHeight="1">
      <c r="A317" t="s">
        <v>533</v>
      </c>
      <c r="B317" t="s">
        <v>533</v>
      </c>
      <c r="C317" t="s">
        <v>3901</v>
      </c>
      <c r="D317" t="s">
        <v>3224</v>
      </c>
      <c r="E317" t="s">
        <v>3970</v>
      </c>
      <c r="F317" t="s">
        <v>2100</v>
      </c>
    </row>
    <row r="318" spans="1:6" ht="25.35" customHeight="1">
      <c r="A318" t="s">
        <v>533</v>
      </c>
      <c r="B318" t="s">
        <v>533</v>
      </c>
      <c r="C318" t="s">
        <v>3894</v>
      </c>
      <c r="D318" t="s">
        <v>3224</v>
      </c>
      <c r="E318" t="s">
        <v>3971</v>
      </c>
      <c r="F318" t="s">
        <v>2102</v>
      </c>
    </row>
    <row r="319" spans="1:6" ht="25.35" customHeight="1">
      <c r="A319" t="s">
        <v>533</v>
      </c>
      <c r="B319" t="s">
        <v>533</v>
      </c>
      <c r="C319" t="s">
        <v>3894</v>
      </c>
      <c r="D319" t="s">
        <v>3224</v>
      </c>
      <c r="E319" t="s">
        <v>3972</v>
      </c>
      <c r="F319" t="s">
        <v>2105</v>
      </c>
    </row>
    <row r="320" spans="1:6" ht="25.35" customHeight="1">
      <c r="A320" t="s">
        <v>533</v>
      </c>
      <c r="B320" t="s">
        <v>533</v>
      </c>
      <c r="C320" t="s">
        <v>3973</v>
      </c>
      <c r="D320" t="s">
        <v>3224</v>
      </c>
      <c r="E320" t="s">
        <v>3974</v>
      </c>
      <c r="F320" t="s">
        <v>3975</v>
      </c>
    </row>
    <row r="321" spans="1:6" ht="25.35" customHeight="1">
      <c r="A321" t="s">
        <v>533</v>
      </c>
      <c r="B321" t="s">
        <v>533</v>
      </c>
      <c r="C321" t="s">
        <v>3934</v>
      </c>
      <c r="D321" t="s">
        <v>3224</v>
      </c>
      <c r="E321" t="s">
        <v>3976</v>
      </c>
      <c r="F321" t="s">
        <v>3977</v>
      </c>
    </row>
    <row r="322" spans="1:6" ht="25.35" customHeight="1">
      <c r="A322" t="s">
        <v>3978</v>
      </c>
      <c r="B322" t="s">
        <v>3979</v>
      </c>
      <c r="C322" t="s">
        <v>3980</v>
      </c>
      <c r="D322" t="s">
        <v>3981</v>
      </c>
      <c r="F322" t="s">
        <v>2108</v>
      </c>
    </row>
    <row r="323" spans="1:6" ht="25.35" customHeight="1">
      <c r="A323" t="s">
        <v>3594</v>
      </c>
      <c r="B323" t="s">
        <v>3594</v>
      </c>
      <c r="C323" t="s">
        <v>3982</v>
      </c>
      <c r="D323" t="s">
        <v>3983</v>
      </c>
      <c r="E323" t="s">
        <v>3984</v>
      </c>
      <c r="F323" t="s">
        <v>2127</v>
      </c>
    </row>
    <row r="324" spans="1:6" ht="25.35" customHeight="1">
      <c r="A324" t="s">
        <v>533</v>
      </c>
      <c r="B324" t="s">
        <v>533</v>
      </c>
      <c r="C324" t="s">
        <v>533</v>
      </c>
      <c r="D324" t="s">
        <v>3983</v>
      </c>
      <c r="E324" t="s">
        <v>3985</v>
      </c>
      <c r="F324" t="s">
        <v>2141</v>
      </c>
    </row>
    <row r="325" spans="1:6" ht="25.35" customHeight="1">
      <c r="A325" t="s">
        <v>3986</v>
      </c>
      <c r="B325" t="s">
        <v>3987</v>
      </c>
      <c r="C325" t="s">
        <v>3988</v>
      </c>
      <c r="D325" t="s">
        <v>3983</v>
      </c>
      <c r="E325" t="s">
        <v>3989</v>
      </c>
      <c r="F325" t="s">
        <v>2146</v>
      </c>
    </row>
    <row r="326" spans="1:6" ht="25.35" customHeight="1">
      <c r="A326" t="s">
        <v>3986</v>
      </c>
      <c r="B326" t="s">
        <v>3987</v>
      </c>
      <c r="C326" t="s">
        <v>3988</v>
      </c>
      <c r="D326" t="s">
        <v>3983</v>
      </c>
      <c r="E326" t="s">
        <v>3989</v>
      </c>
      <c r="F326" t="s">
        <v>2146</v>
      </c>
    </row>
    <row r="327" spans="1:6" ht="25.35" customHeight="1">
      <c r="A327" t="s">
        <v>3990</v>
      </c>
      <c r="B327" t="s">
        <v>3991</v>
      </c>
      <c r="C327" t="s">
        <v>3992</v>
      </c>
      <c r="D327" t="s">
        <v>3983</v>
      </c>
      <c r="E327" t="s">
        <v>3993</v>
      </c>
      <c r="F327" t="s">
        <v>2163</v>
      </c>
    </row>
    <row r="328" spans="1:6" ht="25.35" customHeight="1">
      <c r="A328" t="s">
        <v>3994</v>
      </c>
      <c r="B328" t="s">
        <v>3995</v>
      </c>
      <c r="C328" t="s">
        <v>3988</v>
      </c>
      <c r="D328" t="s">
        <v>3983</v>
      </c>
      <c r="E328" t="s">
        <v>3996</v>
      </c>
      <c r="F328" t="s">
        <v>2173</v>
      </c>
    </row>
    <row r="329" spans="1:6" ht="25.35" customHeight="1">
      <c r="A329" t="s">
        <v>3994</v>
      </c>
      <c r="B329" t="s">
        <v>3995</v>
      </c>
      <c r="C329" t="s">
        <v>3988</v>
      </c>
      <c r="D329" t="s">
        <v>3983</v>
      </c>
      <c r="E329" t="s">
        <v>3996</v>
      </c>
      <c r="F329" t="s">
        <v>2173</v>
      </c>
    </row>
    <row r="330" spans="1:6" ht="25.35" customHeight="1">
      <c r="A330" t="s">
        <v>3997</v>
      </c>
      <c r="B330" t="s">
        <v>3995</v>
      </c>
      <c r="C330" t="s">
        <v>3988</v>
      </c>
      <c r="D330" t="s">
        <v>3983</v>
      </c>
      <c r="E330" t="s">
        <v>3998</v>
      </c>
      <c r="F330" t="s">
        <v>2176</v>
      </c>
    </row>
    <row r="331" spans="1:6" ht="25.35" customHeight="1">
      <c r="A331" t="s">
        <v>3997</v>
      </c>
      <c r="B331" t="s">
        <v>3995</v>
      </c>
      <c r="C331" t="s">
        <v>3988</v>
      </c>
      <c r="D331" t="s">
        <v>3983</v>
      </c>
      <c r="E331" t="s">
        <v>3998</v>
      </c>
      <c r="F331" t="s">
        <v>2176</v>
      </c>
    </row>
    <row r="332" spans="1:6" ht="25.35" customHeight="1">
      <c r="A332" t="s">
        <v>3999</v>
      </c>
      <c r="B332" t="s">
        <v>4000</v>
      </c>
      <c r="C332" t="s">
        <v>4001</v>
      </c>
      <c r="D332" t="s">
        <v>3983</v>
      </c>
      <c r="E332" t="s">
        <v>3196</v>
      </c>
      <c r="F332" t="s">
        <v>2153</v>
      </c>
    </row>
    <row r="333" spans="1:6" ht="25.35" customHeight="1">
      <c r="A333" t="s">
        <v>4002</v>
      </c>
      <c r="B333" t="s">
        <v>4003</v>
      </c>
      <c r="C333" t="s">
        <v>4004</v>
      </c>
      <c r="D333" t="s">
        <v>4005</v>
      </c>
      <c r="E333" t="s">
        <v>4006</v>
      </c>
      <c r="F333" t="s">
        <v>2187</v>
      </c>
    </row>
    <row r="334" spans="1:6" ht="25.35" customHeight="1">
      <c r="A334" t="s">
        <v>4007</v>
      </c>
      <c r="B334" t="s">
        <v>4008</v>
      </c>
      <c r="C334" t="s">
        <v>4009</v>
      </c>
      <c r="D334" t="s">
        <v>4010</v>
      </c>
      <c r="F334" t="s">
        <v>4011</v>
      </c>
    </row>
    <row r="335" spans="1:6" ht="25.35" customHeight="1">
      <c r="A335" t="s">
        <v>4012</v>
      </c>
      <c r="B335" t="s">
        <v>4013</v>
      </c>
      <c r="C335" t="s">
        <v>4014</v>
      </c>
      <c r="D335" t="s">
        <v>4015</v>
      </c>
      <c r="F335" t="s">
        <v>4016</v>
      </c>
    </row>
    <row r="336" spans="1:6" ht="25.35" customHeight="1">
      <c r="A336" t="s">
        <v>4017</v>
      </c>
      <c r="B336" t="s">
        <v>4017</v>
      </c>
      <c r="C336" t="s">
        <v>4018</v>
      </c>
      <c r="D336" t="s">
        <v>4019</v>
      </c>
      <c r="F336" t="s">
        <v>3135</v>
      </c>
    </row>
    <row r="337" spans="1:6" ht="25.35" customHeight="1">
      <c r="A337" t="s">
        <v>4020</v>
      </c>
      <c r="B337" t="s">
        <v>4021</v>
      </c>
      <c r="C337" t="s">
        <v>4014</v>
      </c>
      <c r="D337" t="s">
        <v>4022</v>
      </c>
      <c r="F337" t="s">
        <v>3140</v>
      </c>
    </row>
    <row r="338" spans="1:6" ht="25.35" customHeight="1">
      <c r="A338" t="s">
        <v>4023</v>
      </c>
      <c r="B338" t="s">
        <v>4023</v>
      </c>
      <c r="C338" t="s">
        <v>4024</v>
      </c>
      <c r="D338" t="s">
        <v>4025</v>
      </c>
      <c r="F338" t="s">
        <v>2879</v>
      </c>
    </row>
    <row r="339" spans="1:6" ht="25.35" customHeight="1">
      <c r="A339" t="s">
        <v>4026</v>
      </c>
      <c r="B339" t="s">
        <v>4027</v>
      </c>
      <c r="C339" t="s">
        <v>4028</v>
      </c>
      <c r="D339" t="s">
        <v>4029</v>
      </c>
      <c r="F339" t="s">
        <v>2883</v>
      </c>
    </row>
    <row r="340" spans="1:6" ht="25.35" customHeight="1">
      <c r="A340" t="s">
        <v>4030</v>
      </c>
      <c r="B340" t="s">
        <v>4031</v>
      </c>
      <c r="C340" t="s">
        <v>4032</v>
      </c>
      <c r="D340" t="s">
        <v>4033</v>
      </c>
      <c r="F340" t="s">
        <v>2888</v>
      </c>
    </row>
    <row r="341" spans="1:6" ht="25.35" customHeight="1">
      <c r="A341" t="s">
        <v>4030</v>
      </c>
      <c r="B341" t="s">
        <v>4031</v>
      </c>
      <c r="C341" t="s">
        <v>4034</v>
      </c>
      <c r="D341" t="s">
        <v>4033</v>
      </c>
      <c r="F341" t="s">
        <v>2893</v>
      </c>
    </row>
    <row r="342" spans="1:6" ht="25.35" customHeight="1">
      <c r="A342" t="s">
        <v>4030</v>
      </c>
      <c r="B342" t="s">
        <v>4031</v>
      </c>
      <c r="C342" t="s">
        <v>4035</v>
      </c>
      <c r="D342" t="s">
        <v>4036</v>
      </c>
      <c r="F342" t="s">
        <v>2898</v>
      </c>
    </row>
    <row r="343" spans="1:6" ht="25.35" customHeight="1">
      <c r="A343" t="s">
        <v>4037</v>
      </c>
      <c r="B343" t="s">
        <v>4037</v>
      </c>
      <c r="C343" t="s">
        <v>4038</v>
      </c>
      <c r="D343" t="s">
        <v>4039</v>
      </c>
      <c r="F343" t="s">
        <v>2903</v>
      </c>
    </row>
    <row r="344" spans="1:6" ht="25.35" customHeight="1">
      <c r="A344" s="62" t="s">
        <v>4040</v>
      </c>
      <c r="B344" t="s">
        <v>4041</v>
      </c>
      <c r="C344" t="s">
        <v>4042</v>
      </c>
      <c r="D344" t="s">
        <v>4043</v>
      </c>
      <c r="F344" t="s">
        <v>2907</v>
      </c>
    </row>
    <row r="345" spans="1:6" ht="25.35" customHeight="1">
      <c r="A345" t="s">
        <v>4044</v>
      </c>
      <c r="B345" t="s">
        <v>4045</v>
      </c>
      <c r="C345" t="s">
        <v>4046</v>
      </c>
      <c r="D345" t="s">
        <v>4043</v>
      </c>
      <c r="F345" t="s">
        <v>2912</v>
      </c>
    </row>
    <row r="346" spans="1:6" ht="25.35" customHeight="1">
      <c r="A346" s="62" t="s">
        <v>4047</v>
      </c>
      <c r="B346" s="62" t="s">
        <v>4048</v>
      </c>
      <c r="C346" t="s">
        <v>4049</v>
      </c>
      <c r="D346" t="s">
        <v>4050</v>
      </c>
      <c r="F346" t="s">
        <v>2917</v>
      </c>
    </row>
    <row r="347" spans="1:6" ht="25.35" customHeight="1">
      <c r="A347" s="62" t="s">
        <v>4047</v>
      </c>
      <c r="B347" s="62" t="s">
        <v>4048</v>
      </c>
      <c r="C347" t="s">
        <v>4051</v>
      </c>
      <c r="D347" t="s">
        <v>4050</v>
      </c>
      <c r="F347" t="s">
        <v>2922</v>
      </c>
    </row>
    <row r="348" spans="1:6" ht="25.35" customHeight="1">
      <c r="A348" t="s">
        <v>4052</v>
      </c>
      <c r="B348" t="s">
        <v>4052</v>
      </c>
      <c r="C348" t="s">
        <v>4053</v>
      </c>
      <c r="D348" t="s">
        <v>4054</v>
      </c>
      <c r="F348" t="s">
        <v>2926</v>
      </c>
    </row>
    <row r="349" spans="1:6" ht="25.35" customHeight="1">
      <c r="A349" t="s">
        <v>4055</v>
      </c>
      <c r="B349" t="s">
        <v>4056</v>
      </c>
      <c r="C349" t="s">
        <v>4057</v>
      </c>
      <c r="D349" t="s">
        <v>4054</v>
      </c>
      <c r="F349" t="s">
        <v>2931</v>
      </c>
    </row>
    <row r="350" spans="1:6" ht="25.35" customHeight="1">
      <c r="A350" s="62" t="s">
        <v>4058</v>
      </c>
      <c r="B350" t="s">
        <v>4059</v>
      </c>
      <c r="C350" t="s">
        <v>4060</v>
      </c>
      <c r="D350" t="s">
        <v>4061</v>
      </c>
      <c r="F350" t="s">
        <v>2936</v>
      </c>
    </row>
    <row r="351" spans="1:6" ht="25.35" customHeight="1">
      <c r="A351" s="62" t="s">
        <v>4062</v>
      </c>
      <c r="B351" t="s">
        <v>4063</v>
      </c>
      <c r="C351" t="s">
        <v>4064</v>
      </c>
      <c r="D351" t="s">
        <v>4065</v>
      </c>
      <c r="F351" t="s">
        <v>2941</v>
      </c>
    </row>
    <row r="352" spans="1:6" ht="25.35" customHeight="1">
      <c r="A352" s="62" t="s">
        <v>4066</v>
      </c>
      <c r="B352" s="62" t="s">
        <v>4067</v>
      </c>
      <c r="C352" t="s">
        <v>4068</v>
      </c>
      <c r="D352" t="s">
        <v>4069</v>
      </c>
      <c r="F352" t="s">
        <v>2946</v>
      </c>
    </row>
    <row r="353" spans="1:6" ht="25.35" customHeight="1">
      <c r="A353" t="s">
        <v>4070</v>
      </c>
      <c r="B353" t="s">
        <v>4071</v>
      </c>
      <c r="C353" t="s">
        <v>4072</v>
      </c>
      <c r="D353" t="s">
        <v>4073</v>
      </c>
      <c r="F353" t="s">
        <v>2950</v>
      </c>
    </row>
    <row r="354" spans="1:6" ht="25.35" customHeight="1">
      <c r="A354" s="62" t="s">
        <v>4074</v>
      </c>
      <c r="B354" s="62" t="s">
        <v>4075</v>
      </c>
      <c r="C354" t="s">
        <v>4076</v>
      </c>
      <c r="D354" t="s">
        <v>4077</v>
      </c>
      <c r="F354" t="s">
        <v>2955</v>
      </c>
    </row>
    <row r="355" spans="1:6" ht="25.35" customHeight="1">
      <c r="A355" t="s">
        <v>4078</v>
      </c>
      <c r="B355" t="s">
        <v>4079</v>
      </c>
      <c r="C355" t="s">
        <v>4080</v>
      </c>
      <c r="D355" t="s">
        <v>4081</v>
      </c>
      <c r="F355" t="s">
        <v>2960</v>
      </c>
    </row>
    <row r="356" spans="1:6" ht="25.35" customHeight="1">
      <c r="A356" s="62" t="s">
        <v>4082</v>
      </c>
      <c r="B356" s="62" t="s">
        <v>4083</v>
      </c>
      <c r="C356" t="s">
        <v>4084</v>
      </c>
      <c r="D356" t="s">
        <v>4085</v>
      </c>
      <c r="F356" t="s">
        <v>2965</v>
      </c>
    </row>
    <row r="357" spans="1:6" ht="25.35" customHeight="1">
      <c r="A357" s="62" t="s">
        <v>4086</v>
      </c>
      <c r="B357" s="62" t="s">
        <v>4087</v>
      </c>
      <c r="C357" t="s">
        <v>4076</v>
      </c>
      <c r="D357" t="s">
        <v>4088</v>
      </c>
      <c r="F357" t="s">
        <v>2970</v>
      </c>
    </row>
    <row r="358" spans="1:6" ht="25.35" customHeight="1">
      <c r="A358" t="s">
        <v>4089</v>
      </c>
      <c r="B358" t="s">
        <v>4090</v>
      </c>
      <c r="C358" t="s">
        <v>4091</v>
      </c>
      <c r="D358" t="s">
        <v>4092</v>
      </c>
      <c r="F358" t="s">
        <v>4093</v>
      </c>
    </row>
    <row r="359" spans="1:6" ht="25.35" customHeight="1">
      <c r="A359" t="s">
        <v>4094</v>
      </c>
      <c r="B359" t="s">
        <v>4095</v>
      </c>
      <c r="C359" t="s">
        <v>4096</v>
      </c>
      <c r="D359" t="s">
        <v>4097</v>
      </c>
      <c r="F359" t="s">
        <v>4098</v>
      </c>
    </row>
    <row r="360" spans="1:6" ht="25.35" customHeight="1">
      <c r="A360" t="s">
        <v>4099</v>
      </c>
      <c r="B360" t="s">
        <v>4100</v>
      </c>
      <c r="C360" t="s">
        <v>4101</v>
      </c>
      <c r="D360" t="s">
        <v>4102</v>
      </c>
      <c r="F360" t="s">
        <v>4103</v>
      </c>
    </row>
    <row r="361" spans="1:6" ht="25.35" customHeight="1">
      <c r="A361" t="s">
        <v>4095</v>
      </c>
      <c r="B361" t="s">
        <v>4104</v>
      </c>
      <c r="C361" t="s">
        <v>4105</v>
      </c>
      <c r="D361" t="s">
        <v>4106</v>
      </c>
      <c r="F361" t="s">
        <v>4107</v>
      </c>
    </row>
    <row r="362" spans="1:6" ht="25.35" customHeight="1">
      <c r="A362" t="s">
        <v>4108</v>
      </c>
      <c r="B362" t="s">
        <v>4109</v>
      </c>
      <c r="C362" t="s">
        <v>4110</v>
      </c>
      <c r="D362" t="s">
        <v>4111</v>
      </c>
      <c r="F362" t="s">
        <v>4112</v>
      </c>
    </row>
    <row r="363" spans="1:6" ht="25.35" customHeight="1">
      <c r="A363" s="62" t="s">
        <v>4113</v>
      </c>
      <c r="B363" t="s">
        <v>4114</v>
      </c>
      <c r="C363" t="s">
        <v>4115</v>
      </c>
      <c r="D363" t="s">
        <v>4116</v>
      </c>
      <c r="F363" t="s">
        <v>4117</v>
      </c>
    </row>
    <row r="364" spans="1:6" ht="25.35" customHeight="1">
      <c r="A364" t="s">
        <v>4118</v>
      </c>
      <c r="B364" t="s">
        <v>4119</v>
      </c>
      <c r="C364" t="s">
        <v>4120</v>
      </c>
      <c r="D364" t="s">
        <v>4121</v>
      </c>
      <c r="F364" t="s">
        <v>4122</v>
      </c>
    </row>
    <row r="365" spans="1:6" ht="25.35" customHeight="1">
      <c r="A365" t="s">
        <v>4123</v>
      </c>
      <c r="B365" t="s">
        <v>4124</v>
      </c>
      <c r="C365" t="s">
        <v>4125</v>
      </c>
      <c r="D365" t="s">
        <v>4126</v>
      </c>
      <c r="F365" t="s">
        <v>4127</v>
      </c>
    </row>
    <row r="366" spans="1:6" ht="25.35" customHeight="1">
      <c r="A366" t="s">
        <v>4128</v>
      </c>
      <c r="B366" t="s">
        <v>4129</v>
      </c>
      <c r="C366" t="s">
        <v>4130</v>
      </c>
      <c r="D366" t="s">
        <v>4131</v>
      </c>
      <c r="F366" t="s">
        <v>4132</v>
      </c>
    </row>
    <row r="367" spans="1:6" ht="25.35" customHeight="1">
      <c r="A367" t="s">
        <v>4133</v>
      </c>
      <c r="B367" t="s">
        <v>4133</v>
      </c>
      <c r="C367" t="s">
        <v>4134</v>
      </c>
      <c r="D367" t="s">
        <v>4135</v>
      </c>
      <c r="F367" t="s">
        <v>4136</v>
      </c>
    </row>
    <row r="368" spans="1:6" ht="25.35" customHeight="1">
      <c r="A368" t="s">
        <v>4137</v>
      </c>
      <c r="B368" t="s">
        <v>4137</v>
      </c>
      <c r="C368" t="s">
        <v>4138</v>
      </c>
      <c r="D368" t="s">
        <v>4139</v>
      </c>
      <c r="F368" t="s">
        <v>4140</v>
      </c>
    </row>
    <row r="369" spans="1:6" ht="25.35" customHeight="1">
      <c r="A369" t="s">
        <v>4141</v>
      </c>
      <c r="B369" t="s">
        <v>4142</v>
      </c>
      <c r="C369" t="s">
        <v>4143</v>
      </c>
      <c r="D369" t="s">
        <v>4139</v>
      </c>
      <c r="F369" t="s">
        <v>4144</v>
      </c>
    </row>
    <row r="370" spans="1:6" ht="25.35" customHeight="1">
      <c r="A370" t="s">
        <v>4145</v>
      </c>
      <c r="B370" t="s">
        <v>4146</v>
      </c>
      <c r="C370" t="s">
        <v>4147</v>
      </c>
      <c r="D370" t="s">
        <v>4148</v>
      </c>
      <c r="F370" t="s">
        <v>4149</v>
      </c>
    </row>
    <row r="371" spans="1:6" ht="25.35" customHeight="1">
      <c r="A371" s="62" t="s">
        <v>4150</v>
      </c>
      <c r="B371" t="s">
        <v>4151</v>
      </c>
      <c r="C371" t="s">
        <v>4152</v>
      </c>
      <c r="D371" t="s">
        <v>4153</v>
      </c>
      <c r="F371" t="s">
        <v>4154</v>
      </c>
    </row>
    <row r="372" spans="1:6" ht="25.35" customHeight="1">
      <c r="A372" t="s">
        <v>4155</v>
      </c>
      <c r="B372" t="s">
        <v>4155</v>
      </c>
      <c r="C372" t="s">
        <v>4156</v>
      </c>
      <c r="D372" t="s">
        <v>4157</v>
      </c>
      <c r="F372" t="s">
        <v>4158</v>
      </c>
    </row>
    <row r="373" spans="1:6" ht="25.35" customHeight="1">
      <c r="A373" t="s">
        <v>4159</v>
      </c>
      <c r="B373" t="s">
        <v>4160</v>
      </c>
      <c r="C373" t="s">
        <v>4161</v>
      </c>
      <c r="D373" t="s">
        <v>4162</v>
      </c>
      <c r="F373" t="s">
        <v>4163</v>
      </c>
    </row>
    <row r="374" spans="1:6" ht="25.35" customHeight="1">
      <c r="A374" t="s">
        <v>4164</v>
      </c>
      <c r="B374" t="s">
        <v>4165</v>
      </c>
      <c r="C374" t="s">
        <v>4166</v>
      </c>
      <c r="D374" t="s">
        <v>4167</v>
      </c>
      <c r="F374" t="s">
        <v>4168</v>
      </c>
    </row>
    <row r="375" spans="1:6" ht="25.35" customHeight="1">
      <c r="A375" t="s">
        <v>4169</v>
      </c>
      <c r="B375" t="s">
        <v>4169</v>
      </c>
      <c r="C375" t="s">
        <v>4170</v>
      </c>
      <c r="D375" t="s">
        <v>4171</v>
      </c>
      <c r="F375" t="s">
        <v>4172</v>
      </c>
    </row>
    <row r="376" spans="1:6" ht="25.35" customHeight="1">
      <c r="A376" t="s">
        <v>4173</v>
      </c>
      <c r="B376" t="s">
        <v>4174</v>
      </c>
      <c r="C376" t="s">
        <v>4170</v>
      </c>
      <c r="D376" t="s">
        <v>4175</v>
      </c>
      <c r="F376" t="s">
        <v>4176</v>
      </c>
    </row>
    <row r="377" spans="1:6" ht="25.35" customHeight="1">
      <c r="A377" t="s">
        <v>4177</v>
      </c>
      <c r="B377" t="s">
        <v>4178</v>
      </c>
      <c r="C377" t="s">
        <v>4179</v>
      </c>
      <c r="D377" t="s">
        <v>4180</v>
      </c>
      <c r="F377" t="s">
        <v>4181</v>
      </c>
    </row>
    <row r="378" spans="1:6" ht="25.35" customHeight="1">
      <c r="A378" t="s">
        <v>4182</v>
      </c>
      <c r="B378" t="s">
        <v>4183</v>
      </c>
      <c r="C378" t="s">
        <v>4184</v>
      </c>
      <c r="D378" t="s">
        <v>4185</v>
      </c>
      <c r="F378" t="s">
        <v>4186</v>
      </c>
    </row>
    <row r="379" spans="1:6" ht="25.35" customHeight="1">
      <c r="A379" t="s">
        <v>4187</v>
      </c>
      <c r="B379" t="s">
        <v>4188</v>
      </c>
      <c r="C379" t="s">
        <v>4189</v>
      </c>
      <c r="D379" t="s">
        <v>4190</v>
      </c>
      <c r="F379" t="s">
        <v>4191</v>
      </c>
    </row>
    <row r="380" spans="1:6" ht="25.35" customHeight="1">
      <c r="A380" t="s">
        <v>4192</v>
      </c>
      <c r="B380" t="s">
        <v>4192</v>
      </c>
      <c r="C380" t="s">
        <v>4193</v>
      </c>
      <c r="D380" t="s">
        <v>4194</v>
      </c>
      <c r="F380" t="s">
        <v>4195</v>
      </c>
    </row>
    <row r="381" spans="1:6" ht="25.35" customHeight="1">
      <c r="A381" t="s">
        <v>4196</v>
      </c>
      <c r="B381" t="s">
        <v>4197</v>
      </c>
      <c r="C381" t="s">
        <v>4198</v>
      </c>
      <c r="D381" t="s">
        <v>4199</v>
      </c>
      <c r="F381" t="s">
        <v>4200</v>
      </c>
    </row>
    <row r="382" spans="1:6" ht="25.35" customHeight="1">
      <c r="A382" t="s">
        <v>4187</v>
      </c>
      <c r="B382" t="s">
        <v>4187</v>
      </c>
      <c r="C382" t="s">
        <v>4156</v>
      </c>
      <c r="D382" t="s">
        <v>4201</v>
      </c>
      <c r="F382" t="s">
        <v>4202</v>
      </c>
    </row>
    <row r="383" spans="1:6" ht="25.35" customHeight="1">
      <c r="A383" t="s">
        <v>4203</v>
      </c>
      <c r="B383" t="s">
        <v>4204</v>
      </c>
      <c r="C383" t="s">
        <v>4205</v>
      </c>
      <c r="D383" t="s">
        <v>4201</v>
      </c>
      <c r="F383" t="s">
        <v>4206</v>
      </c>
    </row>
    <row r="384" spans="1:6" ht="25.35" customHeight="1">
      <c r="A384" t="s">
        <v>4207</v>
      </c>
      <c r="B384" t="s">
        <v>4208</v>
      </c>
      <c r="C384" t="s">
        <v>4170</v>
      </c>
      <c r="D384" t="s">
        <v>4209</v>
      </c>
      <c r="F384" t="s">
        <v>4210</v>
      </c>
    </row>
    <row r="385" spans="1:6" ht="25.35" customHeight="1">
      <c r="A385" t="s">
        <v>4211</v>
      </c>
      <c r="B385" t="s">
        <v>4212</v>
      </c>
      <c r="C385" t="s">
        <v>4213</v>
      </c>
      <c r="D385" t="s">
        <v>4214</v>
      </c>
      <c r="F385" t="s">
        <v>4215</v>
      </c>
    </row>
    <row r="386" spans="1:6" ht="25.35" customHeight="1">
      <c r="A386" t="s">
        <v>4216</v>
      </c>
      <c r="B386" t="s">
        <v>4217</v>
      </c>
      <c r="C386" t="s">
        <v>4218</v>
      </c>
      <c r="D386" t="s">
        <v>4219</v>
      </c>
      <c r="F386" t="s">
        <v>4220</v>
      </c>
    </row>
    <row r="387" spans="1:6" ht="25.35" customHeight="1">
      <c r="A387" t="s">
        <v>4221</v>
      </c>
      <c r="B387" t="s">
        <v>4222</v>
      </c>
      <c r="C387" t="s">
        <v>4170</v>
      </c>
      <c r="D387" t="s">
        <v>4223</v>
      </c>
      <c r="F387" t="s">
        <v>4224</v>
      </c>
    </row>
    <row r="388" spans="1:6" ht="25.35" customHeight="1">
      <c r="A388" t="s">
        <v>4225</v>
      </c>
      <c r="B388" t="s">
        <v>4226</v>
      </c>
      <c r="C388" t="s">
        <v>4170</v>
      </c>
      <c r="D388" t="s">
        <v>4227</v>
      </c>
      <c r="F388" t="s">
        <v>4228</v>
      </c>
    </row>
    <row r="389" spans="1:6" ht="25.35" customHeight="1">
      <c r="A389" t="s">
        <v>4229</v>
      </c>
      <c r="B389" t="s">
        <v>4230</v>
      </c>
      <c r="C389" t="s">
        <v>4231</v>
      </c>
      <c r="D389" t="s">
        <v>4232</v>
      </c>
      <c r="F389" t="s">
        <v>4233</v>
      </c>
    </row>
    <row r="390" spans="1:6" ht="25.35" customHeight="1">
      <c r="A390" t="s">
        <v>4234</v>
      </c>
      <c r="B390" t="s">
        <v>4235</v>
      </c>
      <c r="C390" t="s">
        <v>4236</v>
      </c>
      <c r="D390" t="s">
        <v>4237</v>
      </c>
      <c r="F390" t="s">
        <v>4238</v>
      </c>
    </row>
    <row r="391" spans="1:6" ht="25.35" customHeight="1">
      <c r="A391" t="s">
        <v>4239</v>
      </c>
      <c r="B391" t="s">
        <v>4239</v>
      </c>
      <c r="C391" t="s">
        <v>4240</v>
      </c>
      <c r="D391" t="s">
        <v>4241</v>
      </c>
      <c r="F391" t="s">
        <v>4242</v>
      </c>
    </row>
    <row r="392" spans="1:6" ht="25.35" customHeight="1">
      <c r="A392" t="s">
        <v>4243</v>
      </c>
      <c r="B392" t="s">
        <v>4244</v>
      </c>
      <c r="C392" t="s">
        <v>4213</v>
      </c>
      <c r="D392" t="s">
        <v>4245</v>
      </c>
      <c r="F392" t="s">
        <v>4246</v>
      </c>
    </row>
    <row r="393" spans="1:6" ht="25.35" customHeight="1">
      <c r="A393" t="s">
        <v>4247</v>
      </c>
      <c r="B393" t="s">
        <v>4248</v>
      </c>
      <c r="C393" t="s">
        <v>4249</v>
      </c>
      <c r="D393" t="s">
        <v>4250</v>
      </c>
      <c r="F393" t="s">
        <v>4251</v>
      </c>
    </row>
    <row r="394" spans="1:6" ht="25.35" customHeight="1">
      <c r="A394" t="s">
        <v>4252</v>
      </c>
      <c r="B394" t="s">
        <v>4253</v>
      </c>
      <c r="C394" t="s">
        <v>4254</v>
      </c>
      <c r="D394" t="s">
        <v>4255</v>
      </c>
      <c r="F394" t="s">
        <v>4256</v>
      </c>
    </row>
    <row r="395" spans="1:6" ht="25.35" customHeight="1">
      <c r="A395" t="s">
        <v>4257</v>
      </c>
      <c r="B395" t="s">
        <v>4258</v>
      </c>
      <c r="C395" t="s">
        <v>4259</v>
      </c>
      <c r="D395" t="s">
        <v>4260</v>
      </c>
      <c r="F395" t="s">
        <v>4261</v>
      </c>
    </row>
    <row r="396" spans="1:6" ht="25.35" customHeight="1">
      <c r="A396" t="s">
        <v>4262</v>
      </c>
      <c r="B396" t="s">
        <v>4263</v>
      </c>
      <c r="C396" t="s">
        <v>4264</v>
      </c>
      <c r="D396" t="s">
        <v>4265</v>
      </c>
      <c r="F396" t="s">
        <v>4266</v>
      </c>
    </row>
    <row r="397" spans="1:6" ht="25.35" customHeight="1">
      <c r="A397" t="s">
        <v>4267</v>
      </c>
      <c r="B397" t="s">
        <v>4268</v>
      </c>
      <c r="C397" t="s">
        <v>4269</v>
      </c>
      <c r="D397" t="s">
        <v>4270</v>
      </c>
      <c r="F397" t="s">
        <v>4271</v>
      </c>
    </row>
    <row r="398" spans="1:6" ht="25.35" customHeight="1">
      <c r="A398" t="s">
        <v>4272</v>
      </c>
      <c r="B398" t="s">
        <v>4273</v>
      </c>
      <c r="C398" t="s">
        <v>4274</v>
      </c>
      <c r="D398" t="s">
        <v>4275</v>
      </c>
      <c r="F398" t="s">
        <v>4276</v>
      </c>
    </row>
    <row r="399" spans="1:6" ht="25.35" customHeight="1">
      <c r="A399" s="62" t="s">
        <v>4277</v>
      </c>
      <c r="B399" t="s">
        <v>4278</v>
      </c>
      <c r="C399" t="s">
        <v>4279</v>
      </c>
      <c r="D399" t="s">
        <v>4280</v>
      </c>
      <c r="F399" t="s">
        <v>4281</v>
      </c>
    </row>
    <row r="400" spans="1:6" ht="25.35" customHeight="1">
      <c r="A400" t="s">
        <v>4282</v>
      </c>
      <c r="B400" t="s">
        <v>4283</v>
      </c>
      <c r="C400" t="s">
        <v>4284</v>
      </c>
      <c r="D400" t="s">
        <v>4285</v>
      </c>
      <c r="F400" t="s">
        <v>4286</v>
      </c>
    </row>
    <row r="401" spans="1:6" ht="25.35" customHeight="1">
      <c r="A401" t="s">
        <v>4282</v>
      </c>
      <c r="B401" t="s">
        <v>4283</v>
      </c>
      <c r="C401" t="s">
        <v>4287</v>
      </c>
      <c r="D401" t="s">
        <v>4288</v>
      </c>
      <c r="F401" t="s">
        <v>4286</v>
      </c>
    </row>
    <row r="402" spans="1:6" ht="25.35" customHeight="1">
      <c r="A402" t="s">
        <v>4289</v>
      </c>
      <c r="B402" t="s">
        <v>4290</v>
      </c>
      <c r="C402" t="s">
        <v>4291</v>
      </c>
      <c r="D402" t="s">
        <v>4292</v>
      </c>
      <c r="F402" t="s">
        <v>4293</v>
      </c>
    </row>
    <row r="403" spans="1:6" ht="25.35" customHeight="1">
      <c r="A403" t="s">
        <v>4294</v>
      </c>
      <c r="B403" t="s">
        <v>4295</v>
      </c>
      <c r="C403" t="s">
        <v>4296</v>
      </c>
      <c r="D403" t="s">
        <v>4297</v>
      </c>
      <c r="F403" t="s">
        <v>4298</v>
      </c>
    </row>
    <row r="404" spans="1:6" ht="25.35" customHeight="1">
      <c r="A404" s="62" t="s">
        <v>4299</v>
      </c>
      <c r="B404" t="s">
        <v>4289</v>
      </c>
      <c r="C404" t="s">
        <v>4300</v>
      </c>
      <c r="D404" t="s">
        <v>4297</v>
      </c>
      <c r="F404" t="s">
        <v>4301</v>
      </c>
    </row>
    <row r="405" spans="1:6" ht="25.35" customHeight="1">
      <c r="A405" t="s">
        <v>4302</v>
      </c>
      <c r="B405" t="s">
        <v>4303</v>
      </c>
      <c r="C405" t="s">
        <v>4304</v>
      </c>
      <c r="D405" t="s">
        <v>4305</v>
      </c>
      <c r="F405" t="s">
        <v>4306</v>
      </c>
    </row>
    <row r="406" spans="1:6" ht="25.35" customHeight="1">
      <c r="A406" t="s">
        <v>4307</v>
      </c>
      <c r="B406" t="s">
        <v>4026</v>
      </c>
      <c r="C406" t="s">
        <v>4213</v>
      </c>
      <c r="D406" t="s">
        <v>4308</v>
      </c>
      <c r="F406" t="s">
        <v>4309</v>
      </c>
    </row>
    <row r="407" spans="1:6" ht="25.35" customHeight="1">
      <c r="A407" t="s">
        <v>4310</v>
      </c>
      <c r="B407" t="s">
        <v>4310</v>
      </c>
      <c r="C407" t="s">
        <v>4024</v>
      </c>
      <c r="D407" t="s">
        <v>4311</v>
      </c>
      <c r="F407" t="s">
        <v>4312</v>
      </c>
    </row>
    <row r="408" spans="1:6" ht="25.35" customHeight="1">
      <c r="A408" t="s">
        <v>4313</v>
      </c>
      <c r="B408" t="s">
        <v>4314</v>
      </c>
      <c r="C408" t="s">
        <v>4315</v>
      </c>
      <c r="D408" t="s">
        <v>4316</v>
      </c>
      <c r="F408" t="s">
        <v>2192</v>
      </c>
    </row>
    <row r="409" spans="1:6" ht="25.35" customHeight="1">
      <c r="A409" t="s">
        <v>4317</v>
      </c>
      <c r="B409" t="s">
        <v>4318</v>
      </c>
      <c r="C409" t="s">
        <v>4319</v>
      </c>
      <c r="D409" t="s">
        <v>4320</v>
      </c>
      <c r="F409" t="s">
        <v>2198</v>
      </c>
    </row>
    <row r="410" spans="1:6" ht="25.35" customHeight="1">
      <c r="A410" t="s">
        <v>4321</v>
      </c>
      <c r="B410" t="s">
        <v>4322</v>
      </c>
      <c r="C410" t="s">
        <v>4323</v>
      </c>
      <c r="D410" t="s">
        <v>4324</v>
      </c>
      <c r="F410" t="s">
        <v>2203</v>
      </c>
    </row>
    <row r="411" spans="1:6" ht="25.35" customHeight="1">
      <c r="A411" t="s">
        <v>4318</v>
      </c>
      <c r="B411" t="s">
        <v>4325</v>
      </c>
      <c r="C411" t="s">
        <v>4319</v>
      </c>
      <c r="D411" t="s">
        <v>4326</v>
      </c>
      <c r="F411" t="s">
        <v>2209</v>
      </c>
    </row>
    <row r="412" spans="1:6" ht="25.35" customHeight="1">
      <c r="A412" t="s">
        <v>4071</v>
      </c>
      <c r="B412" t="s">
        <v>4327</v>
      </c>
      <c r="C412" t="s">
        <v>4328</v>
      </c>
      <c r="D412" t="s">
        <v>4329</v>
      </c>
      <c r="F412" t="s">
        <v>2213</v>
      </c>
    </row>
    <row r="413" spans="1:6" ht="25.35" customHeight="1">
      <c r="A413" t="s">
        <v>4330</v>
      </c>
      <c r="B413" t="s">
        <v>4331</v>
      </c>
      <c r="C413" t="s">
        <v>4332</v>
      </c>
      <c r="D413" t="s">
        <v>4333</v>
      </c>
      <c r="F413" t="s">
        <v>2217</v>
      </c>
    </row>
    <row r="414" spans="1:6" ht="25.35" customHeight="1">
      <c r="A414" t="s">
        <v>4334</v>
      </c>
      <c r="B414" t="s">
        <v>4335</v>
      </c>
      <c r="C414" t="s">
        <v>4336</v>
      </c>
      <c r="D414" t="s">
        <v>4337</v>
      </c>
      <c r="F414" t="s">
        <v>2222</v>
      </c>
    </row>
    <row r="415" spans="1:6" ht="25.35" customHeight="1">
      <c r="A415" t="s">
        <v>4335</v>
      </c>
      <c r="B415" t="s">
        <v>4338</v>
      </c>
      <c r="C415" t="s">
        <v>4328</v>
      </c>
      <c r="D415" t="s">
        <v>4339</v>
      </c>
      <c r="F415" t="s">
        <v>2227</v>
      </c>
    </row>
    <row r="416" spans="1:6" ht="25.35" customHeight="1">
      <c r="A416" t="s">
        <v>4340</v>
      </c>
      <c r="B416" t="s">
        <v>4007</v>
      </c>
      <c r="C416" t="s">
        <v>4328</v>
      </c>
      <c r="D416" t="s">
        <v>4341</v>
      </c>
      <c r="F416" t="s">
        <v>2231</v>
      </c>
    </row>
    <row r="417" spans="1:7" ht="25.35" customHeight="1">
      <c r="A417" t="s">
        <v>4342</v>
      </c>
      <c r="B417" t="s">
        <v>4343</v>
      </c>
      <c r="C417" t="s">
        <v>4344</v>
      </c>
      <c r="D417" t="s">
        <v>4345</v>
      </c>
      <c r="F417" t="s">
        <v>1686</v>
      </c>
      <c r="G417" t="s">
        <v>4346</v>
      </c>
    </row>
    <row r="418" spans="1:7" ht="25.35" customHeight="1">
      <c r="A418" t="s">
        <v>4347</v>
      </c>
      <c r="B418" t="s">
        <v>4348</v>
      </c>
      <c r="C418" t="s">
        <v>4091</v>
      </c>
      <c r="D418" t="s">
        <v>4349</v>
      </c>
      <c r="F418" t="s">
        <v>1691</v>
      </c>
    </row>
    <row r="419" spans="1:7" ht="25.35" customHeight="1">
      <c r="A419" t="s">
        <v>4347</v>
      </c>
      <c r="B419" t="s">
        <v>4348</v>
      </c>
      <c r="C419" t="s">
        <v>4350</v>
      </c>
      <c r="D419" t="s">
        <v>4349</v>
      </c>
      <c r="F419" t="s">
        <v>1695</v>
      </c>
    </row>
    <row r="420" spans="1:7" ht="25.35" customHeight="1">
      <c r="A420" t="s">
        <v>4351</v>
      </c>
      <c r="B420" t="s">
        <v>4352</v>
      </c>
      <c r="C420" t="s">
        <v>4353</v>
      </c>
      <c r="D420" t="s">
        <v>4354</v>
      </c>
      <c r="F420" t="s">
        <v>1700</v>
      </c>
    </row>
    <row r="421" spans="1:7" ht="25.35" customHeight="1">
      <c r="A421" t="s">
        <v>4355</v>
      </c>
      <c r="B421" t="s">
        <v>4356</v>
      </c>
      <c r="C421" t="s">
        <v>4357</v>
      </c>
      <c r="D421" t="s">
        <v>4358</v>
      </c>
      <c r="F421" t="s">
        <v>1705</v>
      </c>
    </row>
    <row r="422" spans="1:7" ht="25.35" customHeight="1">
      <c r="A422" t="s">
        <v>4359</v>
      </c>
      <c r="B422" t="s">
        <v>4360</v>
      </c>
      <c r="C422" t="s">
        <v>4361</v>
      </c>
      <c r="D422" t="s">
        <v>4362</v>
      </c>
      <c r="F422" t="s">
        <v>1710</v>
      </c>
    </row>
    <row r="423" spans="1:7" ht="25.35" customHeight="1">
      <c r="A423" t="s">
        <v>4363</v>
      </c>
      <c r="B423" t="s">
        <v>4363</v>
      </c>
      <c r="C423" t="s">
        <v>4364</v>
      </c>
      <c r="D423" t="s">
        <v>4365</v>
      </c>
      <c r="F423" t="s">
        <v>1715</v>
      </c>
    </row>
    <row r="424" spans="1:7" ht="25.35" customHeight="1">
      <c r="A424" t="s">
        <v>4366</v>
      </c>
      <c r="B424" t="s">
        <v>4360</v>
      </c>
      <c r="C424" t="s">
        <v>4367</v>
      </c>
      <c r="D424" t="s">
        <v>4368</v>
      </c>
      <c r="F424" t="s">
        <v>1720</v>
      </c>
    </row>
    <row r="425" spans="1:7" ht="25.35" customHeight="1">
      <c r="A425" s="62" t="s">
        <v>4369</v>
      </c>
      <c r="B425" t="s">
        <v>4370</v>
      </c>
      <c r="C425" t="s">
        <v>4371</v>
      </c>
      <c r="D425" t="s">
        <v>4372</v>
      </c>
      <c r="F425" t="s">
        <v>1725</v>
      </c>
    </row>
    <row r="426" spans="1:7" ht="25.35" customHeight="1">
      <c r="A426" s="62" t="s">
        <v>4373</v>
      </c>
      <c r="B426" t="s">
        <v>4374</v>
      </c>
      <c r="C426" t="s">
        <v>4375</v>
      </c>
      <c r="D426" t="s">
        <v>4376</v>
      </c>
      <c r="F426" t="s">
        <v>1731</v>
      </c>
    </row>
    <row r="427" spans="1:7" ht="25.35" customHeight="1">
      <c r="A427" t="s">
        <v>4377</v>
      </c>
      <c r="B427" t="s">
        <v>4378</v>
      </c>
      <c r="C427" t="s">
        <v>4379</v>
      </c>
      <c r="D427" t="s">
        <v>4380</v>
      </c>
      <c r="F427" t="s">
        <v>1736</v>
      </c>
    </row>
    <row r="428" spans="1:7" ht="25.35" customHeight="1">
      <c r="A428" t="s">
        <v>4381</v>
      </c>
      <c r="B428" t="s">
        <v>4382</v>
      </c>
      <c r="C428" t="s">
        <v>4383</v>
      </c>
      <c r="D428" t="s">
        <v>4380</v>
      </c>
      <c r="F428" t="s">
        <v>1741</v>
      </c>
    </row>
    <row r="429" spans="1:7" ht="25.35" customHeight="1">
      <c r="A429" t="s">
        <v>4384</v>
      </c>
      <c r="B429" t="s">
        <v>4384</v>
      </c>
      <c r="C429" t="s">
        <v>4385</v>
      </c>
      <c r="D429" t="s">
        <v>4386</v>
      </c>
      <c r="F429" t="s">
        <v>1746</v>
      </c>
    </row>
    <row r="430" spans="1:7" ht="25.35" customHeight="1">
      <c r="A430" t="s">
        <v>4387</v>
      </c>
      <c r="B430" t="s">
        <v>4387</v>
      </c>
      <c r="C430" t="s">
        <v>4388</v>
      </c>
      <c r="D430" t="s">
        <v>4389</v>
      </c>
      <c r="F430" t="s">
        <v>1751</v>
      </c>
    </row>
    <row r="431" spans="1:7" ht="25.35" customHeight="1">
      <c r="A431" t="s">
        <v>4390</v>
      </c>
      <c r="B431" t="s">
        <v>4391</v>
      </c>
      <c r="C431" t="s">
        <v>4392</v>
      </c>
      <c r="D431" t="s">
        <v>4393</v>
      </c>
      <c r="F431" t="s">
        <v>1756</v>
      </c>
    </row>
    <row r="432" spans="1:7" ht="25.35" customHeight="1">
      <c r="A432" t="s">
        <v>4394</v>
      </c>
      <c r="B432" t="s">
        <v>4225</v>
      </c>
      <c r="C432" t="s">
        <v>4395</v>
      </c>
      <c r="D432" t="s">
        <v>4396</v>
      </c>
      <c r="F432" t="s">
        <v>1761</v>
      </c>
    </row>
    <row r="433" spans="1:6" ht="25.35" customHeight="1">
      <c r="A433" t="s">
        <v>4390</v>
      </c>
      <c r="B433" t="s">
        <v>4397</v>
      </c>
      <c r="C433" t="s">
        <v>4398</v>
      </c>
      <c r="D433" t="s">
        <v>4399</v>
      </c>
      <c r="F433" t="s">
        <v>1766</v>
      </c>
    </row>
    <row r="434" spans="1:6" ht="25.35" customHeight="1">
      <c r="A434" t="s">
        <v>4391</v>
      </c>
      <c r="B434" t="s">
        <v>4400</v>
      </c>
      <c r="C434" t="s">
        <v>4401</v>
      </c>
      <c r="D434" t="s">
        <v>4402</v>
      </c>
      <c r="F434" t="s">
        <v>1771</v>
      </c>
    </row>
    <row r="435" spans="1:6" ht="25.35" customHeight="1">
      <c r="A435" s="62" t="s">
        <v>4403</v>
      </c>
      <c r="B435" t="s">
        <v>4404</v>
      </c>
      <c r="C435" t="s">
        <v>4328</v>
      </c>
      <c r="D435" t="s">
        <v>4405</v>
      </c>
      <c r="F435" t="s">
        <v>1776</v>
      </c>
    </row>
    <row r="436" spans="1:6" ht="25.35" customHeight="1">
      <c r="A436" t="s">
        <v>4406</v>
      </c>
      <c r="B436" t="s">
        <v>4407</v>
      </c>
      <c r="C436" t="s">
        <v>4408</v>
      </c>
      <c r="D436" t="s">
        <v>4409</v>
      </c>
      <c r="F436" t="s">
        <v>1781</v>
      </c>
    </row>
    <row r="437" spans="1:6" ht="25.35" customHeight="1">
      <c r="A437" t="s">
        <v>4410</v>
      </c>
      <c r="B437" t="s">
        <v>4411</v>
      </c>
      <c r="C437" t="s">
        <v>4412</v>
      </c>
      <c r="D437" t="s">
        <v>4413</v>
      </c>
      <c r="F437" t="s">
        <v>1786</v>
      </c>
    </row>
    <row r="438" spans="1:6" ht="25.35" customHeight="1">
      <c r="A438" s="62" t="s">
        <v>4414</v>
      </c>
      <c r="B438" s="62" t="s">
        <v>4415</v>
      </c>
      <c r="C438" t="s">
        <v>4416</v>
      </c>
      <c r="D438" t="s">
        <v>4417</v>
      </c>
      <c r="F438" t="s">
        <v>1791</v>
      </c>
    </row>
    <row r="439" spans="1:6" ht="25.35" customHeight="1">
      <c r="A439" t="s">
        <v>4418</v>
      </c>
      <c r="B439" t="s">
        <v>4418</v>
      </c>
      <c r="C439" t="s">
        <v>4328</v>
      </c>
      <c r="D439" t="s">
        <v>4419</v>
      </c>
      <c r="F439" t="s">
        <v>1796</v>
      </c>
    </row>
    <row r="440" spans="1:6" ht="25.35" customHeight="1">
      <c r="A440" t="s">
        <v>4420</v>
      </c>
      <c r="B440" t="s">
        <v>4420</v>
      </c>
      <c r="C440" t="s">
        <v>4328</v>
      </c>
      <c r="D440" t="s">
        <v>4421</v>
      </c>
      <c r="F440" t="s">
        <v>1800</v>
      </c>
    </row>
    <row r="441" spans="1:6" ht="25.35" customHeight="1">
      <c r="A441" t="s">
        <v>4422</v>
      </c>
      <c r="B441" t="s">
        <v>4422</v>
      </c>
      <c r="C441" t="s">
        <v>4423</v>
      </c>
      <c r="D441" t="s">
        <v>4424</v>
      </c>
      <c r="F441" t="s">
        <v>1804</v>
      </c>
    </row>
    <row r="442" spans="1:6" ht="25.35" customHeight="1">
      <c r="A442" t="s">
        <v>4425</v>
      </c>
      <c r="B442" t="s">
        <v>4426</v>
      </c>
      <c r="C442" t="s">
        <v>4328</v>
      </c>
      <c r="D442" t="s">
        <v>4427</v>
      </c>
      <c r="F442" t="s">
        <v>4428</v>
      </c>
    </row>
    <row r="443" spans="1:6" ht="25.35" customHeight="1">
      <c r="A443" t="s">
        <v>4429</v>
      </c>
      <c r="B443" t="s">
        <v>4429</v>
      </c>
      <c r="C443" t="s">
        <v>4430</v>
      </c>
      <c r="D443" t="s">
        <v>4431</v>
      </c>
      <c r="F443" t="s">
        <v>1814</v>
      </c>
    </row>
    <row r="444" spans="1:6" ht="25.35" customHeight="1">
      <c r="A444" t="s">
        <v>4429</v>
      </c>
      <c r="B444" t="s">
        <v>4429</v>
      </c>
      <c r="C444" t="s">
        <v>4430</v>
      </c>
      <c r="D444" t="s">
        <v>4431</v>
      </c>
      <c r="F444" t="s">
        <v>1819</v>
      </c>
    </row>
    <row r="445" spans="1:6" ht="25.35" customHeight="1">
      <c r="A445" t="s">
        <v>4432</v>
      </c>
      <c r="B445" t="s">
        <v>4432</v>
      </c>
      <c r="C445" t="s">
        <v>4433</v>
      </c>
      <c r="D445" t="s">
        <v>4431</v>
      </c>
      <c r="F445" t="s">
        <v>1823</v>
      </c>
    </row>
    <row r="446" spans="1:6" ht="25.35" customHeight="1">
      <c r="A446" t="s">
        <v>4434</v>
      </c>
      <c r="B446" t="s">
        <v>533</v>
      </c>
      <c r="C446" t="s">
        <v>4435</v>
      </c>
      <c r="D446" t="s">
        <v>4436</v>
      </c>
      <c r="F446" t="s">
        <v>4437</v>
      </c>
    </row>
    <row r="447" spans="1:6" ht="25.35" customHeight="1">
      <c r="A447" t="s">
        <v>4438</v>
      </c>
      <c r="B447" t="s">
        <v>4439</v>
      </c>
      <c r="C447" t="s">
        <v>4440</v>
      </c>
      <c r="D447" t="s">
        <v>3166</v>
      </c>
      <c r="E447" t="s">
        <v>4441</v>
      </c>
      <c r="F447" t="s">
        <v>2240</v>
      </c>
    </row>
    <row r="448" spans="1:6" ht="25.35" customHeight="1">
      <c r="A448" t="s">
        <v>4442</v>
      </c>
      <c r="B448" t="s">
        <v>533</v>
      </c>
      <c r="C448" t="s">
        <v>4443</v>
      </c>
      <c r="D448" t="s">
        <v>4444</v>
      </c>
      <c r="E448" t="s">
        <v>4445</v>
      </c>
      <c r="F448" t="s">
        <v>2250</v>
      </c>
    </row>
    <row r="449" spans="1:6" ht="25.35" customHeight="1">
      <c r="A449" t="s">
        <v>4446</v>
      </c>
      <c r="B449" t="s">
        <v>4447</v>
      </c>
      <c r="C449" t="s">
        <v>4448</v>
      </c>
      <c r="D449" t="s">
        <v>4449</v>
      </c>
      <c r="E449" t="s">
        <v>4450</v>
      </c>
      <c r="F449" t="s">
        <v>2256</v>
      </c>
    </row>
    <row r="450" spans="1:6" ht="25.35" customHeight="1">
      <c r="A450" t="s">
        <v>4451</v>
      </c>
      <c r="B450" t="s">
        <v>533</v>
      </c>
      <c r="C450" t="s">
        <v>4452</v>
      </c>
      <c r="D450" t="s">
        <v>4444</v>
      </c>
      <c r="E450" t="s">
        <v>4453</v>
      </c>
      <c r="F450" t="s">
        <v>2288</v>
      </c>
    </row>
    <row r="451" spans="1:6" ht="25.35" customHeight="1">
      <c r="A451" t="s">
        <v>4451</v>
      </c>
      <c r="B451" t="s">
        <v>533</v>
      </c>
      <c r="C451" t="s">
        <v>4452</v>
      </c>
      <c r="D451" t="s">
        <v>4444</v>
      </c>
      <c r="E451" t="s">
        <v>4454</v>
      </c>
      <c r="F451" t="s">
        <v>2288</v>
      </c>
    </row>
    <row r="452" spans="1:6" ht="25.35" customHeight="1">
      <c r="A452" t="s">
        <v>4455</v>
      </c>
      <c r="B452" t="s">
        <v>533</v>
      </c>
      <c r="C452" t="s">
        <v>4452</v>
      </c>
      <c r="D452" t="s">
        <v>4444</v>
      </c>
      <c r="E452" t="s">
        <v>4456</v>
      </c>
      <c r="F452" t="s">
        <v>2297</v>
      </c>
    </row>
    <row r="453" spans="1:6" ht="25.35" customHeight="1">
      <c r="A453" t="s">
        <v>4457</v>
      </c>
      <c r="B453" t="s">
        <v>4458</v>
      </c>
      <c r="C453" t="s">
        <v>4459</v>
      </c>
      <c r="D453" t="s">
        <v>3166</v>
      </c>
      <c r="E453" t="s">
        <v>4460</v>
      </c>
      <c r="F453" t="s">
        <v>2302</v>
      </c>
    </row>
    <row r="454" spans="1:6" ht="25.35" customHeight="1">
      <c r="A454" t="s">
        <v>4461</v>
      </c>
      <c r="B454" t="s">
        <v>533</v>
      </c>
      <c r="C454" t="s">
        <v>4462</v>
      </c>
      <c r="D454" t="s">
        <v>4463</v>
      </c>
      <c r="E454" t="s">
        <v>4464</v>
      </c>
      <c r="F454" t="s">
        <v>2315</v>
      </c>
    </row>
    <row r="455" spans="1:6" ht="25.35" customHeight="1">
      <c r="A455" t="s">
        <v>3594</v>
      </c>
      <c r="B455" t="s">
        <v>3595</v>
      </c>
      <c r="C455" t="s">
        <v>4051</v>
      </c>
      <c r="D455" t="s">
        <v>3334</v>
      </c>
      <c r="E455" t="s">
        <v>4465</v>
      </c>
      <c r="F455" t="s">
        <v>2321</v>
      </c>
    </row>
    <row r="456" spans="1:6" ht="25.35" customHeight="1">
      <c r="A456" t="s">
        <v>4466</v>
      </c>
      <c r="B456" t="s">
        <v>533</v>
      </c>
      <c r="C456" t="s">
        <v>4467</v>
      </c>
      <c r="D456" t="s">
        <v>4463</v>
      </c>
      <c r="E456" t="s">
        <v>4468</v>
      </c>
      <c r="F456" t="s">
        <v>2326</v>
      </c>
    </row>
    <row r="457" spans="1:6" ht="25.35" customHeight="1">
      <c r="A457" t="s">
        <v>3594</v>
      </c>
      <c r="B457" t="s">
        <v>3595</v>
      </c>
      <c r="C457" t="s">
        <v>4469</v>
      </c>
      <c r="D457" t="s">
        <v>3334</v>
      </c>
      <c r="E457" t="s">
        <v>4470</v>
      </c>
      <c r="F457" t="s">
        <v>4471</v>
      </c>
    </row>
    <row r="458" spans="1:6" ht="25.35" customHeight="1">
      <c r="A458" t="s">
        <v>3594</v>
      </c>
      <c r="B458" t="s">
        <v>3595</v>
      </c>
      <c r="C458" t="s">
        <v>4472</v>
      </c>
      <c r="D458" t="s">
        <v>3334</v>
      </c>
      <c r="E458" t="s">
        <v>4473</v>
      </c>
      <c r="F458" t="s">
        <v>4474</v>
      </c>
    </row>
    <row r="459" spans="1:6" ht="25.35" customHeight="1">
      <c r="A459" t="s">
        <v>4475</v>
      </c>
      <c r="B459" t="s">
        <v>4476</v>
      </c>
      <c r="C459" t="s">
        <v>3477</v>
      </c>
      <c r="D459" t="s">
        <v>3396</v>
      </c>
      <c r="E459" t="s">
        <v>4477</v>
      </c>
      <c r="F459" t="s">
        <v>2389</v>
      </c>
    </row>
    <row r="460" spans="1:6" ht="25.35" customHeight="1">
      <c r="A460" t="s">
        <v>4475</v>
      </c>
      <c r="B460" t="s">
        <v>4476</v>
      </c>
      <c r="C460" t="s">
        <v>3477</v>
      </c>
      <c r="D460" t="s">
        <v>3396</v>
      </c>
      <c r="E460" t="s">
        <v>4477</v>
      </c>
      <c r="F460" t="s">
        <v>2393</v>
      </c>
    </row>
    <row r="461" spans="1:6" ht="25.35" customHeight="1">
      <c r="A461" t="s">
        <v>4478</v>
      </c>
      <c r="B461" t="s">
        <v>4479</v>
      </c>
      <c r="C461" t="s">
        <v>4480</v>
      </c>
      <c r="D461" t="s">
        <v>3396</v>
      </c>
      <c r="E461" t="s">
        <v>4481</v>
      </c>
      <c r="F461" t="s">
        <v>2396</v>
      </c>
    </row>
    <row r="462" spans="1:6" ht="25.35" customHeight="1">
      <c r="A462" t="s">
        <v>4482</v>
      </c>
      <c r="B462" t="s">
        <v>4483</v>
      </c>
      <c r="C462" t="s">
        <v>3508</v>
      </c>
      <c r="D462" t="s">
        <v>3379</v>
      </c>
      <c r="E462" t="s">
        <v>4484</v>
      </c>
      <c r="F462" t="s">
        <v>2400</v>
      </c>
    </row>
    <row r="463" spans="1:6" ht="25.35" customHeight="1">
      <c r="A463" t="s">
        <v>4485</v>
      </c>
      <c r="B463" t="s">
        <v>4486</v>
      </c>
      <c r="C463" t="s">
        <v>3423</v>
      </c>
      <c r="D463" t="s">
        <v>4487</v>
      </c>
      <c r="E463" t="s">
        <v>4488</v>
      </c>
      <c r="F463" t="s">
        <v>2422</v>
      </c>
    </row>
    <row r="464" spans="1:6" ht="25.35" customHeight="1">
      <c r="A464" t="s">
        <v>4489</v>
      </c>
      <c r="B464" t="s">
        <v>4490</v>
      </c>
      <c r="C464" t="s">
        <v>4491</v>
      </c>
      <c r="D464" t="s">
        <v>3396</v>
      </c>
      <c r="E464" t="s">
        <v>4492</v>
      </c>
      <c r="F464" t="s">
        <v>2428</v>
      </c>
    </row>
    <row r="465" spans="1:6" ht="25.35" customHeight="1">
      <c r="A465" t="s">
        <v>4493</v>
      </c>
      <c r="B465" t="s">
        <v>4494</v>
      </c>
      <c r="C465" t="s">
        <v>4495</v>
      </c>
      <c r="D465" t="s">
        <v>3396</v>
      </c>
      <c r="E465" t="s">
        <v>4496</v>
      </c>
      <c r="F465" t="s">
        <v>2432</v>
      </c>
    </row>
    <row r="466" spans="1:6" ht="25.35" customHeight="1">
      <c r="A466" t="s">
        <v>533</v>
      </c>
      <c r="B466" t="s">
        <v>533</v>
      </c>
      <c r="C466" t="s">
        <v>4497</v>
      </c>
      <c r="D466" t="s">
        <v>3379</v>
      </c>
      <c r="E466" t="s">
        <v>4498</v>
      </c>
      <c r="F466" t="s">
        <v>828</v>
      </c>
    </row>
    <row r="467" spans="1:6" ht="25.35" customHeight="1">
      <c r="A467" t="s">
        <v>533</v>
      </c>
      <c r="B467" t="s">
        <v>533</v>
      </c>
      <c r="C467" t="s">
        <v>4499</v>
      </c>
      <c r="D467" t="s">
        <v>3384</v>
      </c>
      <c r="E467" t="s">
        <v>4500</v>
      </c>
      <c r="F467" t="s">
        <v>832</v>
      </c>
    </row>
    <row r="468" spans="1:6" ht="25.35" customHeight="1">
      <c r="A468" t="s">
        <v>4501</v>
      </c>
      <c r="B468" t="s">
        <v>4502</v>
      </c>
      <c r="C468" t="s">
        <v>4503</v>
      </c>
      <c r="D468" t="s">
        <v>3396</v>
      </c>
      <c r="E468" t="s">
        <v>4504</v>
      </c>
      <c r="F468" t="s">
        <v>2445</v>
      </c>
    </row>
    <row r="469" spans="1:6" ht="25.35" customHeight="1">
      <c r="A469" t="s">
        <v>4505</v>
      </c>
      <c r="B469" t="s">
        <v>4506</v>
      </c>
      <c r="C469" t="s">
        <v>4507</v>
      </c>
      <c r="D469" t="s">
        <v>3396</v>
      </c>
      <c r="E469" t="s">
        <v>4508</v>
      </c>
      <c r="F469" t="s">
        <v>2462</v>
      </c>
    </row>
    <row r="470" spans="1:6" ht="25.35" customHeight="1">
      <c r="A470" t="s">
        <v>4509</v>
      </c>
      <c r="B470" t="s">
        <v>4510</v>
      </c>
      <c r="C470" t="s">
        <v>4499</v>
      </c>
      <c r="D470" t="s">
        <v>3379</v>
      </c>
      <c r="E470" t="s">
        <v>4511</v>
      </c>
      <c r="F470" t="s">
        <v>2482</v>
      </c>
    </row>
    <row r="471" spans="1:6" ht="25.35" customHeight="1">
      <c r="A471" t="s">
        <v>4512</v>
      </c>
      <c r="B471" t="s">
        <v>4513</v>
      </c>
      <c r="C471" t="s">
        <v>4514</v>
      </c>
      <c r="D471" t="s">
        <v>3396</v>
      </c>
      <c r="E471" t="s">
        <v>4515</v>
      </c>
      <c r="F471" t="s">
        <v>2469</v>
      </c>
    </row>
    <row r="472" spans="1:6" ht="25.35" customHeight="1">
      <c r="A472" t="s">
        <v>4516</v>
      </c>
      <c r="B472" t="s">
        <v>4517</v>
      </c>
      <c r="C472" t="s">
        <v>3423</v>
      </c>
      <c r="D472" t="s">
        <v>3396</v>
      </c>
      <c r="E472" t="s">
        <v>4518</v>
      </c>
      <c r="F472" t="s">
        <v>2478</v>
      </c>
    </row>
    <row r="473" spans="1:6" ht="25.35" customHeight="1">
      <c r="A473" t="s">
        <v>4519</v>
      </c>
      <c r="B473" t="s">
        <v>4520</v>
      </c>
      <c r="C473" t="s">
        <v>1381</v>
      </c>
      <c r="D473" t="s">
        <v>3396</v>
      </c>
      <c r="E473" t="s">
        <v>4521</v>
      </c>
      <c r="F473" t="s">
        <v>2485</v>
      </c>
    </row>
    <row r="474" spans="1:6" ht="25.35" customHeight="1">
      <c r="A474" t="s">
        <v>4522</v>
      </c>
      <c r="B474" t="s">
        <v>4523</v>
      </c>
      <c r="C474" t="s">
        <v>4524</v>
      </c>
      <c r="D474" t="s">
        <v>3558</v>
      </c>
      <c r="E474" t="s">
        <v>4525</v>
      </c>
      <c r="F474" t="s">
        <v>2489</v>
      </c>
    </row>
    <row r="475" spans="1:6" ht="25.35" customHeight="1">
      <c r="A475" t="s">
        <v>4526</v>
      </c>
      <c r="B475" t="s">
        <v>3576</v>
      </c>
      <c r="C475" t="s">
        <v>4527</v>
      </c>
      <c r="D475" t="s">
        <v>4528</v>
      </c>
      <c r="E475" t="s">
        <v>4529</v>
      </c>
      <c r="F475" t="s">
        <v>2551</v>
      </c>
    </row>
    <row r="476" spans="1:6" ht="25.35" customHeight="1">
      <c r="A476" t="s">
        <v>4530</v>
      </c>
      <c r="B476" t="s">
        <v>4531</v>
      </c>
      <c r="C476" t="s">
        <v>4532</v>
      </c>
      <c r="D476" t="s">
        <v>4528</v>
      </c>
      <c r="E476" t="s">
        <v>4533</v>
      </c>
      <c r="F476" t="s">
        <v>2557</v>
      </c>
    </row>
    <row r="477" spans="1:6" ht="25.35" customHeight="1">
      <c r="A477" t="s">
        <v>4534</v>
      </c>
      <c r="B477" t="s">
        <v>4535</v>
      </c>
      <c r="C477" t="s">
        <v>4536</v>
      </c>
      <c r="D477" t="s">
        <v>4528</v>
      </c>
      <c r="E477" t="s">
        <v>4537</v>
      </c>
      <c r="F477" t="s">
        <v>2563</v>
      </c>
    </row>
    <row r="478" spans="1:6" ht="25.35" customHeight="1">
      <c r="A478" t="s">
        <v>4538</v>
      </c>
      <c r="B478" t="s">
        <v>4539</v>
      </c>
      <c r="C478" t="s">
        <v>4540</v>
      </c>
      <c r="D478" t="s">
        <v>3685</v>
      </c>
      <c r="E478" t="s">
        <v>4541</v>
      </c>
      <c r="F478" t="s">
        <v>4542</v>
      </c>
    </row>
    <row r="479" spans="1:6" ht="25.35" customHeight="1">
      <c r="A479" t="s">
        <v>4543</v>
      </c>
      <c r="B479" t="s">
        <v>533</v>
      </c>
      <c r="C479" t="s">
        <v>1381</v>
      </c>
      <c r="D479" t="s">
        <v>3685</v>
      </c>
      <c r="E479" t="s">
        <v>4544</v>
      </c>
      <c r="F479" t="s">
        <v>4545</v>
      </c>
    </row>
    <row r="480" spans="1:6" ht="25.35" customHeight="1">
      <c r="A480" t="s">
        <v>533</v>
      </c>
      <c r="B480" t="s">
        <v>533</v>
      </c>
      <c r="C480" t="s">
        <v>1381</v>
      </c>
      <c r="D480" t="s">
        <v>3685</v>
      </c>
      <c r="E480" t="s">
        <v>4546</v>
      </c>
      <c r="F480" t="s">
        <v>4547</v>
      </c>
    </row>
    <row r="481" spans="1:6" ht="25.35" customHeight="1">
      <c r="A481" t="s">
        <v>4548</v>
      </c>
      <c r="B481" t="s">
        <v>533</v>
      </c>
      <c r="C481" t="s">
        <v>4549</v>
      </c>
      <c r="D481" t="s">
        <v>3685</v>
      </c>
      <c r="E481" t="s">
        <v>4550</v>
      </c>
      <c r="F481" t="s">
        <v>4551</v>
      </c>
    </row>
    <row r="482" spans="1:6" ht="25.35" customHeight="1">
      <c r="A482" t="s">
        <v>4548</v>
      </c>
      <c r="B482" t="s">
        <v>533</v>
      </c>
      <c r="C482" t="s">
        <v>4552</v>
      </c>
      <c r="D482" t="s">
        <v>3685</v>
      </c>
      <c r="E482" t="s">
        <v>4550</v>
      </c>
      <c r="F482" t="s">
        <v>4553</v>
      </c>
    </row>
    <row r="483" spans="1:6" ht="25.35" customHeight="1">
      <c r="A483" t="s">
        <v>4554</v>
      </c>
      <c r="B483" t="s">
        <v>533</v>
      </c>
      <c r="C483" t="s">
        <v>4555</v>
      </c>
      <c r="D483" t="s">
        <v>3685</v>
      </c>
      <c r="E483" t="s">
        <v>4556</v>
      </c>
      <c r="F483" t="s">
        <v>4557</v>
      </c>
    </row>
    <row r="484" spans="1:6" ht="25.35" customHeight="1">
      <c r="A484" t="s">
        <v>4558</v>
      </c>
      <c r="B484" t="s">
        <v>533</v>
      </c>
      <c r="C484" t="s">
        <v>1381</v>
      </c>
      <c r="D484" t="s">
        <v>3685</v>
      </c>
      <c r="E484" t="s">
        <v>4559</v>
      </c>
      <c r="F484" t="s">
        <v>4560</v>
      </c>
    </row>
    <row r="485" spans="1:6" ht="25.35" customHeight="1">
      <c r="A485" t="s">
        <v>533</v>
      </c>
      <c r="B485" t="s">
        <v>533</v>
      </c>
      <c r="C485" t="s">
        <v>4561</v>
      </c>
      <c r="D485" t="s">
        <v>3685</v>
      </c>
      <c r="E485" t="s">
        <v>4562</v>
      </c>
      <c r="F485" t="s">
        <v>2570</v>
      </c>
    </row>
    <row r="486" spans="1:6" ht="25.35" customHeight="1">
      <c r="A486" t="s">
        <v>4563</v>
      </c>
      <c r="B486" t="s">
        <v>533</v>
      </c>
      <c r="C486" t="s">
        <v>4564</v>
      </c>
      <c r="D486" t="s">
        <v>4565</v>
      </c>
      <c r="E486" t="s">
        <v>4454</v>
      </c>
      <c r="F486" t="s">
        <v>2574</v>
      </c>
    </row>
    <row r="487" spans="1:6" ht="25.35" customHeight="1">
      <c r="A487" t="s">
        <v>4566</v>
      </c>
      <c r="B487" t="s">
        <v>533</v>
      </c>
      <c r="C487" t="s">
        <v>4567</v>
      </c>
      <c r="D487" t="s">
        <v>4565</v>
      </c>
      <c r="E487" t="s">
        <v>4568</v>
      </c>
      <c r="F487" t="s">
        <v>2581</v>
      </c>
    </row>
    <row r="488" spans="1:6" ht="25.35" customHeight="1">
      <c r="A488" t="s">
        <v>4569</v>
      </c>
      <c r="B488" t="s">
        <v>4569</v>
      </c>
      <c r="C488" t="s">
        <v>4570</v>
      </c>
      <c r="D488" t="s">
        <v>4571</v>
      </c>
      <c r="E488" t="s">
        <v>4572</v>
      </c>
      <c r="F488" t="s">
        <v>2592</v>
      </c>
    </row>
    <row r="489" spans="1:6" ht="25.35" customHeight="1">
      <c r="A489" t="s">
        <v>4573</v>
      </c>
      <c r="B489" t="s">
        <v>533</v>
      </c>
      <c r="C489" t="s">
        <v>4574</v>
      </c>
      <c r="D489" t="s">
        <v>4565</v>
      </c>
      <c r="E489" t="s">
        <v>4575</v>
      </c>
      <c r="F489" t="s">
        <v>2597</v>
      </c>
    </row>
    <row r="490" spans="1:6" ht="25.35" customHeight="1">
      <c r="A490" t="s">
        <v>4576</v>
      </c>
      <c r="B490" t="s">
        <v>533</v>
      </c>
      <c r="C490" t="s">
        <v>4577</v>
      </c>
      <c r="D490" t="s">
        <v>4578</v>
      </c>
      <c r="E490" t="s">
        <v>4579</v>
      </c>
      <c r="F490" t="s">
        <v>2610</v>
      </c>
    </row>
    <row r="491" spans="1:6" ht="25.35" customHeight="1">
      <c r="A491" t="s">
        <v>4580</v>
      </c>
      <c r="B491" t="s">
        <v>533</v>
      </c>
      <c r="C491" t="s">
        <v>4581</v>
      </c>
      <c r="D491" t="s">
        <v>4565</v>
      </c>
      <c r="E491" t="s">
        <v>4582</v>
      </c>
      <c r="F491" t="s">
        <v>2619</v>
      </c>
    </row>
    <row r="492" spans="1:6" ht="25.35" customHeight="1">
      <c r="A492" t="s">
        <v>4583</v>
      </c>
      <c r="B492" t="s">
        <v>4584</v>
      </c>
      <c r="C492" t="s">
        <v>4585</v>
      </c>
      <c r="D492" t="s">
        <v>3685</v>
      </c>
      <c r="E492" t="s">
        <v>4586</v>
      </c>
      <c r="F492" t="s">
        <v>4587</v>
      </c>
    </row>
    <row r="493" spans="1:6" ht="25.35" customHeight="1">
      <c r="A493" t="s">
        <v>4576</v>
      </c>
      <c r="B493" t="s">
        <v>533</v>
      </c>
      <c r="C493" t="s">
        <v>4588</v>
      </c>
      <c r="D493" t="s">
        <v>3709</v>
      </c>
      <c r="E493" t="s">
        <v>4589</v>
      </c>
      <c r="F493" t="s">
        <v>2630</v>
      </c>
    </row>
    <row r="494" spans="1:6" ht="25.35" customHeight="1">
      <c r="A494" t="s">
        <v>4590</v>
      </c>
      <c r="B494" t="s">
        <v>533</v>
      </c>
      <c r="C494" t="s">
        <v>4591</v>
      </c>
      <c r="D494" t="s">
        <v>4565</v>
      </c>
      <c r="E494" t="s">
        <v>4592</v>
      </c>
      <c r="F494" t="s">
        <v>2634</v>
      </c>
    </row>
    <row r="495" spans="1:6" ht="25.35" customHeight="1">
      <c r="A495" t="s">
        <v>4593</v>
      </c>
      <c r="B495" t="s">
        <v>4594</v>
      </c>
      <c r="C495" t="s">
        <v>4595</v>
      </c>
      <c r="D495" t="s">
        <v>3709</v>
      </c>
      <c r="E495" t="s">
        <v>4596</v>
      </c>
      <c r="F495" t="s">
        <v>4597</v>
      </c>
    </row>
    <row r="496" spans="1:6" ht="25.35" customHeight="1">
      <c r="A496" t="s">
        <v>4598</v>
      </c>
      <c r="B496" t="s">
        <v>4584</v>
      </c>
      <c r="C496" s="62" t="s">
        <v>4599</v>
      </c>
      <c r="D496" t="s">
        <v>3685</v>
      </c>
      <c r="E496" t="s">
        <v>4600</v>
      </c>
      <c r="F496" t="s">
        <v>2640</v>
      </c>
    </row>
    <row r="497" spans="1:6" ht="25.35" customHeight="1">
      <c r="A497" t="s">
        <v>4601</v>
      </c>
      <c r="B497" t="s">
        <v>533</v>
      </c>
      <c r="C497" t="s">
        <v>4602</v>
      </c>
      <c r="D497" t="s">
        <v>4565</v>
      </c>
      <c r="E497" t="s">
        <v>4603</v>
      </c>
      <c r="F497" t="s">
        <v>2648</v>
      </c>
    </row>
    <row r="498" spans="1:6" ht="25.35" customHeight="1">
      <c r="A498" t="s">
        <v>4604</v>
      </c>
      <c r="B498" t="s">
        <v>4605</v>
      </c>
      <c r="C498" t="s">
        <v>4606</v>
      </c>
      <c r="D498" t="s">
        <v>3709</v>
      </c>
      <c r="E498" t="s">
        <v>4607</v>
      </c>
      <c r="F498" t="s">
        <v>4608</v>
      </c>
    </row>
    <row r="499" spans="1:6" ht="25.35" customHeight="1">
      <c r="A499" s="62" t="s">
        <v>4609</v>
      </c>
      <c r="B499" t="s">
        <v>533</v>
      </c>
      <c r="C499" t="s">
        <v>4610</v>
      </c>
      <c r="D499" t="s">
        <v>3709</v>
      </c>
      <c r="E499" t="s">
        <v>4611</v>
      </c>
      <c r="F499" t="s">
        <v>2653</v>
      </c>
    </row>
    <row r="500" spans="1:6" ht="25.35" customHeight="1">
      <c r="A500" t="s">
        <v>4612</v>
      </c>
      <c r="B500" t="s">
        <v>533</v>
      </c>
      <c r="C500" t="s">
        <v>4613</v>
      </c>
      <c r="D500" t="s">
        <v>4565</v>
      </c>
      <c r="E500" t="s">
        <v>4614</v>
      </c>
      <c r="F500" t="s">
        <v>2679</v>
      </c>
    </row>
    <row r="501" spans="1:6" ht="25.35" customHeight="1">
      <c r="A501" t="s">
        <v>4615</v>
      </c>
      <c r="B501" t="s">
        <v>4616</v>
      </c>
      <c r="C501" t="s">
        <v>3689</v>
      </c>
      <c r="D501" t="s">
        <v>3685</v>
      </c>
      <c r="E501" t="s">
        <v>4617</v>
      </c>
      <c r="F501" t="s">
        <v>1174</v>
      </c>
    </row>
    <row r="502" spans="1:6" ht="25.35" customHeight="1">
      <c r="A502" t="s">
        <v>4618</v>
      </c>
      <c r="B502" t="s">
        <v>4619</v>
      </c>
      <c r="C502" t="s">
        <v>4620</v>
      </c>
      <c r="D502" t="s">
        <v>3709</v>
      </c>
      <c r="E502" t="s">
        <v>4621</v>
      </c>
      <c r="F502" t="s">
        <v>4622</v>
      </c>
    </row>
    <row r="503" spans="1:6" ht="25.35" customHeight="1">
      <c r="A503" t="s">
        <v>4623</v>
      </c>
      <c r="B503" t="s">
        <v>4624</v>
      </c>
      <c r="C503" t="s">
        <v>4625</v>
      </c>
      <c r="D503" t="s">
        <v>3709</v>
      </c>
      <c r="E503" t="s">
        <v>4626</v>
      </c>
      <c r="F503" t="s">
        <v>1180</v>
      </c>
    </row>
    <row r="504" spans="1:6" ht="25.35" customHeight="1">
      <c r="A504" t="s">
        <v>4627</v>
      </c>
      <c r="B504" t="s">
        <v>4628</v>
      </c>
      <c r="C504" t="s">
        <v>4629</v>
      </c>
      <c r="D504" t="s">
        <v>3709</v>
      </c>
      <c r="E504" t="s">
        <v>4630</v>
      </c>
      <c r="F504" t="s">
        <v>1184</v>
      </c>
    </row>
    <row r="505" spans="1:6" ht="25.35" customHeight="1">
      <c r="A505" t="s">
        <v>4631</v>
      </c>
      <c r="B505" t="s">
        <v>4632</v>
      </c>
      <c r="C505" t="s">
        <v>4633</v>
      </c>
      <c r="D505" t="s">
        <v>3709</v>
      </c>
      <c r="E505" t="s">
        <v>4634</v>
      </c>
      <c r="F505" t="s">
        <v>1188</v>
      </c>
    </row>
    <row r="506" spans="1:6" ht="25.35" customHeight="1">
      <c r="A506" t="s">
        <v>4635</v>
      </c>
      <c r="B506" t="s">
        <v>4635</v>
      </c>
      <c r="C506" t="s">
        <v>4636</v>
      </c>
      <c r="D506" t="s">
        <v>3685</v>
      </c>
      <c r="E506" t="s">
        <v>4637</v>
      </c>
      <c r="F506" t="s">
        <v>1196</v>
      </c>
    </row>
    <row r="507" spans="1:6" ht="25.35" customHeight="1">
      <c r="A507" t="s">
        <v>4638</v>
      </c>
      <c r="B507" t="s">
        <v>4639</v>
      </c>
      <c r="C507" t="s">
        <v>4640</v>
      </c>
      <c r="D507" t="s">
        <v>3709</v>
      </c>
      <c r="E507" t="s">
        <v>4641</v>
      </c>
      <c r="F507" t="s">
        <v>1205</v>
      </c>
    </row>
    <row r="508" spans="1:6" ht="25.35" customHeight="1">
      <c r="A508" s="62" t="s">
        <v>4642</v>
      </c>
      <c r="B508" t="s">
        <v>4643</v>
      </c>
      <c r="C508" t="s">
        <v>4644</v>
      </c>
      <c r="D508" t="s">
        <v>3709</v>
      </c>
      <c r="E508" t="s">
        <v>4645</v>
      </c>
      <c r="F508" t="s">
        <v>1209</v>
      </c>
    </row>
    <row r="509" spans="1:6" ht="25.35" customHeight="1">
      <c r="A509" s="62" t="s">
        <v>4642</v>
      </c>
      <c r="B509" t="s">
        <v>4643</v>
      </c>
      <c r="C509" t="s">
        <v>4644</v>
      </c>
      <c r="D509" t="s">
        <v>3709</v>
      </c>
      <c r="E509" t="s">
        <v>4646</v>
      </c>
      <c r="F509" t="s">
        <v>1209</v>
      </c>
    </row>
    <row r="510" spans="1:6" ht="25.35" customHeight="1">
      <c r="A510" t="s">
        <v>3547</v>
      </c>
      <c r="B510" t="s">
        <v>3179</v>
      </c>
      <c r="C510" t="s">
        <v>4647</v>
      </c>
      <c r="D510" t="s">
        <v>3709</v>
      </c>
      <c r="E510" t="s">
        <v>4630</v>
      </c>
      <c r="F510" t="s">
        <v>1216</v>
      </c>
    </row>
    <row r="511" spans="1:6" ht="25.35" customHeight="1">
      <c r="A511" t="s">
        <v>4648</v>
      </c>
      <c r="B511" t="s">
        <v>4649</v>
      </c>
      <c r="C511" t="s">
        <v>4650</v>
      </c>
      <c r="D511" t="s">
        <v>3709</v>
      </c>
      <c r="E511" t="s">
        <v>4651</v>
      </c>
      <c r="F511" t="s">
        <v>1220</v>
      </c>
    </row>
    <row r="512" spans="1:6" ht="25.35" customHeight="1">
      <c r="A512" t="s">
        <v>4652</v>
      </c>
      <c r="B512" t="s">
        <v>4653</v>
      </c>
      <c r="C512" t="s">
        <v>4654</v>
      </c>
      <c r="D512" t="s">
        <v>3709</v>
      </c>
      <c r="E512" t="s">
        <v>4655</v>
      </c>
      <c r="F512" t="s">
        <v>1224</v>
      </c>
    </row>
    <row r="513" spans="1:6" ht="25.35" customHeight="1">
      <c r="A513" t="s">
        <v>4656</v>
      </c>
      <c r="B513" t="s">
        <v>4657</v>
      </c>
      <c r="C513" t="s">
        <v>4658</v>
      </c>
      <c r="D513" t="s">
        <v>3709</v>
      </c>
      <c r="E513" t="s">
        <v>4659</v>
      </c>
      <c r="F513" t="s">
        <v>1228</v>
      </c>
    </row>
    <row r="514" spans="1:6" ht="25.35" customHeight="1">
      <c r="A514" t="s">
        <v>4660</v>
      </c>
      <c r="B514" t="s">
        <v>4661</v>
      </c>
      <c r="C514" t="s">
        <v>4662</v>
      </c>
      <c r="D514" t="s">
        <v>3685</v>
      </c>
      <c r="E514" t="s">
        <v>4663</v>
      </c>
      <c r="F514" t="s">
        <v>1232</v>
      </c>
    </row>
    <row r="515" spans="1:6" ht="25.35" customHeight="1">
      <c r="A515" t="s">
        <v>4664</v>
      </c>
      <c r="B515" t="s">
        <v>533</v>
      </c>
      <c r="C515" t="s">
        <v>4665</v>
      </c>
      <c r="D515" t="s">
        <v>4565</v>
      </c>
      <c r="E515" t="s">
        <v>4666</v>
      </c>
      <c r="F515" t="s">
        <v>2689</v>
      </c>
    </row>
    <row r="516" spans="1:6" ht="25.35" customHeight="1">
      <c r="A516" t="s">
        <v>4667</v>
      </c>
      <c r="B516" t="s">
        <v>4668</v>
      </c>
      <c r="C516" t="s">
        <v>4669</v>
      </c>
      <c r="D516" t="s">
        <v>3722</v>
      </c>
      <c r="E516" t="s">
        <v>4670</v>
      </c>
      <c r="F516" t="s">
        <v>2694</v>
      </c>
    </row>
    <row r="517" spans="1:6" ht="25.35" customHeight="1">
      <c r="A517" t="s">
        <v>4671</v>
      </c>
      <c r="B517" t="s">
        <v>4672</v>
      </c>
      <c r="C517" t="s">
        <v>4669</v>
      </c>
      <c r="D517" t="s">
        <v>3722</v>
      </c>
      <c r="E517" t="s">
        <v>4673</v>
      </c>
      <c r="F517" t="s">
        <v>2699</v>
      </c>
    </row>
    <row r="518" spans="1:6" ht="25.35" customHeight="1">
      <c r="A518" t="s">
        <v>4674</v>
      </c>
      <c r="B518" t="s">
        <v>4675</v>
      </c>
      <c r="C518" t="s">
        <v>4669</v>
      </c>
      <c r="D518" t="s">
        <v>3722</v>
      </c>
      <c r="E518" t="s">
        <v>4676</v>
      </c>
      <c r="F518" t="s">
        <v>2703</v>
      </c>
    </row>
    <row r="519" spans="1:6" ht="25.35" customHeight="1">
      <c r="A519" t="s">
        <v>4677</v>
      </c>
      <c r="B519" t="s">
        <v>533</v>
      </c>
      <c r="C519" t="s">
        <v>4678</v>
      </c>
      <c r="D519" t="s">
        <v>4679</v>
      </c>
      <c r="E519" t="s">
        <v>4680</v>
      </c>
      <c r="F519" t="s">
        <v>2707</v>
      </c>
    </row>
    <row r="520" spans="1:6" ht="25.35" customHeight="1">
      <c r="A520" t="s">
        <v>4681</v>
      </c>
      <c r="B520" s="62" t="s">
        <v>4682</v>
      </c>
      <c r="C520" t="s">
        <v>4669</v>
      </c>
      <c r="D520" t="s">
        <v>3722</v>
      </c>
      <c r="E520" t="s">
        <v>4670</v>
      </c>
      <c r="F520" t="s">
        <v>2713</v>
      </c>
    </row>
    <row r="521" spans="1:6" ht="25.35" customHeight="1">
      <c r="A521" t="s">
        <v>4671</v>
      </c>
      <c r="B521" t="s">
        <v>4672</v>
      </c>
      <c r="C521" t="s">
        <v>4669</v>
      </c>
      <c r="D521" t="s">
        <v>3722</v>
      </c>
      <c r="E521" t="s">
        <v>4673</v>
      </c>
      <c r="F521" t="s">
        <v>2717</v>
      </c>
    </row>
    <row r="522" spans="1:6" ht="25.35" customHeight="1">
      <c r="A522" t="s">
        <v>4667</v>
      </c>
      <c r="B522" s="62" t="s">
        <v>4683</v>
      </c>
      <c r="C522" t="s">
        <v>4669</v>
      </c>
      <c r="D522" t="s">
        <v>3722</v>
      </c>
      <c r="E522" t="s">
        <v>4670</v>
      </c>
      <c r="F522" t="s">
        <v>2721</v>
      </c>
    </row>
    <row r="523" spans="1:6" ht="25.35" customHeight="1">
      <c r="A523" t="s">
        <v>4684</v>
      </c>
      <c r="B523" s="62" t="s">
        <v>4685</v>
      </c>
      <c r="C523" t="s">
        <v>4669</v>
      </c>
      <c r="D523" t="s">
        <v>3722</v>
      </c>
      <c r="E523" t="s">
        <v>4686</v>
      </c>
      <c r="F523" t="s">
        <v>2725</v>
      </c>
    </row>
    <row r="524" spans="1:6" ht="25.35" customHeight="1">
      <c r="A524" t="s">
        <v>4681</v>
      </c>
      <c r="B524" s="62" t="s">
        <v>4687</v>
      </c>
      <c r="C524" t="s">
        <v>4669</v>
      </c>
      <c r="D524" t="s">
        <v>3722</v>
      </c>
      <c r="E524" t="s">
        <v>4670</v>
      </c>
      <c r="F524" t="s">
        <v>2729</v>
      </c>
    </row>
    <row r="525" spans="1:6" ht="25.35" customHeight="1">
      <c r="A525" t="s">
        <v>4688</v>
      </c>
      <c r="B525" s="62" t="s">
        <v>4689</v>
      </c>
      <c r="C525" t="s">
        <v>4690</v>
      </c>
      <c r="D525" t="s">
        <v>3801</v>
      </c>
      <c r="E525" t="s">
        <v>4691</v>
      </c>
      <c r="F525" t="s">
        <v>2733</v>
      </c>
    </row>
    <row r="526" spans="1:6" ht="25.35" customHeight="1">
      <c r="A526" t="s">
        <v>4692</v>
      </c>
      <c r="B526" s="62" t="s">
        <v>4693</v>
      </c>
      <c r="C526" t="s">
        <v>4690</v>
      </c>
      <c r="D526" t="s">
        <v>3806</v>
      </c>
      <c r="E526" t="s">
        <v>4694</v>
      </c>
      <c r="F526" t="s">
        <v>2738</v>
      </c>
    </row>
    <row r="527" spans="1:6" ht="25.35" customHeight="1">
      <c r="A527" t="s">
        <v>4688</v>
      </c>
      <c r="B527" s="62" t="s">
        <v>4689</v>
      </c>
      <c r="C527" t="s">
        <v>4690</v>
      </c>
      <c r="D527" t="s">
        <v>3801</v>
      </c>
      <c r="E527" t="s">
        <v>4695</v>
      </c>
      <c r="F527" t="s">
        <v>2742</v>
      </c>
    </row>
    <row r="528" spans="1:6" ht="25.35" customHeight="1">
      <c r="A528" t="s">
        <v>4696</v>
      </c>
      <c r="B528" s="62" t="s">
        <v>4697</v>
      </c>
      <c r="C528" t="s">
        <v>4690</v>
      </c>
      <c r="D528" t="s">
        <v>3801</v>
      </c>
      <c r="E528" t="s">
        <v>4488</v>
      </c>
      <c r="F528" t="s">
        <v>2746</v>
      </c>
    </row>
    <row r="529" spans="1:6" ht="25.35" customHeight="1">
      <c r="A529" t="s">
        <v>4698</v>
      </c>
      <c r="B529" s="62" t="s">
        <v>4699</v>
      </c>
      <c r="C529" t="s">
        <v>4690</v>
      </c>
      <c r="D529" t="s">
        <v>3801</v>
      </c>
      <c r="E529" t="s">
        <v>4700</v>
      </c>
      <c r="F529" t="s">
        <v>2746</v>
      </c>
    </row>
    <row r="530" spans="1:6" ht="25.35" customHeight="1">
      <c r="A530" t="s">
        <v>4696</v>
      </c>
      <c r="B530" s="62" t="s">
        <v>4697</v>
      </c>
      <c r="C530" t="s">
        <v>4690</v>
      </c>
      <c r="D530" t="s">
        <v>3801</v>
      </c>
      <c r="E530" t="s">
        <v>4488</v>
      </c>
      <c r="F530" t="s">
        <v>2752</v>
      </c>
    </row>
    <row r="531" spans="1:6" ht="25.35" customHeight="1">
      <c r="A531" t="s">
        <v>3357</v>
      </c>
      <c r="B531" t="s">
        <v>533</v>
      </c>
      <c r="C531" t="s">
        <v>4701</v>
      </c>
      <c r="D531" t="s">
        <v>4702</v>
      </c>
      <c r="E531" t="s">
        <v>4703</v>
      </c>
      <c r="F531" t="s">
        <v>2756</v>
      </c>
    </row>
    <row r="532" spans="1:6" ht="25.35" customHeight="1">
      <c r="A532" t="s">
        <v>4696</v>
      </c>
      <c r="B532" s="62" t="s">
        <v>4697</v>
      </c>
      <c r="C532" t="s">
        <v>4690</v>
      </c>
      <c r="D532" t="s">
        <v>3801</v>
      </c>
      <c r="E532" t="s">
        <v>4488</v>
      </c>
      <c r="F532" t="s">
        <v>2761</v>
      </c>
    </row>
    <row r="533" spans="1:6" ht="25.35" customHeight="1">
      <c r="A533" t="s">
        <v>4696</v>
      </c>
      <c r="B533" s="62" t="s">
        <v>4697</v>
      </c>
      <c r="C533" t="s">
        <v>4690</v>
      </c>
      <c r="D533" t="s">
        <v>3801</v>
      </c>
      <c r="E533" t="s">
        <v>4488</v>
      </c>
      <c r="F533" t="s">
        <v>2765</v>
      </c>
    </row>
    <row r="534" spans="1:6" ht="25.35" customHeight="1">
      <c r="A534" t="s">
        <v>4704</v>
      </c>
      <c r="B534" t="s">
        <v>533</v>
      </c>
      <c r="C534" t="s">
        <v>4705</v>
      </c>
      <c r="D534" t="s">
        <v>4702</v>
      </c>
      <c r="E534" t="s">
        <v>4706</v>
      </c>
      <c r="F534" t="s">
        <v>2768</v>
      </c>
    </row>
    <row r="535" spans="1:6" ht="25.35" customHeight="1">
      <c r="A535" t="s">
        <v>4707</v>
      </c>
      <c r="B535" t="s">
        <v>4708</v>
      </c>
      <c r="C535" t="s">
        <v>4690</v>
      </c>
      <c r="D535" t="s">
        <v>3801</v>
      </c>
      <c r="E535" t="s">
        <v>4709</v>
      </c>
      <c r="F535" t="s">
        <v>2772</v>
      </c>
    </row>
    <row r="536" spans="1:6" ht="25.35" customHeight="1">
      <c r="A536" t="s">
        <v>4710</v>
      </c>
      <c r="B536" t="s">
        <v>4711</v>
      </c>
      <c r="C536" t="s">
        <v>4712</v>
      </c>
      <c r="D536" t="s">
        <v>3801</v>
      </c>
      <c r="E536" t="s">
        <v>4713</v>
      </c>
      <c r="F536" t="s">
        <v>2776</v>
      </c>
    </row>
    <row r="537" spans="1:6" ht="25.35" customHeight="1">
      <c r="A537" t="s">
        <v>4714</v>
      </c>
      <c r="B537" s="62" t="s">
        <v>4715</v>
      </c>
      <c r="C537" t="s">
        <v>4690</v>
      </c>
      <c r="D537" t="s">
        <v>3801</v>
      </c>
      <c r="E537" t="s">
        <v>4716</v>
      </c>
      <c r="F537" t="s">
        <v>2780</v>
      </c>
    </row>
    <row r="538" spans="1:6" ht="25.35" customHeight="1">
      <c r="A538" t="s">
        <v>4704</v>
      </c>
      <c r="B538" t="s">
        <v>533</v>
      </c>
      <c r="C538" t="s">
        <v>4705</v>
      </c>
      <c r="D538" t="s">
        <v>4702</v>
      </c>
      <c r="E538" t="s">
        <v>4706</v>
      </c>
      <c r="F538" t="s">
        <v>2784</v>
      </c>
    </row>
    <row r="539" spans="1:6" ht="25.35" customHeight="1">
      <c r="A539" t="s">
        <v>4717</v>
      </c>
      <c r="B539" t="s">
        <v>4718</v>
      </c>
      <c r="C539" t="s">
        <v>4719</v>
      </c>
      <c r="D539" t="s">
        <v>3801</v>
      </c>
      <c r="E539" t="s">
        <v>4720</v>
      </c>
      <c r="F539" t="s">
        <v>2793</v>
      </c>
    </row>
    <row r="540" spans="1:6" ht="25.35" customHeight="1">
      <c r="A540" t="s">
        <v>4696</v>
      </c>
      <c r="B540" s="62" t="s">
        <v>4697</v>
      </c>
      <c r="C540" t="s">
        <v>4690</v>
      </c>
      <c r="D540" t="s">
        <v>3801</v>
      </c>
      <c r="E540" t="s">
        <v>4488</v>
      </c>
      <c r="F540" t="s">
        <v>2797</v>
      </c>
    </row>
    <row r="541" spans="1:6" ht="25.35" customHeight="1">
      <c r="A541" t="s">
        <v>4721</v>
      </c>
      <c r="B541" t="s">
        <v>533</v>
      </c>
      <c r="C541" t="s">
        <v>4705</v>
      </c>
      <c r="D541" t="s">
        <v>4702</v>
      </c>
      <c r="E541" t="s">
        <v>4706</v>
      </c>
      <c r="F541" t="s">
        <v>2800</v>
      </c>
    </row>
    <row r="542" spans="1:6" ht="25.35" customHeight="1">
      <c r="A542" t="s">
        <v>4696</v>
      </c>
      <c r="B542" s="62" t="s">
        <v>4697</v>
      </c>
      <c r="C542" t="s">
        <v>4690</v>
      </c>
      <c r="D542" t="s">
        <v>3801</v>
      </c>
      <c r="E542" t="s">
        <v>4488</v>
      </c>
      <c r="F542" t="s">
        <v>2808</v>
      </c>
    </row>
    <row r="543" spans="1:6" ht="25.35" customHeight="1">
      <c r="A543" t="s">
        <v>3357</v>
      </c>
      <c r="B543" t="s">
        <v>533</v>
      </c>
      <c r="C543" t="s">
        <v>4705</v>
      </c>
      <c r="D543" t="s">
        <v>4702</v>
      </c>
      <c r="E543" t="s">
        <v>4722</v>
      </c>
      <c r="F543" t="s">
        <v>2812</v>
      </c>
    </row>
    <row r="544" spans="1:6" ht="25.35" customHeight="1">
      <c r="A544" t="s">
        <v>4696</v>
      </c>
      <c r="B544" s="62" t="s">
        <v>4697</v>
      </c>
      <c r="C544" t="s">
        <v>4690</v>
      </c>
      <c r="D544" t="s">
        <v>3801</v>
      </c>
      <c r="E544" t="s">
        <v>4488</v>
      </c>
      <c r="F544" t="s">
        <v>2824</v>
      </c>
    </row>
    <row r="545" spans="1:6" ht="25.35" customHeight="1">
      <c r="A545" t="s">
        <v>4723</v>
      </c>
      <c r="B545" t="s">
        <v>533</v>
      </c>
      <c r="C545" t="s">
        <v>4724</v>
      </c>
      <c r="D545" t="s">
        <v>4702</v>
      </c>
      <c r="E545" t="s">
        <v>4725</v>
      </c>
      <c r="F545" t="s">
        <v>2828</v>
      </c>
    </row>
    <row r="546" spans="1:6" ht="25.35" customHeight="1">
      <c r="A546" t="s">
        <v>4726</v>
      </c>
      <c r="B546" t="s">
        <v>4727</v>
      </c>
      <c r="C546" t="s">
        <v>4690</v>
      </c>
      <c r="D546" t="s">
        <v>3801</v>
      </c>
      <c r="E546" t="s">
        <v>4728</v>
      </c>
      <c r="F546" t="s">
        <v>2841</v>
      </c>
    </row>
    <row r="547" spans="1:6" ht="25.35" customHeight="1">
      <c r="A547" t="s">
        <v>4696</v>
      </c>
      <c r="B547" s="62" t="s">
        <v>4697</v>
      </c>
      <c r="C547" t="s">
        <v>4690</v>
      </c>
      <c r="D547" t="s">
        <v>3801</v>
      </c>
      <c r="E547" t="s">
        <v>4488</v>
      </c>
      <c r="F547" t="s">
        <v>2845</v>
      </c>
    </row>
    <row r="548" spans="1:6" ht="25.35" customHeight="1">
      <c r="A548" t="s">
        <v>4729</v>
      </c>
      <c r="B548" s="62" t="s">
        <v>4730</v>
      </c>
      <c r="C548" t="s">
        <v>4690</v>
      </c>
      <c r="D548" t="s">
        <v>3801</v>
      </c>
      <c r="E548" t="s">
        <v>4731</v>
      </c>
      <c r="F548" t="s">
        <v>2849</v>
      </c>
    </row>
    <row r="549" spans="1:6" ht="25.35" customHeight="1">
      <c r="A549" t="s">
        <v>4732</v>
      </c>
      <c r="B549" s="62" t="s">
        <v>4733</v>
      </c>
      <c r="C549" t="s">
        <v>4690</v>
      </c>
      <c r="D549" t="s">
        <v>3801</v>
      </c>
      <c r="E549" t="s">
        <v>4734</v>
      </c>
      <c r="F549" t="s">
        <v>2853</v>
      </c>
    </row>
    <row r="550" spans="1:6" ht="25.35" customHeight="1">
      <c r="A550" t="s">
        <v>4732</v>
      </c>
      <c r="B550" s="62" t="s">
        <v>4733</v>
      </c>
      <c r="C550" t="s">
        <v>4690</v>
      </c>
      <c r="D550" t="s">
        <v>3801</v>
      </c>
      <c r="E550" t="s">
        <v>4734</v>
      </c>
      <c r="F550" t="s">
        <v>2853</v>
      </c>
    </row>
    <row r="551" spans="1:6" ht="25.35" customHeight="1">
      <c r="A551" s="62" t="s">
        <v>4735</v>
      </c>
      <c r="B551" s="62" t="s">
        <v>4736</v>
      </c>
      <c r="C551" t="s">
        <v>4737</v>
      </c>
      <c r="D551" t="s">
        <v>3801</v>
      </c>
      <c r="E551" t="s">
        <v>4738</v>
      </c>
      <c r="F551" t="s">
        <v>1350</v>
      </c>
    </row>
    <row r="552" spans="1:6" ht="25.35" customHeight="1">
      <c r="A552" t="s">
        <v>4739</v>
      </c>
      <c r="B552" t="s">
        <v>4740</v>
      </c>
      <c r="C552" t="s">
        <v>4741</v>
      </c>
      <c r="D552" t="s">
        <v>3801</v>
      </c>
      <c r="E552" t="s">
        <v>4742</v>
      </c>
      <c r="F552" t="s">
        <v>1369</v>
      </c>
    </row>
    <row r="553" spans="1:6" ht="25.35" customHeight="1">
      <c r="A553" t="s">
        <v>4743</v>
      </c>
      <c r="B553" t="s">
        <v>4740</v>
      </c>
      <c r="C553" t="s">
        <v>4741</v>
      </c>
      <c r="D553" t="s">
        <v>3801</v>
      </c>
      <c r="E553" t="s">
        <v>4742</v>
      </c>
      <c r="F553" t="s">
        <v>1382</v>
      </c>
    </row>
    <row r="554" spans="1:6" ht="25.35" customHeight="1">
      <c r="A554" t="s">
        <v>4744</v>
      </c>
      <c r="B554" t="s">
        <v>4745</v>
      </c>
      <c r="C554" t="s">
        <v>4741</v>
      </c>
      <c r="D554" t="s">
        <v>3801</v>
      </c>
      <c r="E554" t="s">
        <v>4746</v>
      </c>
      <c r="F554" t="s">
        <v>1390</v>
      </c>
    </row>
    <row r="555" spans="1:6" ht="25.35" customHeight="1">
      <c r="A555" t="s">
        <v>4744</v>
      </c>
      <c r="B555" t="s">
        <v>4745</v>
      </c>
      <c r="C555" t="s">
        <v>4741</v>
      </c>
      <c r="D555" t="s">
        <v>3801</v>
      </c>
      <c r="E555" t="s">
        <v>4746</v>
      </c>
      <c r="F555" t="s">
        <v>1398</v>
      </c>
    </row>
    <row r="556" spans="1:6" ht="25.35" customHeight="1">
      <c r="A556" t="s">
        <v>4744</v>
      </c>
      <c r="B556" t="s">
        <v>4745</v>
      </c>
      <c r="C556" t="s">
        <v>4741</v>
      </c>
      <c r="D556" t="s">
        <v>3801</v>
      </c>
      <c r="E556" t="s">
        <v>4746</v>
      </c>
      <c r="F556" t="s">
        <v>1406</v>
      </c>
    </row>
    <row r="557" spans="1:6" ht="25.35" customHeight="1">
      <c r="A557" t="s">
        <v>4744</v>
      </c>
      <c r="B557" t="s">
        <v>4745</v>
      </c>
      <c r="C557" t="s">
        <v>4741</v>
      </c>
      <c r="D557" t="s">
        <v>3801</v>
      </c>
      <c r="E557" t="s">
        <v>4746</v>
      </c>
      <c r="F557" t="s">
        <v>1410</v>
      </c>
    </row>
    <row r="558" spans="1:6" ht="25.35" customHeight="1">
      <c r="A558" t="s">
        <v>4747</v>
      </c>
      <c r="B558" t="s">
        <v>4748</v>
      </c>
      <c r="C558" t="s">
        <v>4749</v>
      </c>
      <c r="D558" t="s">
        <v>3801</v>
      </c>
      <c r="E558" t="s">
        <v>4750</v>
      </c>
      <c r="F558" t="s">
        <v>4751</v>
      </c>
    </row>
    <row r="559" spans="1:6" ht="25.35" customHeight="1">
      <c r="A559" t="s">
        <v>4752</v>
      </c>
      <c r="B559" t="s">
        <v>4753</v>
      </c>
      <c r="C559" t="s">
        <v>4749</v>
      </c>
      <c r="D559" t="s">
        <v>3801</v>
      </c>
      <c r="E559" t="s">
        <v>4754</v>
      </c>
      <c r="F559" t="s">
        <v>4755</v>
      </c>
    </row>
    <row r="560" spans="1:6" ht="25.35" customHeight="1">
      <c r="A560" t="s">
        <v>4752</v>
      </c>
      <c r="B560" t="s">
        <v>4753</v>
      </c>
      <c r="C560" t="s">
        <v>4749</v>
      </c>
      <c r="D560" t="s">
        <v>3801</v>
      </c>
      <c r="E560" t="s">
        <v>4754</v>
      </c>
      <c r="F560" t="s">
        <v>4756</v>
      </c>
    </row>
    <row r="561" spans="1:6" ht="25.35" customHeight="1">
      <c r="A561" t="s">
        <v>4752</v>
      </c>
      <c r="B561" t="s">
        <v>4753</v>
      </c>
      <c r="C561" t="s">
        <v>4749</v>
      </c>
      <c r="D561" t="s">
        <v>3801</v>
      </c>
      <c r="E561" t="s">
        <v>4754</v>
      </c>
      <c r="F561" t="s">
        <v>4757</v>
      </c>
    </row>
    <row r="562" spans="1:6" ht="25.35" customHeight="1">
      <c r="A562" t="s">
        <v>4752</v>
      </c>
      <c r="B562" t="s">
        <v>4753</v>
      </c>
      <c r="C562" t="s">
        <v>4749</v>
      </c>
      <c r="D562" t="s">
        <v>3801</v>
      </c>
      <c r="E562" t="s">
        <v>4754</v>
      </c>
      <c r="F562" t="s">
        <v>4758</v>
      </c>
    </row>
    <row r="563" spans="1:6" ht="25.35" customHeight="1">
      <c r="A563" t="s">
        <v>4020</v>
      </c>
      <c r="B563" t="s">
        <v>4759</v>
      </c>
      <c r="C563" t="s">
        <v>4760</v>
      </c>
      <c r="D563" t="s">
        <v>3806</v>
      </c>
      <c r="E563" t="s">
        <v>4761</v>
      </c>
      <c r="F563" t="s">
        <v>4762</v>
      </c>
    </row>
    <row r="564" spans="1:6" ht="25.35" customHeight="1">
      <c r="A564" t="s">
        <v>4763</v>
      </c>
      <c r="B564" t="s">
        <v>533</v>
      </c>
      <c r="C564" t="s">
        <v>4764</v>
      </c>
      <c r="D564" t="s">
        <v>4765</v>
      </c>
      <c r="E564" t="s">
        <v>4766</v>
      </c>
      <c r="F564" t="s">
        <v>2974</v>
      </c>
    </row>
    <row r="565" spans="1:6" ht="25.35" customHeight="1">
      <c r="A565" t="s">
        <v>4767</v>
      </c>
      <c r="B565" t="s">
        <v>533</v>
      </c>
      <c r="C565" t="s">
        <v>4076</v>
      </c>
      <c r="D565" t="s">
        <v>4765</v>
      </c>
      <c r="E565" t="s">
        <v>4768</v>
      </c>
      <c r="F565" t="s">
        <v>2980</v>
      </c>
    </row>
    <row r="566" spans="1:6" ht="25.35" customHeight="1">
      <c r="A566" t="s">
        <v>4769</v>
      </c>
      <c r="B566" t="s">
        <v>4770</v>
      </c>
      <c r="C566" t="s">
        <v>3853</v>
      </c>
      <c r="D566" t="s">
        <v>3854</v>
      </c>
      <c r="E566" t="s">
        <v>4771</v>
      </c>
      <c r="F566" t="s">
        <v>4772</v>
      </c>
    </row>
    <row r="567" spans="1:6" ht="25.35" customHeight="1">
      <c r="A567" t="s">
        <v>4773</v>
      </c>
      <c r="B567" t="s">
        <v>533</v>
      </c>
      <c r="C567" t="s">
        <v>4774</v>
      </c>
      <c r="D567" t="s">
        <v>4775</v>
      </c>
      <c r="E567" t="s">
        <v>4776</v>
      </c>
      <c r="F567" t="s">
        <v>3015</v>
      </c>
    </row>
    <row r="568" spans="1:6" ht="25.35" customHeight="1">
      <c r="A568" t="s">
        <v>4777</v>
      </c>
      <c r="B568" t="s">
        <v>4777</v>
      </c>
      <c r="C568" t="s">
        <v>4778</v>
      </c>
      <c r="D568" t="s">
        <v>3854</v>
      </c>
      <c r="E568" t="s">
        <v>4779</v>
      </c>
      <c r="F568" t="s">
        <v>3010</v>
      </c>
    </row>
    <row r="569" spans="1:6" ht="25.35" customHeight="1">
      <c r="A569" t="s">
        <v>4780</v>
      </c>
      <c r="B569" t="s">
        <v>533</v>
      </c>
      <c r="C569" t="s">
        <v>4781</v>
      </c>
      <c r="D569" t="s">
        <v>4775</v>
      </c>
      <c r="E569" t="s">
        <v>4782</v>
      </c>
      <c r="F569" t="s">
        <v>3021</v>
      </c>
    </row>
    <row r="570" spans="1:6" ht="25.35" customHeight="1">
      <c r="A570" t="s">
        <v>4783</v>
      </c>
      <c r="B570" t="s">
        <v>533</v>
      </c>
      <c r="C570" t="s">
        <v>4781</v>
      </c>
      <c r="D570" t="s">
        <v>4775</v>
      </c>
      <c r="E570" t="s">
        <v>4784</v>
      </c>
      <c r="F570" t="s">
        <v>3027</v>
      </c>
    </row>
    <row r="571" spans="1:6" ht="25.35" customHeight="1">
      <c r="A571" t="s">
        <v>4783</v>
      </c>
      <c r="B571" t="s">
        <v>533</v>
      </c>
      <c r="C571" t="s">
        <v>4781</v>
      </c>
      <c r="D571" t="s">
        <v>4775</v>
      </c>
      <c r="E571" t="s">
        <v>4784</v>
      </c>
      <c r="F571" t="s">
        <v>3032</v>
      </c>
    </row>
    <row r="572" spans="1:6" ht="25.35" customHeight="1">
      <c r="A572" t="s">
        <v>4785</v>
      </c>
      <c r="B572" t="s">
        <v>533</v>
      </c>
      <c r="C572" t="s">
        <v>4786</v>
      </c>
      <c r="D572" t="s">
        <v>4775</v>
      </c>
      <c r="E572" t="s">
        <v>4456</v>
      </c>
      <c r="F572" t="s">
        <v>3036</v>
      </c>
    </row>
    <row r="573" spans="1:6" ht="25.35" customHeight="1">
      <c r="A573" t="s">
        <v>4787</v>
      </c>
      <c r="B573" t="s">
        <v>533</v>
      </c>
      <c r="C573" t="s">
        <v>4788</v>
      </c>
      <c r="D573" t="s">
        <v>4775</v>
      </c>
      <c r="E573" t="s">
        <v>4789</v>
      </c>
      <c r="F573" t="s">
        <v>3041</v>
      </c>
    </row>
    <row r="574" spans="1:6" ht="25.35" customHeight="1">
      <c r="A574" t="s">
        <v>4790</v>
      </c>
      <c r="B574" t="s">
        <v>533</v>
      </c>
      <c r="C574" t="s">
        <v>4791</v>
      </c>
      <c r="D574" t="s">
        <v>4775</v>
      </c>
      <c r="E574" t="s">
        <v>4792</v>
      </c>
      <c r="F574" t="s">
        <v>3046</v>
      </c>
    </row>
    <row r="575" spans="1:6" ht="25.35" customHeight="1">
      <c r="A575" t="s">
        <v>4793</v>
      </c>
      <c r="B575" t="s">
        <v>533</v>
      </c>
      <c r="C575" t="s">
        <v>4794</v>
      </c>
      <c r="D575" t="s">
        <v>4795</v>
      </c>
      <c r="E575" t="s">
        <v>4796</v>
      </c>
      <c r="F575" t="s">
        <v>3065</v>
      </c>
    </row>
    <row r="576" spans="1:6" ht="25.35" customHeight="1">
      <c r="A576" t="s">
        <v>4797</v>
      </c>
      <c r="B576" t="s">
        <v>533</v>
      </c>
      <c r="C576" t="s">
        <v>4798</v>
      </c>
      <c r="D576" t="s">
        <v>4795</v>
      </c>
      <c r="E576" t="s">
        <v>4768</v>
      </c>
      <c r="F576" t="s">
        <v>3071</v>
      </c>
    </row>
    <row r="577" spans="1:6" ht="25.35" customHeight="1">
      <c r="A577" t="s">
        <v>4799</v>
      </c>
      <c r="B577" t="s">
        <v>533</v>
      </c>
      <c r="C577" t="s">
        <v>4800</v>
      </c>
      <c r="D577" t="s">
        <v>4795</v>
      </c>
      <c r="E577" t="s">
        <v>4801</v>
      </c>
      <c r="F577" t="s">
        <v>3077</v>
      </c>
    </row>
    <row r="578" spans="1:6" ht="25.35" customHeight="1">
      <c r="A578" t="s">
        <v>4802</v>
      </c>
      <c r="B578" t="s">
        <v>533</v>
      </c>
      <c r="C578" t="s">
        <v>4800</v>
      </c>
      <c r="D578" t="s">
        <v>4795</v>
      </c>
      <c r="E578" t="s">
        <v>4803</v>
      </c>
      <c r="F578" t="s">
        <v>3091</v>
      </c>
    </row>
    <row r="579" spans="1:6" ht="25.35" customHeight="1">
      <c r="A579" t="s">
        <v>4804</v>
      </c>
      <c r="B579" t="s">
        <v>533</v>
      </c>
      <c r="C579" t="s">
        <v>4800</v>
      </c>
      <c r="D579" t="s">
        <v>4795</v>
      </c>
      <c r="E579" t="s">
        <v>4803</v>
      </c>
      <c r="F579" t="s">
        <v>3094</v>
      </c>
    </row>
    <row r="580" spans="1:6" ht="25.35" customHeight="1">
      <c r="A580" t="s">
        <v>4805</v>
      </c>
      <c r="B580" t="s">
        <v>533</v>
      </c>
      <c r="C580" t="s">
        <v>4800</v>
      </c>
      <c r="D580" t="s">
        <v>4795</v>
      </c>
      <c r="E580" t="s">
        <v>4806</v>
      </c>
      <c r="F580" t="s">
        <v>3097</v>
      </c>
    </row>
    <row r="581" spans="1:6" ht="25.35" customHeight="1">
      <c r="A581" t="s">
        <v>4807</v>
      </c>
      <c r="B581" t="s">
        <v>533</v>
      </c>
      <c r="C581" t="s">
        <v>4800</v>
      </c>
      <c r="D581" t="s">
        <v>4795</v>
      </c>
      <c r="E581" t="s">
        <v>4808</v>
      </c>
      <c r="F581" t="s">
        <v>3101</v>
      </c>
    </row>
    <row r="582" spans="1:6" ht="25.35" customHeight="1">
      <c r="A582" t="s">
        <v>4809</v>
      </c>
      <c r="B582" t="s">
        <v>533</v>
      </c>
      <c r="C582" t="s">
        <v>4810</v>
      </c>
      <c r="D582" t="s">
        <v>4795</v>
      </c>
      <c r="E582" t="s">
        <v>4811</v>
      </c>
      <c r="F582" t="s">
        <v>3104</v>
      </c>
    </row>
    <row r="583" spans="1:6" ht="25.35" customHeight="1">
      <c r="A583" t="s">
        <v>4812</v>
      </c>
      <c r="B583" t="s">
        <v>533</v>
      </c>
      <c r="C583" t="s">
        <v>4813</v>
      </c>
      <c r="D583" t="s">
        <v>4795</v>
      </c>
      <c r="E583" t="s">
        <v>4814</v>
      </c>
      <c r="F583" t="s">
        <v>3109</v>
      </c>
    </row>
    <row r="584" spans="1:6" ht="25.35" customHeight="1">
      <c r="A584" t="s">
        <v>4461</v>
      </c>
      <c r="B584" t="s">
        <v>533</v>
      </c>
      <c r="C584" t="s">
        <v>4815</v>
      </c>
      <c r="D584" t="s">
        <v>4795</v>
      </c>
      <c r="E584" t="s">
        <v>4816</v>
      </c>
      <c r="F584" t="s">
        <v>3114</v>
      </c>
    </row>
    <row r="585" spans="1:6" ht="25.35" customHeight="1">
      <c r="A585" t="s">
        <v>4817</v>
      </c>
      <c r="B585" t="s">
        <v>533</v>
      </c>
      <c r="C585" t="s">
        <v>4800</v>
      </c>
      <c r="D585" t="s">
        <v>4795</v>
      </c>
      <c r="E585" t="s">
        <v>4818</v>
      </c>
      <c r="F585" t="s">
        <v>3119</v>
      </c>
    </row>
    <row r="586" spans="1:6" ht="25.35" customHeight="1">
      <c r="A586" t="s">
        <v>3594</v>
      </c>
      <c r="B586" t="s">
        <v>3594</v>
      </c>
      <c r="C586" t="s">
        <v>1381</v>
      </c>
      <c r="D586" t="s">
        <v>3983</v>
      </c>
      <c r="E586" t="s">
        <v>4819</v>
      </c>
      <c r="F586" t="s">
        <v>2136</v>
      </c>
    </row>
    <row r="587" spans="1:6" ht="25.35" customHeight="1">
      <c r="A587" t="s">
        <v>4820</v>
      </c>
      <c r="B587" t="s">
        <v>4821</v>
      </c>
      <c r="C587" t="s">
        <v>4822</v>
      </c>
      <c r="D587" t="s">
        <v>4823</v>
      </c>
      <c r="E587" t="s">
        <v>4824</v>
      </c>
      <c r="F587" t="s">
        <v>4825</v>
      </c>
    </row>
    <row r="588" spans="1:6" ht="25.35" customHeight="1">
      <c r="A588" t="s">
        <v>3214</v>
      </c>
      <c r="B588" t="s">
        <v>3215</v>
      </c>
      <c r="C588" t="s">
        <v>3216</v>
      </c>
      <c r="D588" t="s">
        <v>3208</v>
      </c>
      <c r="E588" t="s">
        <v>3177</v>
      </c>
      <c r="F588" t="s">
        <v>4826</v>
      </c>
    </row>
    <row r="589" spans="1:6" ht="25.35" customHeight="1">
      <c r="A589" t="s">
        <v>3214</v>
      </c>
      <c r="B589" t="s">
        <v>3215</v>
      </c>
      <c r="C589" t="s">
        <v>3216</v>
      </c>
      <c r="D589" t="s">
        <v>3208</v>
      </c>
      <c r="E589" t="s">
        <v>3177</v>
      </c>
      <c r="F589" t="s">
        <v>4827</v>
      </c>
    </row>
    <row r="590" spans="1:6" ht="25.35" customHeight="1">
      <c r="A590" t="s">
        <v>4828</v>
      </c>
      <c r="B590" t="s">
        <v>4829</v>
      </c>
      <c r="C590" t="s">
        <v>4830</v>
      </c>
      <c r="D590" t="s">
        <v>4831</v>
      </c>
    </row>
    <row r="591" spans="1:6" ht="25.35" customHeight="1">
      <c r="A591" t="s">
        <v>4832</v>
      </c>
      <c r="B591" t="s">
        <v>4833</v>
      </c>
      <c r="C591" t="s">
        <v>4834</v>
      </c>
      <c r="D591" t="s">
        <v>3161</v>
      </c>
      <c r="E591" t="s">
        <v>4835</v>
      </c>
    </row>
    <row r="592" spans="1:6" ht="25.35" customHeight="1">
      <c r="A592" t="s">
        <v>533</v>
      </c>
      <c r="B592" t="s">
        <v>533</v>
      </c>
      <c r="C592" t="s">
        <v>533</v>
      </c>
      <c r="D592" t="s">
        <v>533</v>
      </c>
    </row>
    <row r="593" spans="1:4" ht="25.35" customHeight="1">
      <c r="A593" t="s">
        <v>533</v>
      </c>
      <c r="B593" t="s">
        <v>533</v>
      </c>
      <c r="C593" t="s">
        <v>533</v>
      </c>
      <c r="D593" t="s">
        <v>533</v>
      </c>
    </row>
    <row r="594" spans="1:4" ht="25.35" customHeight="1">
      <c r="A594" t="s">
        <v>533</v>
      </c>
      <c r="B594" t="s">
        <v>533</v>
      </c>
      <c r="C594" t="s">
        <v>533</v>
      </c>
      <c r="D594" t="s">
        <v>533</v>
      </c>
    </row>
    <row r="595" spans="1:4" ht="25.35" customHeight="1">
      <c r="A595" t="s">
        <v>533</v>
      </c>
      <c r="B595" t="s">
        <v>533</v>
      </c>
      <c r="C595" t="s">
        <v>1381</v>
      </c>
      <c r="D595" t="s">
        <v>533</v>
      </c>
    </row>
    <row r="596" spans="1:4" ht="25.35" customHeight="1">
      <c r="A596" t="s">
        <v>4836</v>
      </c>
      <c r="B596" t="s">
        <v>533</v>
      </c>
      <c r="C596" t="s">
        <v>4837</v>
      </c>
      <c r="D596" t="s">
        <v>4838</v>
      </c>
    </row>
    <row r="597" spans="1:4" ht="25.35" customHeight="1">
      <c r="A597" t="s">
        <v>4839</v>
      </c>
      <c r="B597" t="s">
        <v>533</v>
      </c>
      <c r="C597" t="s">
        <v>4840</v>
      </c>
      <c r="D597" t="s">
        <v>4841</v>
      </c>
    </row>
    <row r="598" spans="1:4" ht="25.35" customHeight="1">
      <c r="A598" t="s">
        <v>4839</v>
      </c>
      <c r="B598" t="s">
        <v>533</v>
      </c>
      <c r="C598" t="s">
        <v>4840</v>
      </c>
      <c r="D598" t="s">
        <v>4842</v>
      </c>
    </row>
    <row r="599" spans="1:4" ht="25.35" customHeight="1">
      <c r="A599" t="s">
        <v>4843</v>
      </c>
      <c r="B599" t="s">
        <v>4844</v>
      </c>
      <c r="C599" t="s">
        <v>4845</v>
      </c>
      <c r="D599" t="s">
        <v>4846</v>
      </c>
    </row>
    <row r="600" spans="1:4" ht="25.35" customHeight="1">
      <c r="A600" t="s">
        <v>533</v>
      </c>
      <c r="B600" t="s">
        <v>533</v>
      </c>
      <c r="C600" t="s">
        <v>533</v>
      </c>
      <c r="D600" t="s">
        <v>533</v>
      </c>
    </row>
    <row r="601" spans="1:4" ht="25.35" customHeight="1">
      <c r="A601" t="s">
        <v>533</v>
      </c>
      <c r="B601" t="s">
        <v>533</v>
      </c>
      <c r="C601" t="s">
        <v>533</v>
      </c>
      <c r="D601" t="s">
        <v>533</v>
      </c>
    </row>
  </sheetData>
  <sortState ref="A2:G601">
    <sortCondition ref="F444:F601"/>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5:O43"/>
  <sheetViews>
    <sheetView tabSelected="1" zoomScale="70" zoomScaleNormal="70" workbookViewId="0">
      <selection activeCell="M43" sqref="M43"/>
    </sheetView>
  </sheetViews>
  <sheetFormatPr baseColWidth="10" defaultRowHeight="14.4"/>
  <cols>
    <col min="3" max="3" width="26.83984375" customWidth="1"/>
    <col min="4" max="9" width="6.15625" customWidth="1"/>
    <col min="10" max="10" width="1.26171875" customWidth="1"/>
    <col min="11" max="11" width="6.15625" customWidth="1"/>
  </cols>
  <sheetData>
    <row r="5" spans="3:15" ht="43.2">
      <c r="C5" s="218" t="s">
        <v>4895</v>
      </c>
      <c r="D5" s="219" t="s">
        <v>529</v>
      </c>
      <c r="E5" s="219" t="s">
        <v>952</v>
      </c>
      <c r="F5" s="219" t="s">
        <v>21</v>
      </c>
      <c r="G5" s="219" t="s">
        <v>1971</v>
      </c>
      <c r="H5" s="219" t="s">
        <v>909</v>
      </c>
      <c r="I5" s="219" t="s">
        <v>763</v>
      </c>
      <c r="J5" s="219"/>
      <c r="K5" s="219" t="s">
        <v>4892</v>
      </c>
      <c r="L5" s="219" t="s">
        <v>1149</v>
      </c>
      <c r="M5" s="219" t="s">
        <v>192</v>
      </c>
      <c r="N5" s="219" t="s">
        <v>4893</v>
      </c>
      <c r="O5" s="217" t="s">
        <v>4894</v>
      </c>
    </row>
    <row r="6" spans="3:15">
      <c r="C6" s="215" t="s">
        <v>284</v>
      </c>
      <c r="D6" s="215">
        <v>44</v>
      </c>
      <c r="E6" s="215">
        <v>6</v>
      </c>
      <c r="F6" s="215">
        <v>15</v>
      </c>
      <c r="G6" s="215">
        <v>0</v>
      </c>
      <c r="H6" s="215">
        <v>16</v>
      </c>
      <c r="I6" s="215">
        <v>1</v>
      </c>
      <c r="J6" s="215"/>
      <c r="K6" s="215">
        <v>0</v>
      </c>
      <c r="L6" s="215">
        <v>58</v>
      </c>
      <c r="M6" s="215">
        <v>54</v>
      </c>
      <c r="N6" s="215">
        <v>0</v>
      </c>
      <c r="O6" s="215">
        <f t="shared" ref="O6:O13" si="0">SUM(D6:N6)</f>
        <v>194</v>
      </c>
    </row>
    <row r="7" spans="3:15">
      <c r="C7" s="215" t="s">
        <v>27</v>
      </c>
      <c r="D7" s="215">
        <v>40</v>
      </c>
      <c r="E7" s="215">
        <v>1</v>
      </c>
      <c r="F7" s="215">
        <v>20</v>
      </c>
      <c r="G7" s="215">
        <v>2</v>
      </c>
      <c r="H7" s="215">
        <v>2</v>
      </c>
      <c r="I7" s="215">
        <v>7</v>
      </c>
      <c r="J7" s="215"/>
      <c r="K7" s="215">
        <v>0</v>
      </c>
      <c r="L7" s="215">
        <v>20</v>
      </c>
      <c r="M7" s="215">
        <v>6</v>
      </c>
      <c r="N7" s="215">
        <v>6</v>
      </c>
      <c r="O7" s="215">
        <f t="shared" si="0"/>
        <v>104</v>
      </c>
    </row>
    <row r="8" spans="3:15">
      <c r="C8" s="215" t="s">
        <v>4899</v>
      </c>
      <c r="D8" s="215">
        <v>25</v>
      </c>
      <c r="E8" s="215">
        <v>5</v>
      </c>
      <c r="F8" s="215">
        <v>3</v>
      </c>
      <c r="G8" s="215">
        <v>0</v>
      </c>
      <c r="H8" s="215">
        <v>7</v>
      </c>
      <c r="I8" s="215">
        <v>8</v>
      </c>
      <c r="J8" s="215"/>
      <c r="K8" s="215">
        <v>6</v>
      </c>
      <c r="L8" s="215">
        <v>6</v>
      </c>
      <c r="M8" s="215">
        <v>4</v>
      </c>
      <c r="N8" s="215">
        <v>7</v>
      </c>
      <c r="O8" s="215">
        <f t="shared" si="0"/>
        <v>71</v>
      </c>
    </row>
    <row r="9" spans="3:15">
      <c r="C9" s="215" t="s">
        <v>4897</v>
      </c>
      <c r="D9" s="215">
        <v>0</v>
      </c>
      <c r="E9" s="215">
        <v>0</v>
      </c>
      <c r="F9" s="215">
        <v>1</v>
      </c>
      <c r="G9" s="215">
        <v>0</v>
      </c>
      <c r="H9" s="215">
        <v>14</v>
      </c>
      <c r="I9" s="215">
        <v>2</v>
      </c>
      <c r="J9" s="215"/>
      <c r="K9" s="215">
        <v>0</v>
      </c>
      <c r="L9" s="215">
        <v>0</v>
      </c>
      <c r="M9" s="215">
        <v>10</v>
      </c>
      <c r="N9" s="215">
        <v>20</v>
      </c>
      <c r="O9" s="215">
        <f t="shared" si="0"/>
        <v>47</v>
      </c>
    </row>
    <row r="10" spans="3:15">
      <c r="C10" s="215" t="s">
        <v>4896</v>
      </c>
      <c r="D10" s="215">
        <v>13</v>
      </c>
      <c r="E10" s="215">
        <v>4</v>
      </c>
      <c r="F10" s="215">
        <v>0</v>
      </c>
      <c r="G10" s="215">
        <v>0</v>
      </c>
      <c r="H10" s="215">
        <v>7</v>
      </c>
      <c r="I10" s="215">
        <v>3</v>
      </c>
      <c r="J10" s="215"/>
      <c r="K10" s="215">
        <v>0</v>
      </c>
      <c r="L10" s="215">
        <v>17</v>
      </c>
      <c r="M10" s="215">
        <v>2</v>
      </c>
      <c r="N10" s="215">
        <v>0</v>
      </c>
      <c r="O10" s="215">
        <f t="shared" si="0"/>
        <v>46</v>
      </c>
    </row>
    <row r="11" spans="3:15">
      <c r="C11" s="215" t="s">
        <v>4898</v>
      </c>
      <c r="D11" s="215">
        <v>0</v>
      </c>
      <c r="E11" s="215">
        <v>0</v>
      </c>
      <c r="F11" s="215">
        <v>0</v>
      </c>
      <c r="G11" s="215">
        <v>8</v>
      </c>
      <c r="H11" s="215">
        <v>0</v>
      </c>
      <c r="I11" s="215">
        <v>0</v>
      </c>
      <c r="J11" s="215"/>
      <c r="K11" s="215">
        <v>0</v>
      </c>
      <c r="L11" s="215">
        <v>0</v>
      </c>
      <c r="M11" s="215">
        <v>0</v>
      </c>
      <c r="N11" s="215">
        <v>24</v>
      </c>
      <c r="O11" s="215">
        <f t="shared" si="0"/>
        <v>32</v>
      </c>
    </row>
    <row r="12" spans="3:15">
      <c r="C12" s="215" t="s">
        <v>4900</v>
      </c>
      <c r="D12" s="215">
        <v>2</v>
      </c>
      <c r="E12" s="215">
        <v>0</v>
      </c>
      <c r="F12" s="215">
        <v>4</v>
      </c>
      <c r="G12" s="215">
        <v>1</v>
      </c>
      <c r="H12" s="215">
        <v>1</v>
      </c>
      <c r="I12" s="215">
        <v>3</v>
      </c>
      <c r="J12" s="215"/>
      <c r="K12" s="215">
        <v>0</v>
      </c>
      <c r="L12" s="215">
        <v>8</v>
      </c>
      <c r="M12" s="215">
        <v>6</v>
      </c>
      <c r="N12" s="215">
        <v>6</v>
      </c>
      <c r="O12" s="215">
        <f t="shared" si="0"/>
        <v>31</v>
      </c>
    </row>
    <row r="13" spans="3:15">
      <c r="C13" s="215" t="s">
        <v>4901</v>
      </c>
      <c r="D13" s="215">
        <v>2</v>
      </c>
      <c r="E13" s="215">
        <v>0</v>
      </c>
      <c r="F13" s="215">
        <v>0</v>
      </c>
      <c r="G13" s="215">
        <v>0</v>
      </c>
      <c r="H13" s="215">
        <v>0</v>
      </c>
      <c r="I13" s="215">
        <v>0</v>
      </c>
      <c r="J13" s="215"/>
      <c r="K13" s="215">
        <v>0</v>
      </c>
      <c r="L13" s="215">
        <v>0</v>
      </c>
      <c r="M13" s="215">
        <v>0</v>
      </c>
      <c r="N13" s="215">
        <v>0</v>
      </c>
      <c r="O13" s="215">
        <f t="shared" si="0"/>
        <v>2</v>
      </c>
    </row>
    <row r="14" spans="3:15">
      <c r="C14" s="216" t="s">
        <v>80</v>
      </c>
      <c r="D14" s="216">
        <f t="shared" ref="D14:N14" si="1">SUM(D6:D13)</f>
        <v>126</v>
      </c>
      <c r="E14" s="216">
        <f t="shared" si="1"/>
        <v>16</v>
      </c>
      <c r="F14" s="216">
        <f t="shared" si="1"/>
        <v>43</v>
      </c>
      <c r="G14" s="216">
        <f t="shared" si="1"/>
        <v>11</v>
      </c>
      <c r="H14" s="216">
        <f t="shared" si="1"/>
        <v>47</v>
      </c>
      <c r="I14" s="216">
        <f t="shared" si="1"/>
        <v>24</v>
      </c>
      <c r="J14" s="216"/>
      <c r="K14" s="216">
        <f t="shared" si="1"/>
        <v>6</v>
      </c>
      <c r="L14" s="216">
        <f t="shared" si="1"/>
        <v>109</v>
      </c>
      <c r="M14" s="216">
        <f t="shared" si="1"/>
        <v>82</v>
      </c>
      <c r="N14" s="216">
        <f t="shared" si="1"/>
        <v>63</v>
      </c>
    </row>
    <row r="34" spans="3:13" ht="54" customHeight="1">
      <c r="C34" s="223" t="s">
        <v>4895</v>
      </c>
      <c r="D34" s="224" t="s">
        <v>529</v>
      </c>
      <c r="E34" s="224" t="s">
        <v>21</v>
      </c>
      <c r="F34" s="224" t="s">
        <v>909</v>
      </c>
      <c r="G34" s="224" t="s">
        <v>1149</v>
      </c>
      <c r="H34" s="224" t="s">
        <v>192</v>
      </c>
      <c r="I34" s="224" t="s">
        <v>4893</v>
      </c>
      <c r="J34" s="229"/>
      <c r="K34" s="225" t="s">
        <v>4894</v>
      </c>
    </row>
    <row r="35" spans="3:13">
      <c r="C35" s="221" t="s">
        <v>284</v>
      </c>
      <c r="D35" s="222">
        <v>44</v>
      </c>
      <c r="E35" s="222">
        <v>15</v>
      </c>
      <c r="F35" s="222">
        <v>16</v>
      </c>
      <c r="G35" s="222">
        <v>58</v>
      </c>
      <c r="H35" s="222">
        <v>54</v>
      </c>
      <c r="I35" s="222">
        <v>0</v>
      </c>
      <c r="J35" s="228"/>
      <c r="K35" s="222">
        <f t="shared" ref="K35:K42" ca="1" si="2">SUM(D35:K35)</f>
        <v>187</v>
      </c>
    </row>
    <row r="36" spans="3:13">
      <c r="C36" s="221" t="s">
        <v>27</v>
      </c>
      <c r="D36" s="222">
        <v>40</v>
      </c>
      <c r="E36" s="222">
        <v>20</v>
      </c>
      <c r="F36" s="222">
        <v>2</v>
      </c>
      <c r="G36" s="222">
        <v>20</v>
      </c>
      <c r="H36" s="222">
        <v>6</v>
      </c>
      <c r="I36" s="222">
        <v>6</v>
      </c>
      <c r="J36" s="228"/>
      <c r="K36" s="222">
        <f t="shared" ca="1" si="2"/>
        <v>94</v>
      </c>
    </row>
    <row r="37" spans="3:13">
      <c r="C37" s="221" t="s">
        <v>4899</v>
      </c>
      <c r="D37" s="222">
        <v>25</v>
      </c>
      <c r="E37" s="222">
        <v>3</v>
      </c>
      <c r="F37" s="222">
        <v>7</v>
      </c>
      <c r="G37" s="222">
        <v>6</v>
      </c>
      <c r="H37" s="222">
        <v>4</v>
      </c>
      <c r="I37" s="222">
        <v>7</v>
      </c>
      <c r="J37" s="228"/>
      <c r="K37" s="222">
        <f t="shared" ca="1" si="2"/>
        <v>52</v>
      </c>
    </row>
    <row r="38" spans="3:13">
      <c r="C38" s="221" t="s">
        <v>4897</v>
      </c>
      <c r="D38" s="222">
        <v>0</v>
      </c>
      <c r="E38" s="222">
        <v>1</v>
      </c>
      <c r="F38" s="222">
        <v>14</v>
      </c>
      <c r="G38" s="222">
        <v>0</v>
      </c>
      <c r="H38" s="222">
        <v>10</v>
      </c>
      <c r="I38" s="222">
        <v>20</v>
      </c>
      <c r="J38" s="228"/>
      <c r="K38" s="222">
        <f t="shared" ca="1" si="2"/>
        <v>45</v>
      </c>
    </row>
    <row r="39" spans="3:13">
      <c r="C39" s="221" t="s">
        <v>4896</v>
      </c>
      <c r="D39" s="222">
        <v>13</v>
      </c>
      <c r="E39" s="222">
        <v>0</v>
      </c>
      <c r="F39" s="222">
        <v>7</v>
      </c>
      <c r="G39" s="222">
        <v>17</v>
      </c>
      <c r="H39" s="222">
        <v>2</v>
      </c>
      <c r="I39" s="222">
        <v>0</v>
      </c>
      <c r="J39" s="228"/>
      <c r="K39" s="222">
        <f t="shared" ca="1" si="2"/>
        <v>39</v>
      </c>
    </row>
    <row r="40" spans="3:13">
      <c r="C40" s="221" t="s">
        <v>4902</v>
      </c>
      <c r="D40" s="222">
        <v>0</v>
      </c>
      <c r="E40" s="222">
        <v>0</v>
      </c>
      <c r="F40" s="222">
        <v>0</v>
      </c>
      <c r="G40" s="222">
        <v>0</v>
      </c>
      <c r="H40" s="222">
        <v>0</v>
      </c>
      <c r="I40" s="222">
        <v>24</v>
      </c>
      <c r="J40" s="228"/>
      <c r="K40" s="222">
        <f t="shared" ca="1" si="2"/>
        <v>24</v>
      </c>
    </row>
    <row r="41" spans="3:13">
      <c r="C41" s="221" t="s">
        <v>4900</v>
      </c>
      <c r="D41" s="222">
        <v>2</v>
      </c>
      <c r="E41" s="222">
        <v>4</v>
      </c>
      <c r="F41" s="222">
        <v>1</v>
      </c>
      <c r="G41" s="222">
        <v>8</v>
      </c>
      <c r="H41" s="222">
        <v>6</v>
      </c>
      <c r="I41" s="222">
        <v>6</v>
      </c>
      <c r="J41" s="228"/>
      <c r="K41" s="222">
        <f t="shared" ca="1" si="2"/>
        <v>27</v>
      </c>
    </row>
    <row r="42" spans="3:13">
      <c r="C42" s="226" t="s">
        <v>4901</v>
      </c>
      <c r="D42" s="227">
        <v>2</v>
      </c>
      <c r="E42" s="227">
        <v>0</v>
      </c>
      <c r="F42" s="227">
        <v>0</v>
      </c>
      <c r="G42" s="227">
        <v>0</v>
      </c>
      <c r="H42" s="227">
        <v>0</v>
      </c>
      <c r="I42" s="227">
        <v>0</v>
      </c>
      <c r="J42" s="228"/>
      <c r="K42" s="227">
        <f t="shared" ca="1" si="2"/>
        <v>2</v>
      </c>
    </row>
    <row r="43" spans="3:13">
      <c r="K43" s="245">
        <f ca="1">SUM(K35:K42)</f>
        <v>0</v>
      </c>
      <c r="M43">
        <f>187/470</f>
        <v>0.39787234042553193</v>
      </c>
    </row>
  </sheetData>
  <sortState ref="C6:O13">
    <sortCondition descending="1" ref="O6:O13"/>
  </sortState>
  <conditionalFormatting sqref="K35:K43">
    <cfRule type="colorScale" priority="2">
      <colorScale>
        <cfvo type="min"/>
        <cfvo type="percentile" val="50"/>
        <cfvo type="max"/>
        <color rgb="FF63BE7B"/>
        <color rgb="FFFCFCFF"/>
        <color rgb="FFF8696B"/>
      </colorScale>
    </cfRule>
  </conditionalFormatting>
  <conditionalFormatting sqref="D35:J42">
    <cfRule type="colorScale" priority="1">
      <colorScale>
        <cfvo type="min"/>
        <cfvo type="percentile" val="50"/>
        <cfvo type="max"/>
        <color rgb="FF63BE7B"/>
        <color rgb="FFFCFCFF"/>
        <color rgb="FFF8696B"/>
      </colorScale>
    </cfRule>
  </conditionalFormatting>
  <pageMargins left="0.7" right="0.7" top="0.75" bottom="0.75" header="0.3" footer="0.3"/>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MediaLengthInSeconds xmlns="351d8ca3-cf38-47f5-b629-1ce9edcec4ce" xsi:nil="true"/>
    <lcf76f155ced4ddcb4097134ff3c332f xmlns="351d8ca3-cf38-47f5-b629-1ce9edcec4ce">
      <Terms xmlns="http://schemas.microsoft.com/office/infopath/2007/PartnerControls"/>
    </lcf76f155ced4ddcb4097134ff3c332f>
    <TaxCatchAll xmlns="cd5a0f3a-d594-4023-aa72-5a1d36c11e0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A90ABF79FAA7D4D8B904F4EF643398E" ma:contentTypeVersion="8" ma:contentTypeDescription="Create a new document." ma:contentTypeScope="" ma:versionID="487dc3ff09329b99ebacec90260243fa">
  <xsd:schema xmlns:xsd="http://www.w3.org/2001/XMLSchema" xmlns:xs="http://www.w3.org/2001/XMLSchema" xmlns:p="http://schemas.microsoft.com/office/2006/metadata/properties" xmlns:ns2="351d8ca3-cf38-47f5-b629-1ce9edcec4ce" xmlns:ns3="cd5a0f3a-d594-4023-aa72-5a1d36c11e06" targetNamespace="http://schemas.microsoft.com/office/2006/metadata/properties" ma:root="true" ma:fieldsID="5b4d36b5598ccf3d78c14635ec5eaa4c" ns2:_="" ns3:_="">
    <xsd:import namespace="351d8ca3-cf38-47f5-b629-1ce9edcec4ce"/>
    <xsd:import namespace="cd5a0f3a-d594-4023-aa72-5a1d36c11e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51d8ca3-cf38-47f5-b629-1ce9edcec4c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60543e4b-1b48-45df-97a3-60bfd52f178b"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cd5a0f3a-d594-4023-aa72-5a1d36c11e06"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c6f56039-9151-41af-b089-6e6a7a13d96c}" ma:internalName="TaxCatchAll" ma:showField="CatchAllData" ma:web="cd5a0f3a-d594-4023-aa72-5a1d36c11e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4AB27C3-1AAE-4F55-8447-881813DD9FB3}">
  <ds:schemaRefs>
    <ds:schemaRef ds:uri="http://schemas.microsoft.com/sharepoint/v3/contenttype/forms"/>
  </ds:schemaRefs>
</ds:datastoreItem>
</file>

<file path=customXml/itemProps2.xml><?xml version="1.0" encoding="utf-8"?>
<ds:datastoreItem xmlns:ds="http://schemas.openxmlformats.org/officeDocument/2006/customXml" ds:itemID="{22BF799D-7DBD-47E9-943C-F556B122640B}">
  <ds:schemaRefs>
    <ds:schemaRef ds:uri="http://schemas.microsoft.com/office/2006/documentManagement/types"/>
    <ds:schemaRef ds:uri="cd5a0f3a-d594-4023-aa72-5a1d36c11e06"/>
    <ds:schemaRef ds:uri="http://purl.org/dc/elements/1.1/"/>
    <ds:schemaRef ds:uri="http://purl.org/dc/dcmitype/"/>
    <ds:schemaRef ds:uri="351d8ca3-cf38-47f5-b629-1ce9edcec4ce"/>
    <ds:schemaRef ds:uri="http://www.w3.org/XML/1998/namespace"/>
    <ds:schemaRef ds:uri="http://schemas.openxmlformats.org/package/2006/metadata/core-properties"/>
    <ds:schemaRef ds:uri="http://purl.org/dc/term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7CF73DBC-F893-4DFE-BD28-4F41A0887E1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51d8ca3-cf38-47f5-b629-1ce9edcec4ce"/>
    <ds:schemaRef ds:uri="cd5a0f3a-d594-4023-aa72-5a1d36c11e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17</vt:i4>
      </vt:variant>
    </vt:vector>
  </HeadingPairs>
  <TitlesOfParts>
    <vt:vector size="17" baseType="lpstr">
      <vt:lpstr>Read me</vt:lpstr>
      <vt:lpstr>Graphiques</vt:lpstr>
      <vt:lpstr>VISHAY Composant</vt:lpstr>
      <vt:lpstr>Capacitors</vt:lpstr>
      <vt:lpstr>Diode </vt:lpstr>
      <vt:lpstr>Connectors</vt:lpstr>
      <vt:lpstr>Estimation durée de vie</vt:lpstr>
      <vt:lpstr>Délai composants</vt:lpstr>
      <vt:lpstr>Inductors</vt:lpstr>
      <vt:lpstr>ICS</vt:lpstr>
      <vt:lpstr>Modules</vt:lpstr>
      <vt:lpstr>Multilayer smd</vt:lpstr>
      <vt:lpstr>Optoelectronics</vt:lpstr>
      <vt:lpstr>Résistance</vt:lpstr>
      <vt:lpstr>Transistor</vt:lpstr>
      <vt:lpstr>VISHAY Extraction Ui Path</vt:lpstr>
      <vt:lpstr>Tous les composants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cp:keywords/>
  <dc:description/>
  <cp:lastModifiedBy>ZOLGHADRI Marc</cp:lastModifiedBy>
  <cp:revision/>
  <dcterms:created xsi:type="dcterms:W3CDTF">2022-01-12T08:52:49Z</dcterms:created>
  <dcterms:modified xsi:type="dcterms:W3CDTF">2023-01-30T16:06:34Z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0x0101000A90ABF79FAA7D4D8B904F4EF643398E</vt:lpwstr>
  </property>
  <property fmtid="{D5CDD505-2E9C-101B-9397-08002B2CF9AE}" pid="3" name="WorkbookGuid">
    <vt:lpwstr>4c9b9fb6-e3c0-4da7-8186-a2712bac8e6a</vt:lpwstr>
  </property>
  <property fmtid="{D5CDD505-2E9C-101B-9397-08002B2CF9AE}" pid="4" name="Order">
    <vt:r8>181300</vt:r8>
  </property>
  <property fmtid="{D5CDD505-2E9C-101B-9397-08002B2CF9AE}" pid="5" name="xd_Signature">
    <vt:bool>false</vt:bool>
  </property>
  <property fmtid="{D5CDD505-2E9C-101B-9397-08002B2CF9AE}" pid="6" name="xd_ProgID">
    <vt:lpwstr/>
  </property>
  <property fmtid="{D5CDD505-2E9C-101B-9397-08002B2CF9AE}" pid="7" name="_ExtendedDescription">
    <vt:lpwstr/>
  </property>
  <property fmtid="{D5CDD505-2E9C-101B-9397-08002B2CF9AE}" pid="8" name="TriggerFlowInfo">
    <vt:lpwstr/>
  </property>
  <property fmtid="{D5CDD505-2E9C-101B-9397-08002B2CF9AE}" pid="9" name="_SourceUrl">
    <vt:lpwstr/>
  </property>
  <property fmtid="{D5CDD505-2E9C-101B-9397-08002B2CF9AE}" pid="10" name="_SharedFileIndex">
    <vt:lpwstr/>
  </property>
  <property fmtid="{D5CDD505-2E9C-101B-9397-08002B2CF9AE}" pid="11" name="ComplianceAssetId">
    <vt:lpwstr/>
  </property>
  <property fmtid="{D5CDD505-2E9C-101B-9397-08002B2CF9AE}" pid="12" name="TemplateUrl">
    <vt:lpwstr/>
  </property>
  <property fmtid="{D5CDD505-2E9C-101B-9397-08002B2CF9AE}" pid="13" name="MediaServiceImageTags">
    <vt:lpwstr/>
  </property>
</Properties>
</file>